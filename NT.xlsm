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:\dsktp\"/>
    </mc:Choice>
  </mc:AlternateContent>
  <xr:revisionPtr revIDLastSave="0" documentId="13_ncr:1_{E8F150EC-925A-48C9-857A-A553CD1E0BD8}" xr6:coauthVersionLast="47" xr6:coauthVersionMax="47" xr10:uidLastSave="{00000000-0000-0000-0000-000000000000}"/>
  <bookViews>
    <workbookView xWindow="-120" yWindow="-120" windowWidth="29040" windowHeight="15720" tabRatio="811" activeTab="9" xr2:uid="{00000000-000D-0000-FFFF-FFFF00000000}"/>
  </bookViews>
  <sheets>
    <sheet name="Libri" sheetId="45" r:id="rId1"/>
    <sheet name="Obsidian" sheetId="42" r:id="rId2"/>
    <sheet name="Calendario" sheetId="43" r:id="rId3"/>
    <sheet name="Note al testo richiamo Versetti" sheetId="38" r:id="rId4"/>
    <sheet name="Link" sheetId="39" r:id="rId5"/>
    <sheet name="Versetti1" sheetId="46" r:id="rId6"/>
    <sheet name="Nomi libri" sheetId="47" r:id="rId7"/>
    <sheet name="Foglio1" sheetId="48" r:id="rId8"/>
    <sheet name="Foglio2" sheetId="49" r:id="rId9"/>
    <sheet name="Link Messaggi" sheetId="50" r:id="rId10"/>
    <sheet name="Foglio3" sheetId="53" r:id="rId11"/>
    <sheet name="Testo file MD unico" sheetId="52" r:id="rId12"/>
    <sheet name="CCC" sheetId="51" r:id="rId13"/>
  </sheets>
  <functionGroups builtInGroupCount="19"/>
  <definedNames>
    <definedName name="_xlnm._FilterDatabase" localSheetId="2" hidden="1">Calendario!$A$1:$V$1330</definedName>
    <definedName name="_xlnm._FilterDatabase" localSheetId="7" hidden="1">Foglio1!$A$2:$O$2</definedName>
    <definedName name="_xlnm._FilterDatabase" localSheetId="5" hidden="1">Versetti1!$A$1:$J$1329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0" i="50" l="1"/>
  <c r="M229" i="50"/>
  <c r="M228" i="50"/>
  <c r="M227" i="50"/>
  <c r="M226" i="50"/>
  <c r="M225" i="50"/>
  <c r="M224" i="50"/>
  <c r="M223" i="50"/>
  <c r="M222" i="50"/>
  <c r="M221" i="50"/>
  <c r="M220" i="50"/>
  <c r="M219" i="50"/>
  <c r="M218" i="50"/>
  <c r="M217" i="50"/>
  <c r="M216" i="50"/>
  <c r="M215" i="50"/>
  <c r="M214" i="50"/>
  <c r="M213" i="50"/>
  <c r="M212" i="50"/>
  <c r="M211" i="50"/>
  <c r="M210" i="50"/>
  <c r="M209" i="50"/>
  <c r="M208" i="50"/>
  <c r="M207" i="50"/>
  <c r="M206" i="50"/>
  <c r="M205" i="50"/>
  <c r="M204" i="50"/>
  <c r="M203" i="50"/>
  <c r="M202" i="50"/>
  <c r="M201" i="50"/>
  <c r="M200" i="50"/>
  <c r="M199" i="50"/>
  <c r="M198" i="50"/>
  <c r="E230" i="50"/>
  <c r="D230" i="50"/>
  <c r="C230" i="50"/>
  <c r="E229" i="50"/>
  <c r="D229" i="50"/>
  <c r="C229" i="50"/>
  <c r="E228" i="50"/>
  <c r="D228" i="50"/>
  <c r="C228" i="50"/>
  <c r="E227" i="50"/>
  <c r="D227" i="50"/>
  <c r="C227" i="50"/>
  <c r="E226" i="50"/>
  <c r="D226" i="50"/>
  <c r="C226" i="50"/>
  <c r="E225" i="50"/>
  <c r="D225" i="50"/>
  <c r="C225" i="50"/>
  <c r="E224" i="50"/>
  <c r="D224" i="50"/>
  <c r="C224" i="50"/>
  <c r="E223" i="50"/>
  <c r="D223" i="50"/>
  <c r="C223" i="50"/>
  <c r="E222" i="50"/>
  <c r="D222" i="50"/>
  <c r="C222" i="50"/>
  <c r="E221" i="50"/>
  <c r="D221" i="50"/>
  <c r="C221" i="50"/>
  <c r="E220" i="50"/>
  <c r="D220" i="50"/>
  <c r="C220" i="50"/>
  <c r="E219" i="50"/>
  <c r="D219" i="50"/>
  <c r="C219" i="50"/>
  <c r="E218" i="50"/>
  <c r="D218" i="50"/>
  <c r="C218" i="50"/>
  <c r="E217" i="50"/>
  <c r="D217" i="50"/>
  <c r="C217" i="50"/>
  <c r="E216" i="50"/>
  <c r="D216" i="50"/>
  <c r="C216" i="50"/>
  <c r="E215" i="50"/>
  <c r="D215" i="50"/>
  <c r="C215" i="50"/>
  <c r="E214" i="50"/>
  <c r="D214" i="50"/>
  <c r="C214" i="50"/>
  <c r="E213" i="50"/>
  <c r="D213" i="50"/>
  <c r="C213" i="50"/>
  <c r="E212" i="50"/>
  <c r="D212" i="50"/>
  <c r="C212" i="50"/>
  <c r="E211" i="50"/>
  <c r="D211" i="50"/>
  <c r="C211" i="50"/>
  <c r="E210" i="50"/>
  <c r="D210" i="50"/>
  <c r="C210" i="50"/>
  <c r="E209" i="50"/>
  <c r="D209" i="50"/>
  <c r="C209" i="50"/>
  <c r="E208" i="50"/>
  <c r="D208" i="50"/>
  <c r="C208" i="50"/>
  <c r="E207" i="50"/>
  <c r="D207" i="50"/>
  <c r="C207" i="50"/>
  <c r="E206" i="50"/>
  <c r="D206" i="50"/>
  <c r="C206" i="50"/>
  <c r="E205" i="50"/>
  <c r="D205" i="50"/>
  <c r="C205" i="50"/>
  <c r="E204" i="50"/>
  <c r="D204" i="50"/>
  <c r="C204" i="50"/>
  <c r="E203" i="50"/>
  <c r="D203" i="50"/>
  <c r="C203" i="50"/>
  <c r="E202" i="50"/>
  <c r="D202" i="50"/>
  <c r="C202" i="50"/>
  <c r="E201" i="50"/>
  <c r="D201" i="50"/>
  <c r="C201" i="50"/>
  <c r="E200" i="50"/>
  <c r="D200" i="50"/>
  <c r="C200" i="50"/>
  <c r="E199" i="50"/>
  <c r="D199" i="50"/>
  <c r="C199" i="50"/>
  <c r="E198" i="50"/>
  <c r="D198" i="50"/>
  <c r="C198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4" i="50"/>
  <c r="E29" i="50"/>
  <c r="D29" i="50"/>
  <c r="C29" i="50"/>
  <c r="E28" i="50"/>
  <c r="D28" i="50"/>
  <c r="C28" i="50"/>
  <c r="E27" i="50"/>
  <c r="D27" i="50"/>
  <c r="C27" i="50"/>
  <c r="E26" i="50"/>
  <c r="D26" i="50"/>
  <c r="C26" i="50"/>
  <c r="E25" i="50"/>
  <c r="D25" i="50"/>
  <c r="C25" i="50"/>
  <c r="E24" i="50"/>
  <c r="D24" i="50"/>
  <c r="C24" i="50"/>
  <c r="E23" i="50"/>
  <c r="D23" i="50"/>
  <c r="C23" i="50"/>
  <c r="E22" i="50"/>
  <c r="D22" i="50"/>
  <c r="C22" i="50"/>
  <c r="E21" i="50"/>
  <c r="D21" i="50"/>
  <c r="C21" i="50"/>
  <c r="E20" i="50"/>
  <c r="D20" i="50"/>
  <c r="C20" i="50"/>
  <c r="E19" i="50"/>
  <c r="D19" i="50"/>
  <c r="C19" i="50"/>
  <c r="E18" i="50"/>
  <c r="D18" i="50"/>
  <c r="C18" i="50"/>
  <c r="E17" i="50"/>
  <c r="D17" i="50"/>
  <c r="C17" i="50"/>
  <c r="E16" i="50"/>
  <c r="D16" i="50"/>
  <c r="C16" i="50"/>
  <c r="E15" i="50"/>
  <c r="D15" i="50"/>
  <c r="C15" i="50"/>
  <c r="E14" i="50"/>
  <c r="D14" i="50"/>
  <c r="C14" i="50"/>
  <c r="E13" i="50"/>
  <c r="D13" i="50"/>
  <c r="C13" i="50"/>
  <c r="E12" i="50"/>
  <c r="D12" i="50"/>
  <c r="C12" i="50"/>
  <c r="E11" i="50"/>
  <c r="D11" i="50"/>
  <c r="C11" i="50"/>
  <c r="E10" i="50"/>
  <c r="D10" i="50"/>
  <c r="C10" i="50"/>
  <c r="E9" i="50"/>
  <c r="D9" i="50"/>
  <c r="C9" i="50"/>
  <c r="E8" i="50"/>
  <c r="D8" i="50"/>
  <c r="C8" i="50"/>
  <c r="E7" i="50"/>
  <c r="D7" i="50"/>
  <c r="C7" i="50"/>
  <c r="E6" i="50"/>
  <c r="D6" i="50"/>
  <c r="C6" i="50"/>
  <c r="E5" i="50"/>
  <c r="D5" i="50"/>
  <c r="C5" i="50"/>
  <c r="E4" i="50"/>
  <c r="D4" i="50"/>
  <c r="C4" i="50"/>
  <c r="E167" i="50"/>
  <c r="D167" i="50"/>
  <c r="C167" i="50"/>
  <c r="E194" i="50"/>
  <c r="D194" i="50"/>
  <c r="C194" i="50"/>
  <c r="E197" i="50"/>
  <c r="D197" i="50"/>
  <c r="C197" i="50"/>
  <c r="E196" i="50"/>
  <c r="D196" i="50"/>
  <c r="C196" i="50"/>
  <c r="E195" i="50"/>
  <c r="D195" i="50"/>
  <c r="C195" i="50"/>
  <c r="E193" i="50"/>
  <c r="D193" i="50"/>
  <c r="C193" i="50"/>
  <c r="E192" i="50"/>
  <c r="D192" i="50"/>
  <c r="C192" i="50"/>
  <c r="E191" i="50"/>
  <c r="D191" i="50"/>
  <c r="C191" i="50"/>
  <c r="E190" i="50"/>
  <c r="D190" i="50"/>
  <c r="C190" i="50"/>
  <c r="E189" i="50"/>
  <c r="D189" i="50"/>
  <c r="C189" i="50"/>
  <c r="E188" i="50"/>
  <c r="D188" i="50"/>
  <c r="C188" i="50"/>
  <c r="E187" i="50"/>
  <c r="D187" i="50"/>
  <c r="C187" i="50"/>
  <c r="E186" i="50"/>
  <c r="D186" i="50"/>
  <c r="C186" i="50"/>
  <c r="E185" i="50"/>
  <c r="D185" i="50"/>
  <c r="C185" i="50"/>
  <c r="E184" i="50"/>
  <c r="D184" i="50"/>
  <c r="C184" i="50"/>
  <c r="E183" i="50"/>
  <c r="D183" i="50"/>
  <c r="C183" i="50"/>
  <c r="E182" i="50"/>
  <c r="D182" i="50"/>
  <c r="C182" i="50"/>
  <c r="E181" i="50"/>
  <c r="D181" i="50"/>
  <c r="C181" i="50"/>
  <c r="E180" i="50"/>
  <c r="D180" i="50"/>
  <c r="C180" i="50"/>
  <c r="E179" i="50"/>
  <c r="D179" i="50"/>
  <c r="C179" i="50"/>
  <c r="E178" i="50"/>
  <c r="D178" i="50"/>
  <c r="C178" i="50"/>
  <c r="E177" i="50"/>
  <c r="D177" i="50"/>
  <c r="C177" i="50"/>
  <c r="E176" i="50"/>
  <c r="D176" i="50"/>
  <c r="C176" i="50"/>
  <c r="E175" i="50"/>
  <c r="D175" i="50"/>
  <c r="C175" i="50"/>
  <c r="E174" i="50"/>
  <c r="D174" i="50"/>
  <c r="C174" i="50"/>
  <c r="E173" i="50"/>
  <c r="D173" i="50"/>
  <c r="C173" i="50"/>
  <c r="E172" i="50"/>
  <c r="D172" i="50"/>
  <c r="C172" i="50"/>
  <c r="E171" i="50"/>
  <c r="D171" i="50"/>
  <c r="C171" i="50"/>
  <c r="E170" i="50"/>
  <c r="D170" i="50"/>
  <c r="C170" i="50"/>
  <c r="E169" i="50"/>
  <c r="D169" i="50"/>
  <c r="C169" i="50"/>
  <c r="K45" i="53"/>
  <c r="K44" i="53"/>
  <c r="K43" i="53"/>
  <c r="K42" i="53"/>
  <c r="K41" i="53"/>
  <c r="K40" i="53"/>
  <c r="K39" i="53"/>
  <c r="K38" i="53"/>
  <c r="K37" i="53"/>
  <c r="K36" i="53"/>
  <c r="K35" i="53"/>
  <c r="K34" i="53"/>
  <c r="K33" i="53"/>
  <c r="K32" i="53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4" i="53"/>
  <c r="K3" i="53"/>
  <c r="K2" i="53"/>
  <c r="K1" i="53"/>
  <c r="O150" i="52"/>
  <c r="O149" i="52"/>
  <c r="O148" i="52"/>
  <c r="O147" i="52"/>
  <c r="O146" i="52"/>
  <c r="O145" i="52"/>
  <c r="O144" i="52"/>
  <c r="O143" i="52"/>
  <c r="O142" i="52"/>
  <c r="O141" i="52"/>
  <c r="O140" i="52"/>
  <c r="O139" i="52"/>
  <c r="O138" i="52"/>
  <c r="O137" i="52"/>
  <c r="O136" i="52"/>
  <c r="O135" i="52"/>
  <c r="O134" i="52"/>
  <c r="O133" i="52"/>
  <c r="O132" i="52"/>
  <c r="O131" i="52"/>
  <c r="O130" i="52"/>
  <c r="O129" i="52"/>
  <c r="O128" i="52"/>
  <c r="O127" i="52"/>
  <c r="O126" i="52"/>
  <c r="O125" i="52"/>
  <c r="O124" i="52"/>
  <c r="O123" i="52"/>
  <c r="O122" i="52"/>
  <c r="O121" i="52"/>
  <c r="O120" i="52"/>
  <c r="O119" i="52"/>
  <c r="O118" i="52"/>
  <c r="O117" i="52"/>
  <c r="O116" i="52"/>
  <c r="O115" i="52"/>
  <c r="O114" i="52"/>
  <c r="O113" i="52"/>
  <c r="O112" i="52"/>
  <c r="O111" i="52"/>
  <c r="O110" i="52"/>
  <c r="O109" i="52"/>
  <c r="O108" i="52"/>
  <c r="O107" i="52"/>
  <c r="O106" i="52"/>
  <c r="O105" i="52"/>
  <c r="O104" i="52"/>
  <c r="O103" i="52"/>
  <c r="O102" i="52"/>
  <c r="O101" i="52"/>
  <c r="O100" i="52"/>
  <c r="O99" i="52"/>
  <c r="O98" i="52"/>
  <c r="O97" i="52"/>
  <c r="O96" i="52"/>
  <c r="O95" i="52"/>
  <c r="O94" i="52"/>
  <c r="O90" i="52"/>
  <c r="O91" i="52"/>
  <c r="O92" i="52"/>
  <c r="O93" i="52"/>
  <c r="O76" i="52"/>
  <c r="O77" i="52"/>
  <c r="O78" i="52"/>
  <c r="O79" i="52"/>
  <c r="O80" i="52"/>
  <c r="O81" i="52"/>
  <c r="O82" i="52"/>
  <c r="O83" i="52"/>
  <c r="O84" i="52"/>
  <c r="O85" i="52"/>
  <c r="O86" i="52"/>
  <c r="O87" i="52"/>
  <c r="O88" i="52"/>
  <c r="O89" i="52"/>
  <c r="O57" i="52"/>
  <c r="O58" i="52"/>
  <c r="O59" i="52"/>
  <c r="O60" i="52"/>
  <c r="O61" i="52"/>
  <c r="O62" i="52"/>
  <c r="O63" i="52"/>
  <c r="O64" i="52"/>
  <c r="O65" i="52"/>
  <c r="O66" i="52"/>
  <c r="O67" i="52"/>
  <c r="O68" i="52"/>
  <c r="O69" i="52"/>
  <c r="O70" i="52"/>
  <c r="O71" i="52"/>
  <c r="O72" i="52"/>
  <c r="O73" i="52"/>
  <c r="O74" i="52"/>
  <c r="O75" i="52"/>
  <c r="O35" i="52"/>
  <c r="O36" i="52"/>
  <c r="O37" i="52"/>
  <c r="O38" i="52"/>
  <c r="O39" i="52"/>
  <c r="O40" i="52"/>
  <c r="O41" i="52"/>
  <c r="O42" i="52"/>
  <c r="O43" i="52"/>
  <c r="O44" i="52"/>
  <c r="O45" i="52"/>
  <c r="O46" i="52"/>
  <c r="O47" i="52"/>
  <c r="O48" i="52"/>
  <c r="O49" i="52"/>
  <c r="O50" i="52"/>
  <c r="O51" i="52"/>
  <c r="O52" i="52"/>
  <c r="O53" i="52"/>
  <c r="O54" i="52"/>
  <c r="O55" i="52"/>
  <c r="O56" i="52"/>
  <c r="O34" i="52"/>
  <c r="O25" i="52"/>
  <c r="O26" i="52"/>
  <c r="O27" i="52"/>
  <c r="O28" i="52"/>
  <c r="O29" i="52"/>
  <c r="O30" i="52"/>
  <c r="O31" i="52"/>
  <c r="O32" i="52"/>
  <c r="O33" i="52"/>
  <c r="O10" i="52"/>
  <c r="O11" i="52"/>
  <c r="O12" i="52"/>
  <c r="O13" i="52"/>
  <c r="O14" i="52"/>
  <c r="O15" i="52"/>
  <c r="O16" i="52"/>
  <c r="O17" i="52"/>
  <c r="O18" i="52"/>
  <c r="O19" i="52"/>
  <c r="O20" i="52"/>
  <c r="O21" i="52"/>
  <c r="O22" i="52"/>
  <c r="O23" i="52"/>
  <c r="O24" i="52"/>
  <c r="O4" i="52"/>
  <c r="O5" i="52"/>
  <c r="O6" i="52"/>
  <c r="O7" i="52"/>
  <c r="O8" i="52"/>
  <c r="O9" i="52"/>
  <c r="O2" i="52"/>
  <c r="O1" i="52"/>
  <c r="O3" i="52"/>
  <c r="P3500" i="51"/>
  <c r="P3499" i="51"/>
  <c r="P3498" i="51"/>
  <c r="P3497" i="51"/>
  <c r="P3496" i="51"/>
  <c r="P3495" i="51"/>
  <c r="P3494" i="51"/>
  <c r="P3493" i="51"/>
  <c r="P3492" i="51"/>
  <c r="P3491" i="51"/>
  <c r="P3490" i="51"/>
  <c r="P3489" i="51"/>
  <c r="P3488" i="51"/>
  <c r="P3487" i="51"/>
  <c r="P3486" i="51"/>
  <c r="P3485" i="51"/>
  <c r="P3484" i="51"/>
  <c r="P3483" i="51"/>
  <c r="P3482" i="51"/>
  <c r="P3481" i="51"/>
  <c r="P3480" i="51"/>
  <c r="P3479" i="51"/>
  <c r="P3478" i="51"/>
  <c r="P3477" i="51"/>
  <c r="P3476" i="51"/>
  <c r="P3475" i="51"/>
  <c r="P3474" i="51"/>
  <c r="P3473" i="51"/>
  <c r="P3472" i="51"/>
  <c r="P3471" i="51"/>
  <c r="P3470" i="51"/>
  <c r="P3469" i="51"/>
  <c r="P3468" i="51"/>
  <c r="P3467" i="51"/>
  <c r="P3466" i="51"/>
  <c r="P3465" i="51"/>
  <c r="P3464" i="51"/>
  <c r="P3463" i="51"/>
  <c r="P3462" i="51"/>
  <c r="P3461" i="51"/>
  <c r="P3460" i="51"/>
  <c r="P3459" i="51"/>
  <c r="P3458" i="51"/>
  <c r="P3457" i="51"/>
  <c r="P3456" i="51"/>
  <c r="P3455" i="51"/>
  <c r="P3454" i="51"/>
  <c r="P3453" i="51"/>
  <c r="P3452" i="51"/>
  <c r="P3451" i="51"/>
  <c r="P3450" i="51"/>
  <c r="P3449" i="51"/>
  <c r="P3448" i="51"/>
  <c r="P3447" i="51"/>
  <c r="P3446" i="51"/>
  <c r="P3445" i="51"/>
  <c r="P3444" i="51"/>
  <c r="P3443" i="51"/>
  <c r="P3442" i="51"/>
  <c r="P3441" i="51"/>
  <c r="P3440" i="51"/>
  <c r="P3439" i="51"/>
  <c r="P3438" i="51"/>
  <c r="P3437" i="51"/>
  <c r="P3436" i="51"/>
  <c r="P3435" i="51"/>
  <c r="P3434" i="51"/>
  <c r="P3433" i="51"/>
  <c r="P3432" i="51"/>
  <c r="P3431" i="51"/>
  <c r="P3430" i="51"/>
  <c r="P3429" i="51"/>
  <c r="P3428" i="51"/>
  <c r="P3427" i="51"/>
  <c r="P3426" i="51"/>
  <c r="P3425" i="51"/>
  <c r="P3424" i="51"/>
  <c r="P3423" i="51"/>
  <c r="P3422" i="51"/>
  <c r="P3421" i="51"/>
  <c r="P3420" i="51"/>
  <c r="P3419" i="51"/>
  <c r="P3418" i="51"/>
  <c r="P3417" i="51"/>
  <c r="P3416" i="51"/>
  <c r="P3415" i="51"/>
  <c r="P3414" i="51"/>
  <c r="P3413" i="51"/>
  <c r="P3412" i="51"/>
  <c r="P3411" i="51"/>
  <c r="P3410" i="51"/>
  <c r="P3409" i="51"/>
  <c r="P3408" i="51"/>
  <c r="P3407" i="51"/>
  <c r="P3406" i="51"/>
  <c r="P3405" i="51"/>
  <c r="P3404" i="51"/>
  <c r="P3403" i="51"/>
  <c r="P3402" i="51"/>
  <c r="P3401" i="51"/>
  <c r="P3400" i="51"/>
  <c r="P3399" i="51"/>
  <c r="P3398" i="51"/>
  <c r="P3397" i="51"/>
  <c r="P3396" i="51"/>
  <c r="P3395" i="51"/>
  <c r="P3394" i="51"/>
  <c r="P3393" i="51"/>
  <c r="P3392" i="51"/>
  <c r="P3391" i="51"/>
  <c r="P3390" i="51"/>
  <c r="P3389" i="51"/>
  <c r="P3388" i="51"/>
  <c r="P3387" i="51"/>
  <c r="P3386" i="51"/>
  <c r="P3385" i="51"/>
  <c r="P3384" i="51"/>
  <c r="P3383" i="51"/>
  <c r="P3382" i="51"/>
  <c r="P3381" i="51"/>
  <c r="P3380" i="51"/>
  <c r="P3379" i="51"/>
  <c r="P3378" i="51"/>
  <c r="P3377" i="51"/>
  <c r="P3376" i="51"/>
  <c r="P3375" i="51"/>
  <c r="P3374" i="51"/>
  <c r="P3373" i="51"/>
  <c r="P3372" i="51"/>
  <c r="P3371" i="51"/>
  <c r="P3370" i="51"/>
  <c r="P3369" i="51"/>
  <c r="P3368" i="51"/>
  <c r="P3367" i="51"/>
  <c r="P3366" i="51"/>
  <c r="P3365" i="51"/>
  <c r="P3364" i="51"/>
  <c r="P3363" i="51"/>
  <c r="P3362" i="51"/>
  <c r="P3361" i="51"/>
  <c r="P3360" i="51"/>
  <c r="P3359" i="51"/>
  <c r="P3358" i="51"/>
  <c r="P3357" i="51"/>
  <c r="P3356" i="51"/>
  <c r="P3355" i="51"/>
  <c r="P3354" i="51"/>
  <c r="P3353" i="51"/>
  <c r="P3352" i="51"/>
  <c r="P3351" i="51"/>
  <c r="P3350" i="51"/>
  <c r="P3349" i="51"/>
  <c r="P3348" i="51"/>
  <c r="P3347" i="51"/>
  <c r="P3346" i="51"/>
  <c r="P3345" i="51"/>
  <c r="P3344" i="51"/>
  <c r="P3343" i="51"/>
  <c r="P3342" i="51"/>
  <c r="P3341" i="51"/>
  <c r="P3340" i="51"/>
  <c r="P3339" i="51"/>
  <c r="P3338" i="51"/>
  <c r="P3337" i="51"/>
  <c r="P3336" i="51"/>
  <c r="P3335" i="51"/>
  <c r="P3334" i="51"/>
  <c r="P3333" i="51"/>
  <c r="P3332" i="51"/>
  <c r="P3331" i="51"/>
  <c r="P3330" i="51"/>
  <c r="P3329" i="51"/>
  <c r="P3328" i="51"/>
  <c r="P3327" i="51"/>
  <c r="P3326" i="51"/>
  <c r="P3325" i="51"/>
  <c r="P3324" i="51"/>
  <c r="P3323" i="51"/>
  <c r="P3322" i="51"/>
  <c r="P3321" i="51"/>
  <c r="P3320" i="51"/>
  <c r="P3319" i="51"/>
  <c r="P3318" i="51"/>
  <c r="P3317" i="51"/>
  <c r="P3316" i="51"/>
  <c r="P3315" i="51"/>
  <c r="P3314" i="51"/>
  <c r="P3313" i="51"/>
  <c r="P3312" i="51"/>
  <c r="P3311" i="51"/>
  <c r="P3310" i="51"/>
  <c r="P3309" i="51"/>
  <c r="P3308" i="51"/>
  <c r="P3307" i="51"/>
  <c r="P3306" i="51"/>
  <c r="P3305" i="51"/>
  <c r="P3304" i="51"/>
  <c r="P3303" i="51"/>
  <c r="P3302" i="51"/>
  <c r="P3301" i="51"/>
  <c r="P3300" i="51"/>
  <c r="P3299" i="51"/>
  <c r="P3298" i="51"/>
  <c r="P3297" i="51"/>
  <c r="P3296" i="51"/>
  <c r="P3295" i="51"/>
  <c r="P3294" i="51"/>
  <c r="P3293" i="51"/>
  <c r="P3292" i="51"/>
  <c r="P3291" i="51"/>
  <c r="P3290" i="51"/>
  <c r="P3289" i="51"/>
  <c r="P3288" i="51"/>
  <c r="P3287" i="51"/>
  <c r="P3286" i="51"/>
  <c r="P3285" i="51"/>
  <c r="P3284" i="51"/>
  <c r="P3283" i="51"/>
  <c r="P3282" i="51"/>
  <c r="P3281" i="51"/>
  <c r="P3280" i="51"/>
  <c r="P3279" i="51"/>
  <c r="P3278" i="51"/>
  <c r="P3277" i="51"/>
  <c r="P3276" i="51"/>
  <c r="P3275" i="51"/>
  <c r="P3274" i="51"/>
  <c r="P3273" i="51"/>
  <c r="P3272" i="51"/>
  <c r="P3271" i="51"/>
  <c r="P3270" i="51"/>
  <c r="P3269" i="51"/>
  <c r="P3268" i="51"/>
  <c r="P3267" i="51"/>
  <c r="P3266" i="51"/>
  <c r="P3265" i="51"/>
  <c r="P3264" i="51"/>
  <c r="P3263" i="51"/>
  <c r="P3262" i="51"/>
  <c r="P3261" i="51"/>
  <c r="P3260" i="51"/>
  <c r="P3259" i="51"/>
  <c r="P3258" i="51"/>
  <c r="P3257" i="51"/>
  <c r="P3256" i="51"/>
  <c r="P3255" i="51"/>
  <c r="P3254" i="51"/>
  <c r="P3253" i="51"/>
  <c r="P3252" i="51"/>
  <c r="P3251" i="51"/>
  <c r="P3250" i="51"/>
  <c r="P3249" i="51"/>
  <c r="P3248" i="51"/>
  <c r="P3247" i="51"/>
  <c r="P3246" i="51"/>
  <c r="P3245" i="51"/>
  <c r="P3244" i="51"/>
  <c r="P3243" i="51"/>
  <c r="P3242" i="51"/>
  <c r="P3241" i="51"/>
  <c r="P3240" i="51"/>
  <c r="P3239" i="51"/>
  <c r="P3238" i="51"/>
  <c r="P3237" i="51"/>
  <c r="P3236" i="51"/>
  <c r="P3235" i="51"/>
  <c r="P3234" i="51"/>
  <c r="P3233" i="51"/>
  <c r="P3232" i="51"/>
  <c r="P3231" i="51"/>
  <c r="P3230" i="51"/>
  <c r="P3229" i="51"/>
  <c r="P3228" i="51"/>
  <c r="P3227" i="51"/>
  <c r="P3226" i="51"/>
  <c r="P3225" i="51"/>
  <c r="P3224" i="51"/>
  <c r="P3223" i="51"/>
  <c r="P3222" i="51"/>
  <c r="P3221" i="51"/>
  <c r="P3220" i="51"/>
  <c r="P3219" i="51"/>
  <c r="P3218" i="51"/>
  <c r="P3217" i="51"/>
  <c r="P3216" i="51"/>
  <c r="P3215" i="51"/>
  <c r="P3214" i="51"/>
  <c r="P3213" i="51"/>
  <c r="P3212" i="51"/>
  <c r="P3211" i="51"/>
  <c r="P3210" i="51"/>
  <c r="P3209" i="51"/>
  <c r="P3208" i="51"/>
  <c r="P3207" i="51"/>
  <c r="P3206" i="51"/>
  <c r="P3205" i="51"/>
  <c r="P3204" i="51"/>
  <c r="P3203" i="51"/>
  <c r="P3202" i="51"/>
  <c r="P3201" i="51"/>
  <c r="P3200" i="51"/>
  <c r="P3199" i="51"/>
  <c r="P3198" i="51"/>
  <c r="P3197" i="51"/>
  <c r="P3196" i="51"/>
  <c r="P3195" i="51"/>
  <c r="P3194" i="51"/>
  <c r="P3193" i="51"/>
  <c r="P3192" i="51"/>
  <c r="P3191" i="51"/>
  <c r="P3190" i="51"/>
  <c r="P3189" i="51"/>
  <c r="P3188" i="51"/>
  <c r="P3187" i="51"/>
  <c r="P3186" i="51"/>
  <c r="P3185" i="51"/>
  <c r="P3184" i="51"/>
  <c r="P3183" i="51"/>
  <c r="P3182" i="51"/>
  <c r="P3181" i="51"/>
  <c r="P3180" i="51"/>
  <c r="P3179" i="51"/>
  <c r="P3178" i="51"/>
  <c r="P3177" i="51"/>
  <c r="P3176" i="51"/>
  <c r="P3175" i="51"/>
  <c r="P3174" i="51"/>
  <c r="P3173" i="51"/>
  <c r="P3172" i="51"/>
  <c r="P3171" i="51"/>
  <c r="P3170" i="51"/>
  <c r="P3169" i="51"/>
  <c r="P3168" i="51"/>
  <c r="P3167" i="51"/>
  <c r="P3166" i="51"/>
  <c r="P3165" i="51"/>
  <c r="P3164" i="51"/>
  <c r="P3163" i="51"/>
  <c r="P3162" i="51"/>
  <c r="P3161" i="51"/>
  <c r="P3160" i="51"/>
  <c r="P3159" i="51"/>
  <c r="P3158" i="51"/>
  <c r="P3157" i="51"/>
  <c r="P3156" i="51"/>
  <c r="P3155" i="51"/>
  <c r="P3154" i="51"/>
  <c r="P3153" i="51"/>
  <c r="P3152" i="51"/>
  <c r="P3151" i="51"/>
  <c r="P3150" i="51"/>
  <c r="P3149" i="51"/>
  <c r="P3148" i="51"/>
  <c r="P3147" i="51"/>
  <c r="P3146" i="51"/>
  <c r="P3145" i="51"/>
  <c r="P3144" i="51"/>
  <c r="P3143" i="51"/>
  <c r="P3142" i="51"/>
  <c r="P3141" i="51"/>
  <c r="P3140" i="51"/>
  <c r="P3139" i="51"/>
  <c r="P3138" i="51"/>
  <c r="P3137" i="51"/>
  <c r="P3136" i="51"/>
  <c r="P3135" i="51"/>
  <c r="P3134" i="51"/>
  <c r="P3133" i="51"/>
  <c r="P3132" i="51"/>
  <c r="P3131" i="51"/>
  <c r="P3130" i="51"/>
  <c r="P3129" i="51"/>
  <c r="P3128" i="51"/>
  <c r="P3127" i="51"/>
  <c r="P3126" i="51"/>
  <c r="P3125" i="51"/>
  <c r="P3124" i="51"/>
  <c r="P3123" i="51"/>
  <c r="P3122" i="51"/>
  <c r="P3121" i="51"/>
  <c r="P3120" i="51"/>
  <c r="P3119" i="51"/>
  <c r="P3118" i="51"/>
  <c r="P3117" i="51"/>
  <c r="P3116" i="51"/>
  <c r="P3115" i="51"/>
  <c r="P3114" i="51"/>
  <c r="P3113" i="51"/>
  <c r="P3112" i="51"/>
  <c r="P3111" i="51"/>
  <c r="P3110" i="51"/>
  <c r="P3109" i="51"/>
  <c r="P3108" i="51"/>
  <c r="P3107" i="51"/>
  <c r="P3106" i="51"/>
  <c r="P3105" i="51"/>
  <c r="P3104" i="51"/>
  <c r="P3103" i="51"/>
  <c r="P3102" i="51"/>
  <c r="P3101" i="51"/>
  <c r="P3100" i="51"/>
  <c r="P3099" i="51"/>
  <c r="P3098" i="51"/>
  <c r="P3097" i="51"/>
  <c r="P3096" i="51"/>
  <c r="P3095" i="51"/>
  <c r="P3094" i="51"/>
  <c r="P3093" i="51"/>
  <c r="P3092" i="51"/>
  <c r="P3091" i="51"/>
  <c r="P3090" i="51"/>
  <c r="P3089" i="51"/>
  <c r="P3088" i="51"/>
  <c r="P3087" i="51"/>
  <c r="P3086" i="51"/>
  <c r="P3085" i="51"/>
  <c r="P3084" i="51"/>
  <c r="P3083" i="51"/>
  <c r="P3082" i="51"/>
  <c r="P3081" i="51"/>
  <c r="P3080" i="51"/>
  <c r="P3079" i="51"/>
  <c r="P3078" i="51"/>
  <c r="P3077" i="51"/>
  <c r="P3076" i="51"/>
  <c r="P3075" i="51"/>
  <c r="P3074" i="51"/>
  <c r="P3073" i="51"/>
  <c r="P3072" i="51"/>
  <c r="P3071" i="51"/>
  <c r="P3070" i="51"/>
  <c r="P3069" i="51"/>
  <c r="P3068" i="51"/>
  <c r="P3067" i="51"/>
  <c r="P3066" i="51"/>
  <c r="P3065" i="51"/>
  <c r="P3064" i="51"/>
  <c r="P3063" i="51"/>
  <c r="P3062" i="51"/>
  <c r="P3061" i="51"/>
  <c r="P3060" i="51"/>
  <c r="P3059" i="51"/>
  <c r="P3058" i="51"/>
  <c r="P3057" i="51"/>
  <c r="P3056" i="51"/>
  <c r="P3055" i="51"/>
  <c r="P3054" i="51"/>
  <c r="P3053" i="51"/>
  <c r="P3052" i="51"/>
  <c r="P3051" i="51"/>
  <c r="P3050" i="51"/>
  <c r="P3049" i="51"/>
  <c r="P3048" i="51"/>
  <c r="P3047" i="51"/>
  <c r="P3046" i="51"/>
  <c r="P3045" i="51"/>
  <c r="P3044" i="51"/>
  <c r="P3043" i="51"/>
  <c r="P3042" i="51"/>
  <c r="P3041" i="51"/>
  <c r="P3040" i="51"/>
  <c r="P3039" i="51"/>
  <c r="P3038" i="51"/>
  <c r="P3037" i="51"/>
  <c r="P3036" i="51"/>
  <c r="P3035" i="51"/>
  <c r="P3034" i="51"/>
  <c r="P3033" i="51"/>
  <c r="P3032" i="51"/>
  <c r="P3031" i="51"/>
  <c r="P3030" i="51"/>
  <c r="P3029" i="51"/>
  <c r="P3028" i="51"/>
  <c r="P3027" i="51"/>
  <c r="P3026" i="51"/>
  <c r="P3025" i="51"/>
  <c r="P3024" i="51"/>
  <c r="P3023" i="51"/>
  <c r="P3022" i="51"/>
  <c r="P3021" i="51"/>
  <c r="P3020" i="51"/>
  <c r="P3019" i="51"/>
  <c r="P3018" i="51"/>
  <c r="P3017" i="51"/>
  <c r="P3016" i="51"/>
  <c r="P3015" i="51"/>
  <c r="P3014" i="51"/>
  <c r="P3013" i="51"/>
  <c r="P3012" i="51"/>
  <c r="P3011" i="51"/>
  <c r="P3010" i="51"/>
  <c r="P3009" i="51"/>
  <c r="P3008" i="51"/>
  <c r="P3007" i="51"/>
  <c r="P3006" i="51"/>
  <c r="P3005" i="51"/>
  <c r="P3004" i="51"/>
  <c r="P3003" i="51"/>
  <c r="P3002" i="51"/>
  <c r="P3001" i="51"/>
  <c r="P3000" i="51"/>
  <c r="P2999" i="51"/>
  <c r="P2998" i="51"/>
  <c r="P2997" i="51"/>
  <c r="P2996" i="51"/>
  <c r="P2995" i="51"/>
  <c r="P2994" i="51"/>
  <c r="P2993" i="51"/>
  <c r="P2992" i="51"/>
  <c r="P2991" i="51"/>
  <c r="P2990" i="51"/>
  <c r="P2989" i="51"/>
  <c r="P2988" i="51"/>
  <c r="P2987" i="51"/>
  <c r="P2986" i="51"/>
  <c r="P2985" i="51"/>
  <c r="P2984" i="51"/>
  <c r="P2983" i="51"/>
  <c r="P2982" i="51"/>
  <c r="P2981" i="51"/>
  <c r="P2980" i="51"/>
  <c r="P2979" i="51"/>
  <c r="P2978" i="51"/>
  <c r="P2977" i="51"/>
  <c r="P2976" i="51"/>
  <c r="P2975" i="51"/>
  <c r="P2974" i="51"/>
  <c r="P2973" i="51"/>
  <c r="P2972" i="51"/>
  <c r="P2971" i="51"/>
  <c r="P2970" i="51"/>
  <c r="P2969" i="51"/>
  <c r="P2968" i="51"/>
  <c r="P2967" i="51"/>
  <c r="P2966" i="51"/>
  <c r="P2965" i="51"/>
  <c r="P2964" i="51"/>
  <c r="P2963" i="51"/>
  <c r="P2962" i="51"/>
  <c r="P2961" i="51"/>
  <c r="P2960" i="51"/>
  <c r="P2959" i="51"/>
  <c r="P2958" i="51"/>
  <c r="P2957" i="51"/>
  <c r="P2956" i="51"/>
  <c r="P2955" i="51"/>
  <c r="P2954" i="51"/>
  <c r="P2953" i="51"/>
  <c r="P2952" i="51"/>
  <c r="P2951" i="51"/>
  <c r="P2950" i="51"/>
  <c r="P2949" i="51"/>
  <c r="P2948" i="51"/>
  <c r="P2947" i="51"/>
  <c r="P2946" i="51"/>
  <c r="P2945" i="51"/>
  <c r="P2944" i="51"/>
  <c r="P2943" i="51"/>
  <c r="P2942" i="51"/>
  <c r="P2941" i="51"/>
  <c r="P2940" i="51"/>
  <c r="P2939" i="51"/>
  <c r="P2938" i="51"/>
  <c r="P2937" i="51"/>
  <c r="P2936" i="51"/>
  <c r="P2935" i="51"/>
  <c r="P2934" i="51"/>
  <c r="P2933" i="51"/>
  <c r="P2932" i="51"/>
  <c r="P2931" i="51"/>
  <c r="P2930" i="51"/>
  <c r="P2929" i="51"/>
  <c r="P2928" i="51"/>
  <c r="P2927" i="51"/>
  <c r="P2926" i="51"/>
  <c r="P2925" i="51"/>
  <c r="P2924" i="51"/>
  <c r="P2923" i="51"/>
  <c r="P2922" i="51"/>
  <c r="P2921" i="51"/>
  <c r="P2920" i="51"/>
  <c r="P2919" i="51"/>
  <c r="P2918" i="51"/>
  <c r="P2917" i="51"/>
  <c r="P2916" i="51"/>
  <c r="P2915" i="51"/>
  <c r="P2914" i="51"/>
  <c r="P2913" i="51"/>
  <c r="P2912" i="51"/>
  <c r="P2911" i="51"/>
  <c r="P2910" i="51"/>
  <c r="P2909" i="51"/>
  <c r="P2908" i="51"/>
  <c r="P2907" i="51"/>
  <c r="P2906" i="51"/>
  <c r="P2905" i="51"/>
  <c r="P2904" i="51"/>
  <c r="P2903" i="51"/>
  <c r="P2902" i="51"/>
  <c r="P2901" i="51"/>
  <c r="P2900" i="51"/>
  <c r="P2899" i="51"/>
  <c r="P2898" i="51"/>
  <c r="P2897" i="51"/>
  <c r="P2896" i="51"/>
  <c r="P2895" i="51"/>
  <c r="P2894" i="51"/>
  <c r="P2893" i="51"/>
  <c r="P2892" i="51"/>
  <c r="P2891" i="51"/>
  <c r="P2890" i="51"/>
  <c r="P2889" i="51"/>
  <c r="P2888" i="51"/>
  <c r="P2887" i="51"/>
  <c r="P2886" i="51"/>
  <c r="P2885" i="51"/>
  <c r="P2884" i="51"/>
  <c r="P2883" i="51"/>
  <c r="P2882" i="51"/>
  <c r="P2881" i="51"/>
  <c r="P2880" i="51"/>
  <c r="P2879" i="51"/>
  <c r="P2878" i="51"/>
  <c r="P2877" i="51"/>
  <c r="P2876" i="51"/>
  <c r="P2875" i="51"/>
  <c r="P2874" i="51"/>
  <c r="P2873" i="51"/>
  <c r="P2872" i="51"/>
  <c r="P2871" i="51"/>
  <c r="P2870" i="51"/>
  <c r="P2869" i="51"/>
  <c r="P2868" i="51"/>
  <c r="P2867" i="51"/>
  <c r="P2866" i="51"/>
  <c r="P2865" i="51"/>
  <c r="P2864" i="51"/>
  <c r="P2863" i="51"/>
  <c r="P2862" i="51"/>
  <c r="P2861" i="51"/>
  <c r="P2860" i="51"/>
  <c r="P2859" i="51"/>
  <c r="P2858" i="51"/>
  <c r="P2857" i="51"/>
  <c r="P2856" i="51"/>
  <c r="P2855" i="51"/>
  <c r="P2854" i="51"/>
  <c r="P2853" i="51"/>
  <c r="P2852" i="51"/>
  <c r="P2851" i="51"/>
  <c r="P2850" i="51"/>
  <c r="P2849" i="51"/>
  <c r="P2848" i="51"/>
  <c r="P2847" i="51"/>
  <c r="P2846" i="51"/>
  <c r="P2845" i="51"/>
  <c r="P2844" i="51"/>
  <c r="P2843" i="51"/>
  <c r="P2842" i="51"/>
  <c r="P2841" i="51"/>
  <c r="P2840" i="51"/>
  <c r="P2839" i="51"/>
  <c r="P2838" i="51"/>
  <c r="P2837" i="51"/>
  <c r="P2836" i="51"/>
  <c r="P2835" i="51"/>
  <c r="P2834" i="51"/>
  <c r="P2833" i="51"/>
  <c r="P2832" i="51"/>
  <c r="P2831" i="51"/>
  <c r="P2830" i="51"/>
  <c r="P2829" i="51"/>
  <c r="P2828" i="51"/>
  <c r="P2827" i="51"/>
  <c r="P2826" i="51"/>
  <c r="P2825" i="51"/>
  <c r="P2824" i="51"/>
  <c r="P2823" i="51"/>
  <c r="P2822" i="51"/>
  <c r="P2821" i="51"/>
  <c r="P2820" i="51"/>
  <c r="P2819" i="51"/>
  <c r="P2818" i="51"/>
  <c r="P2817" i="51"/>
  <c r="P2816" i="51"/>
  <c r="P2815" i="51"/>
  <c r="P2814" i="51"/>
  <c r="P2813" i="51"/>
  <c r="P2812" i="51"/>
  <c r="P2811" i="51"/>
  <c r="P2810" i="51"/>
  <c r="P2809" i="51"/>
  <c r="P2808" i="51"/>
  <c r="P2807" i="51"/>
  <c r="P2806" i="51"/>
  <c r="P2805" i="51"/>
  <c r="P2804" i="51"/>
  <c r="P2803" i="51"/>
  <c r="P2802" i="51"/>
  <c r="P2801" i="51"/>
  <c r="P2800" i="51"/>
  <c r="P2799" i="51"/>
  <c r="P2798" i="51"/>
  <c r="P2797" i="51"/>
  <c r="P2796" i="51"/>
  <c r="P2795" i="51"/>
  <c r="P2794" i="51"/>
  <c r="P2793" i="51"/>
  <c r="P2792" i="51"/>
  <c r="P2791" i="51"/>
  <c r="P2790" i="51"/>
  <c r="P2789" i="51"/>
  <c r="P2788" i="51"/>
  <c r="P2787" i="51"/>
  <c r="P2786" i="51"/>
  <c r="P2785" i="51"/>
  <c r="P2784" i="51"/>
  <c r="P2783" i="51"/>
  <c r="P2782" i="51"/>
  <c r="P2781" i="51"/>
  <c r="P2780" i="51"/>
  <c r="P2779" i="51"/>
  <c r="P2778" i="51"/>
  <c r="P2777" i="51"/>
  <c r="P2776" i="51"/>
  <c r="P2775" i="51"/>
  <c r="P2774" i="51"/>
  <c r="P2773" i="51"/>
  <c r="P2772" i="51"/>
  <c r="P2771" i="51"/>
  <c r="P2770" i="51"/>
  <c r="P2769" i="51"/>
  <c r="P2768" i="51"/>
  <c r="P2767" i="51"/>
  <c r="P2766" i="51"/>
  <c r="P2765" i="51"/>
  <c r="P2764" i="51"/>
  <c r="P2763" i="51"/>
  <c r="P2762" i="51"/>
  <c r="P2761" i="51"/>
  <c r="P2760" i="51"/>
  <c r="P2759" i="51"/>
  <c r="P2758" i="51"/>
  <c r="P2757" i="51"/>
  <c r="P2756" i="51"/>
  <c r="P2755" i="51"/>
  <c r="P2754" i="51"/>
  <c r="P2753" i="51"/>
  <c r="P2752" i="51"/>
  <c r="P2751" i="51"/>
  <c r="P2750" i="51"/>
  <c r="P2749" i="51"/>
  <c r="P2748" i="51"/>
  <c r="P2747" i="51"/>
  <c r="P2746" i="51"/>
  <c r="P2745" i="51"/>
  <c r="P2744" i="51"/>
  <c r="P2743" i="51"/>
  <c r="P2742" i="51"/>
  <c r="P2741" i="51"/>
  <c r="P2740" i="51"/>
  <c r="P2739" i="51"/>
  <c r="P2738" i="51"/>
  <c r="P2737" i="51"/>
  <c r="P2736" i="51"/>
  <c r="P2735" i="51"/>
  <c r="P2734" i="51"/>
  <c r="P2733" i="51"/>
  <c r="P2732" i="51"/>
  <c r="P2731" i="51"/>
  <c r="P2730" i="51"/>
  <c r="P2729" i="51"/>
  <c r="P2728" i="51"/>
  <c r="P2727" i="51"/>
  <c r="P2726" i="51"/>
  <c r="P2725" i="51"/>
  <c r="P2724" i="51"/>
  <c r="P2723" i="51"/>
  <c r="P2722" i="51"/>
  <c r="P2721" i="51"/>
  <c r="P2720" i="51"/>
  <c r="P2719" i="51"/>
  <c r="P2718" i="51"/>
  <c r="P2717" i="51"/>
  <c r="P2716" i="51"/>
  <c r="P2715" i="51"/>
  <c r="P2714" i="51"/>
  <c r="P2713" i="51"/>
  <c r="P2712" i="51"/>
  <c r="P2711" i="51"/>
  <c r="P2710" i="51"/>
  <c r="P2709" i="51"/>
  <c r="P2708" i="51"/>
  <c r="P2707" i="51"/>
  <c r="P2706" i="51"/>
  <c r="P2705" i="51"/>
  <c r="P2704" i="51"/>
  <c r="P2703" i="51"/>
  <c r="P2702" i="51"/>
  <c r="P2701" i="51"/>
  <c r="P2700" i="51"/>
  <c r="P2699" i="51"/>
  <c r="P2698" i="51"/>
  <c r="P2697" i="51"/>
  <c r="P2696" i="51"/>
  <c r="P2695" i="51"/>
  <c r="P2694" i="51"/>
  <c r="P2693" i="51"/>
  <c r="P2692" i="51"/>
  <c r="P2691" i="51"/>
  <c r="P2690" i="51"/>
  <c r="P2689" i="51"/>
  <c r="P2688" i="51"/>
  <c r="P2687" i="51"/>
  <c r="P2686" i="51"/>
  <c r="P2685" i="51"/>
  <c r="P2684" i="51"/>
  <c r="P2683" i="51"/>
  <c r="P2682" i="51"/>
  <c r="P2681" i="51"/>
  <c r="P2680" i="51"/>
  <c r="P2679" i="51"/>
  <c r="P2678" i="51"/>
  <c r="P2677" i="51"/>
  <c r="P2676" i="51"/>
  <c r="P2675" i="51"/>
  <c r="P2674" i="51"/>
  <c r="P2673" i="51"/>
  <c r="P2672" i="51"/>
  <c r="P2671" i="51"/>
  <c r="P2670" i="51"/>
  <c r="P2669" i="51"/>
  <c r="P2668" i="51"/>
  <c r="P2667" i="51"/>
  <c r="P2666" i="51"/>
  <c r="P2665" i="51"/>
  <c r="P2664" i="51"/>
  <c r="P2663" i="51"/>
  <c r="P2662" i="51"/>
  <c r="P2661" i="51"/>
  <c r="P2660" i="51"/>
  <c r="P2659" i="51"/>
  <c r="P2658" i="51"/>
  <c r="P2657" i="51"/>
  <c r="P2656" i="51"/>
  <c r="P2655" i="51"/>
  <c r="P2654" i="51"/>
  <c r="P2653" i="51"/>
  <c r="P2652" i="51"/>
  <c r="P2651" i="51"/>
  <c r="P2650" i="51"/>
  <c r="P2649" i="51"/>
  <c r="P2648" i="51"/>
  <c r="P2647" i="51"/>
  <c r="P2646" i="51"/>
  <c r="P2645" i="51"/>
  <c r="P2644" i="51"/>
  <c r="P2643" i="51"/>
  <c r="P2642" i="51"/>
  <c r="P2641" i="51"/>
  <c r="P2640" i="51"/>
  <c r="P2639" i="51"/>
  <c r="P2638" i="51"/>
  <c r="P2637" i="51"/>
  <c r="P2636" i="51"/>
  <c r="P2635" i="51"/>
  <c r="P2634" i="51"/>
  <c r="P2633" i="51"/>
  <c r="P2632" i="51"/>
  <c r="P2631" i="51"/>
  <c r="P2630" i="51"/>
  <c r="P2629" i="51"/>
  <c r="P2628" i="51"/>
  <c r="P2627" i="51"/>
  <c r="P2626" i="51"/>
  <c r="P2625" i="51"/>
  <c r="P2624" i="51"/>
  <c r="P2623" i="51"/>
  <c r="P2622" i="51"/>
  <c r="P2621" i="51"/>
  <c r="P2620" i="51"/>
  <c r="P2619" i="51"/>
  <c r="P2618" i="51"/>
  <c r="P2617" i="51"/>
  <c r="P2616" i="51"/>
  <c r="P2615" i="51"/>
  <c r="P2614" i="51"/>
  <c r="P2613" i="51"/>
  <c r="P2612" i="51"/>
  <c r="P2611" i="51"/>
  <c r="P2610" i="51"/>
  <c r="P2609" i="51"/>
  <c r="P2608" i="51"/>
  <c r="P2607" i="51"/>
  <c r="P2606" i="51"/>
  <c r="P2605" i="51"/>
  <c r="P2604" i="51"/>
  <c r="P2603" i="51"/>
  <c r="P2602" i="51"/>
  <c r="P2601" i="51"/>
  <c r="P2600" i="51"/>
  <c r="P2599" i="51"/>
  <c r="P2598" i="51"/>
  <c r="P2597" i="51"/>
  <c r="P2596" i="51"/>
  <c r="P2595" i="51"/>
  <c r="P2594" i="51"/>
  <c r="P2593" i="51"/>
  <c r="P2592" i="51"/>
  <c r="P2591" i="51"/>
  <c r="P2590" i="51"/>
  <c r="P2589" i="51"/>
  <c r="P2588" i="51"/>
  <c r="P2587" i="51"/>
  <c r="P2586" i="51"/>
  <c r="P2585" i="51"/>
  <c r="P2584" i="51"/>
  <c r="P2583" i="51"/>
  <c r="P2582" i="51"/>
  <c r="P2581" i="51"/>
  <c r="P2580" i="51"/>
  <c r="P2579" i="51"/>
  <c r="P2578" i="51"/>
  <c r="P2577" i="51"/>
  <c r="P2576" i="51"/>
  <c r="P2575" i="51"/>
  <c r="P2574" i="51"/>
  <c r="P2573" i="51"/>
  <c r="P2572" i="51"/>
  <c r="P2571" i="51"/>
  <c r="P2570" i="51"/>
  <c r="P2569" i="51"/>
  <c r="P2568" i="51"/>
  <c r="P2567" i="51"/>
  <c r="P2566" i="51"/>
  <c r="P2565" i="51"/>
  <c r="P2564" i="51"/>
  <c r="P2563" i="51"/>
  <c r="P2562" i="51"/>
  <c r="P2561" i="51"/>
  <c r="P2560" i="51"/>
  <c r="P2559" i="51"/>
  <c r="P2558" i="51"/>
  <c r="P2557" i="51"/>
  <c r="P2556" i="51"/>
  <c r="P2555" i="51"/>
  <c r="P2554" i="51"/>
  <c r="P2553" i="51"/>
  <c r="P2552" i="51"/>
  <c r="P2551" i="51"/>
  <c r="P2550" i="51"/>
  <c r="P2549" i="51"/>
  <c r="P2548" i="51"/>
  <c r="P2547" i="51"/>
  <c r="P2546" i="51"/>
  <c r="P2545" i="51"/>
  <c r="P2544" i="51"/>
  <c r="P2543" i="51"/>
  <c r="P2542" i="51"/>
  <c r="P2541" i="51"/>
  <c r="P2540" i="51"/>
  <c r="P2539" i="51"/>
  <c r="P2538" i="51"/>
  <c r="P2537" i="51"/>
  <c r="P2536" i="51"/>
  <c r="P2535" i="51"/>
  <c r="P2534" i="51"/>
  <c r="P2533" i="51"/>
  <c r="P2532" i="51"/>
  <c r="P2531" i="51"/>
  <c r="P2530" i="51"/>
  <c r="P2529" i="51"/>
  <c r="P2528" i="51"/>
  <c r="P2527" i="51"/>
  <c r="P2526" i="51"/>
  <c r="P2525" i="51"/>
  <c r="P2524" i="51"/>
  <c r="P2523" i="51"/>
  <c r="P2522" i="51"/>
  <c r="P2521" i="51"/>
  <c r="P2520" i="51"/>
  <c r="P2519" i="51"/>
  <c r="P2518" i="51"/>
  <c r="P2517" i="51"/>
  <c r="P2516" i="51"/>
  <c r="P2515" i="51"/>
  <c r="P2514" i="51"/>
  <c r="P2513" i="51"/>
  <c r="P2512" i="51"/>
  <c r="P2511" i="51"/>
  <c r="P2510" i="51"/>
  <c r="P2509" i="51"/>
  <c r="P2508" i="51"/>
  <c r="P2507" i="51"/>
  <c r="P2506" i="51"/>
  <c r="P2505" i="51"/>
  <c r="P2504" i="51"/>
  <c r="P2503" i="51"/>
  <c r="P2502" i="51"/>
  <c r="P2501" i="51"/>
  <c r="P2500" i="51"/>
  <c r="P2499" i="51"/>
  <c r="P2498" i="51"/>
  <c r="P2497" i="51"/>
  <c r="P2496" i="51"/>
  <c r="P2495" i="51"/>
  <c r="P2494" i="51"/>
  <c r="P2493" i="51"/>
  <c r="P2492" i="51"/>
  <c r="P2491" i="51"/>
  <c r="P2490" i="51"/>
  <c r="P2489" i="51"/>
  <c r="P2488" i="51"/>
  <c r="P2487" i="51"/>
  <c r="P2486" i="51"/>
  <c r="P2485" i="51"/>
  <c r="P2484" i="51"/>
  <c r="P2483" i="51"/>
  <c r="P2482" i="51"/>
  <c r="P2481" i="51"/>
  <c r="P2480" i="51"/>
  <c r="P2479" i="51"/>
  <c r="P2478" i="51"/>
  <c r="P2477" i="51"/>
  <c r="P2476" i="51"/>
  <c r="P2475" i="51"/>
  <c r="P2474" i="51"/>
  <c r="P2473" i="51"/>
  <c r="P2472" i="51"/>
  <c r="P2471" i="51"/>
  <c r="P2470" i="51"/>
  <c r="P2469" i="51"/>
  <c r="P2468" i="51"/>
  <c r="P2467" i="51"/>
  <c r="P2466" i="51"/>
  <c r="P2465" i="51"/>
  <c r="P2464" i="51"/>
  <c r="P2463" i="51"/>
  <c r="P2462" i="51"/>
  <c r="P2461" i="51"/>
  <c r="P2460" i="51"/>
  <c r="P2459" i="51"/>
  <c r="P2458" i="51"/>
  <c r="P2457" i="51"/>
  <c r="P2456" i="51"/>
  <c r="P2455" i="51"/>
  <c r="P2454" i="51"/>
  <c r="P2453" i="51"/>
  <c r="P2452" i="51"/>
  <c r="P2451" i="51"/>
  <c r="P2450" i="51"/>
  <c r="P2449" i="51"/>
  <c r="P2448" i="51"/>
  <c r="P2447" i="51"/>
  <c r="P2446" i="51"/>
  <c r="P2445" i="51"/>
  <c r="P2444" i="51"/>
  <c r="P2443" i="51"/>
  <c r="P2442" i="51"/>
  <c r="P2441" i="51"/>
  <c r="P2440" i="51"/>
  <c r="P2439" i="51"/>
  <c r="P2438" i="51"/>
  <c r="P2437" i="51"/>
  <c r="P2436" i="51"/>
  <c r="P2435" i="51"/>
  <c r="P2434" i="51"/>
  <c r="P2433" i="51"/>
  <c r="P2432" i="51"/>
  <c r="P2431" i="51"/>
  <c r="P2430" i="51"/>
  <c r="P2429" i="51"/>
  <c r="P2428" i="51"/>
  <c r="P2427" i="51"/>
  <c r="P2426" i="51"/>
  <c r="P2425" i="51"/>
  <c r="P2424" i="51"/>
  <c r="P2423" i="51"/>
  <c r="P2422" i="51"/>
  <c r="P2421" i="51"/>
  <c r="P2420" i="51"/>
  <c r="P2419" i="51"/>
  <c r="P2418" i="51"/>
  <c r="P2417" i="51"/>
  <c r="P2416" i="51"/>
  <c r="P2415" i="51"/>
  <c r="P2414" i="51"/>
  <c r="P2413" i="51"/>
  <c r="P2412" i="51"/>
  <c r="P2411" i="51"/>
  <c r="P2410" i="51"/>
  <c r="P2409" i="51"/>
  <c r="P2408" i="51"/>
  <c r="P2407" i="51"/>
  <c r="P2406" i="51"/>
  <c r="P2405" i="51"/>
  <c r="P2404" i="51"/>
  <c r="P2403" i="51"/>
  <c r="P2402" i="51"/>
  <c r="P2401" i="51"/>
  <c r="P2400" i="51"/>
  <c r="P2399" i="51"/>
  <c r="P2398" i="51"/>
  <c r="P2397" i="51"/>
  <c r="P2396" i="51"/>
  <c r="P2395" i="51"/>
  <c r="P2394" i="51"/>
  <c r="P2393" i="51"/>
  <c r="P2392" i="51"/>
  <c r="P2391" i="51"/>
  <c r="P2390" i="51"/>
  <c r="P2389" i="51"/>
  <c r="P2388" i="51"/>
  <c r="P2387" i="51"/>
  <c r="P2386" i="51"/>
  <c r="P2385" i="51"/>
  <c r="P2384" i="51"/>
  <c r="P2383" i="51"/>
  <c r="P2382" i="51"/>
  <c r="P2381" i="51"/>
  <c r="P2380" i="51"/>
  <c r="P2379" i="51"/>
  <c r="P2378" i="51"/>
  <c r="P2377" i="51"/>
  <c r="P2376" i="51"/>
  <c r="P2375" i="51"/>
  <c r="P2374" i="51"/>
  <c r="P2373" i="51"/>
  <c r="P2372" i="51"/>
  <c r="P2371" i="51"/>
  <c r="P2370" i="51"/>
  <c r="P2369" i="51"/>
  <c r="P2368" i="51"/>
  <c r="P2367" i="51"/>
  <c r="P2366" i="51"/>
  <c r="P2365" i="51"/>
  <c r="P2364" i="51"/>
  <c r="P2363" i="51"/>
  <c r="P2362" i="51"/>
  <c r="P2361" i="51"/>
  <c r="P2360" i="51"/>
  <c r="P2359" i="51"/>
  <c r="P2358" i="51"/>
  <c r="P2357" i="51"/>
  <c r="P2356" i="51"/>
  <c r="P2355" i="51"/>
  <c r="P2354" i="51"/>
  <c r="P2353" i="51"/>
  <c r="P2352" i="51"/>
  <c r="P2351" i="51"/>
  <c r="P2350" i="51"/>
  <c r="P2349" i="51"/>
  <c r="P2348" i="51"/>
  <c r="P2347" i="51"/>
  <c r="P2346" i="51"/>
  <c r="P2345" i="51"/>
  <c r="P2344" i="51"/>
  <c r="P2343" i="51"/>
  <c r="P2342" i="51"/>
  <c r="P2341" i="51"/>
  <c r="P2340" i="51"/>
  <c r="P2339" i="51"/>
  <c r="P2338" i="51"/>
  <c r="P2337" i="51"/>
  <c r="P2336" i="51"/>
  <c r="P2335" i="51"/>
  <c r="P2334" i="51"/>
  <c r="P2333" i="51"/>
  <c r="P2332" i="51"/>
  <c r="P2331" i="51"/>
  <c r="P2330" i="51"/>
  <c r="P2329" i="51"/>
  <c r="P2328" i="51"/>
  <c r="P2327" i="51"/>
  <c r="P2326" i="51"/>
  <c r="P2325" i="51"/>
  <c r="P2324" i="51"/>
  <c r="P2323" i="51"/>
  <c r="P2322" i="51"/>
  <c r="P2321" i="51"/>
  <c r="P2320" i="51"/>
  <c r="P2319" i="51"/>
  <c r="P2318" i="51"/>
  <c r="P2317" i="51"/>
  <c r="P2316" i="51"/>
  <c r="P2315" i="51"/>
  <c r="P2314" i="51"/>
  <c r="P2313" i="51"/>
  <c r="P2312" i="51"/>
  <c r="P2311" i="51"/>
  <c r="P2310" i="51"/>
  <c r="P2309" i="51"/>
  <c r="P2308" i="51"/>
  <c r="P2307" i="51"/>
  <c r="P2306" i="51"/>
  <c r="P2305" i="51"/>
  <c r="P2304" i="51"/>
  <c r="P2303" i="51"/>
  <c r="P2302" i="51"/>
  <c r="P2301" i="51"/>
  <c r="P2300" i="51"/>
  <c r="P2299" i="51"/>
  <c r="P2298" i="51"/>
  <c r="P2297" i="51"/>
  <c r="P2296" i="51"/>
  <c r="P2295" i="51"/>
  <c r="P2294" i="51"/>
  <c r="P2293" i="51"/>
  <c r="P2292" i="51"/>
  <c r="P2291" i="51"/>
  <c r="P2290" i="51"/>
  <c r="P2289" i="51"/>
  <c r="P2288" i="51"/>
  <c r="P2287" i="51"/>
  <c r="P2286" i="51"/>
  <c r="P2285" i="51"/>
  <c r="P2284" i="51"/>
  <c r="P2283" i="51"/>
  <c r="P2282" i="51"/>
  <c r="P2281" i="51"/>
  <c r="P2280" i="51"/>
  <c r="P2279" i="51"/>
  <c r="P2278" i="51"/>
  <c r="P2277" i="51"/>
  <c r="P2276" i="51"/>
  <c r="P2275" i="51"/>
  <c r="P2274" i="51"/>
  <c r="P2273" i="51"/>
  <c r="P2272" i="51"/>
  <c r="P2271" i="51"/>
  <c r="P2270" i="51"/>
  <c r="P2269" i="51"/>
  <c r="P2268" i="51"/>
  <c r="P2267" i="51"/>
  <c r="P2266" i="51"/>
  <c r="P2265" i="51"/>
  <c r="P2264" i="51"/>
  <c r="P2263" i="51"/>
  <c r="P2262" i="51"/>
  <c r="P2261" i="51"/>
  <c r="P2260" i="51"/>
  <c r="P2259" i="51"/>
  <c r="P2258" i="51"/>
  <c r="P2257" i="51"/>
  <c r="P2256" i="51"/>
  <c r="P2255" i="51"/>
  <c r="P2254" i="51"/>
  <c r="P2253" i="51"/>
  <c r="P2252" i="51"/>
  <c r="P2251" i="51"/>
  <c r="P2250" i="51"/>
  <c r="P2249" i="51"/>
  <c r="P2248" i="51"/>
  <c r="P2247" i="51"/>
  <c r="P2246" i="51"/>
  <c r="P2245" i="51"/>
  <c r="P2244" i="51"/>
  <c r="P2243" i="51"/>
  <c r="P2242" i="51"/>
  <c r="P2241" i="51"/>
  <c r="P2240" i="51"/>
  <c r="P2239" i="51"/>
  <c r="P2238" i="51"/>
  <c r="P2237" i="51"/>
  <c r="P2236" i="51"/>
  <c r="P2235" i="51"/>
  <c r="P2234" i="51"/>
  <c r="P2233" i="51"/>
  <c r="P2232" i="51"/>
  <c r="P2231" i="51"/>
  <c r="P2230" i="51"/>
  <c r="P2229" i="51"/>
  <c r="P2228" i="51"/>
  <c r="P2227" i="51"/>
  <c r="P2226" i="51"/>
  <c r="P2225" i="51"/>
  <c r="P2224" i="51"/>
  <c r="P2223" i="51"/>
  <c r="P2222" i="51"/>
  <c r="P2221" i="51"/>
  <c r="P2220" i="51"/>
  <c r="P2219" i="51"/>
  <c r="P2218" i="51"/>
  <c r="P2217" i="51"/>
  <c r="P2216" i="51"/>
  <c r="P2215" i="51"/>
  <c r="P2214" i="51"/>
  <c r="P2213" i="51"/>
  <c r="P2212" i="51"/>
  <c r="P2211" i="51"/>
  <c r="P2210" i="51"/>
  <c r="P2209" i="51"/>
  <c r="P2208" i="51"/>
  <c r="P2207" i="51"/>
  <c r="P2206" i="51"/>
  <c r="P2205" i="51"/>
  <c r="P2204" i="51"/>
  <c r="P2203" i="51"/>
  <c r="P2202" i="51"/>
  <c r="P2201" i="51"/>
  <c r="P2200" i="51"/>
  <c r="P2199" i="51"/>
  <c r="P2198" i="51"/>
  <c r="P2197" i="51"/>
  <c r="P2196" i="51"/>
  <c r="P2195" i="51"/>
  <c r="P2194" i="51"/>
  <c r="P2193" i="51"/>
  <c r="P2192" i="51"/>
  <c r="P2191" i="51"/>
  <c r="P2190" i="51"/>
  <c r="P2189" i="51"/>
  <c r="P2188" i="51"/>
  <c r="P2187" i="51"/>
  <c r="P2186" i="51"/>
  <c r="P2185" i="51"/>
  <c r="P2184" i="51"/>
  <c r="P2183" i="51"/>
  <c r="P2182" i="51"/>
  <c r="P2181" i="51"/>
  <c r="P2180" i="51"/>
  <c r="P2179" i="51"/>
  <c r="P2178" i="51"/>
  <c r="P2177" i="51"/>
  <c r="P2176" i="51"/>
  <c r="P2175" i="51"/>
  <c r="P2174" i="51"/>
  <c r="P2173" i="51"/>
  <c r="P2172" i="51"/>
  <c r="P2171" i="51"/>
  <c r="P2170" i="51"/>
  <c r="P2169" i="51"/>
  <c r="P2168" i="51"/>
  <c r="P2167" i="51"/>
  <c r="P2166" i="51"/>
  <c r="P2165" i="51"/>
  <c r="P2164" i="51"/>
  <c r="P2163" i="51"/>
  <c r="P2162" i="51"/>
  <c r="P2161" i="51"/>
  <c r="P2160" i="51"/>
  <c r="P2159" i="51"/>
  <c r="P2158" i="51"/>
  <c r="P2157" i="51"/>
  <c r="P2156" i="51"/>
  <c r="P2155" i="51"/>
  <c r="P2154" i="51"/>
  <c r="P2153" i="51"/>
  <c r="P2152" i="51"/>
  <c r="P2151" i="51"/>
  <c r="P2150" i="51"/>
  <c r="P2149" i="51"/>
  <c r="P2148" i="51"/>
  <c r="P2147" i="51"/>
  <c r="P2146" i="51"/>
  <c r="P2145" i="51"/>
  <c r="P2144" i="51"/>
  <c r="P2143" i="51"/>
  <c r="P2142" i="51"/>
  <c r="P2141" i="51"/>
  <c r="P2140" i="51"/>
  <c r="P2139" i="51"/>
  <c r="P2138" i="51"/>
  <c r="P2137" i="51"/>
  <c r="P2136" i="51"/>
  <c r="P2135" i="51"/>
  <c r="P2134" i="51"/>
  <c r="P2133" i="51"/>
  <c r="P2132" i="51"/>
  <c r="P2131" i="51"/>
  <c r="P2130" i="51"/>
  <c r="P2129" i="51"/>
  <c r="P2128" i="51"/>
  <c r="P2127" i="51"/>
  <c r="P2126" i="51"/>
  <c r="P2125" i="51"/>
  <c r="P2124" i="51"/>
  <c r="P2123" i="51"/>
  <c r="P2122" i="51"/>
  <c r="P2121" i="51"/>
  <c r="P2120" i="51"/>
  <c r="P2119" i="51"/>
  <c r="P2118" i="51"/>
  <c r="P2117" i="51"/>
  <c r="P2116" i="51"/>
  <c r="P2115" i="51"/>
  <c r="P2114" i="51"/>
  <c r="P2113" i="51"/>
  <c r="P2112" i="51"/>
  <c r="P2111" i="51"/>
  <c r="P2110" i="51"/>
  <c r="P2109" i="51"/>
  <c r="P2108" i="51"/>
  <c r="P2107" i="51"/>
  <c r="P2106" i="51"/>
  <c r="P2105" i="51"/>
  <c r="P2104" i="51"/>
  <c r="P2103" i="51"/>
  <c r="P2102" i="51"/>
  <c r="P2101" i="51"/>
  <c r="P2100" i="51"/>
  <c r="P2099" i="51"/>
  <c r="P2098" i="51"/>
  <c r="P2097" i="51"/>
  <c r="P2096" i="51"/>
  <c r="P2095" i="51"/>
  <c r="P2094" i="51"/>
  <c r="P2093" i="51"/>
  <c r="P2092" i="51"/>
  <c r="P2091" i="51"/>
  <c r="P2090" i="51"/>
  <c r="P2089" i="51"/>
  <c r="P2088" i="51"/>
  <c r="P2087" i="51"/>
  <c r="P2086" i="51"/>
  <c r="P2085" i="51"/>
  <c r="P2084" i="51"/>
  <c r="P2083" i="51"/>
  <c r="P2082" i="51"/>
  <c r="P2081" i="51"/>
  <c r="P2080" i="51"/>
  <c r="P2079" i="51"/>
  <c r="P2078" i="51"/>
  <c r="P2077" i="51"/>
  <c r="P2076" i="51"/>
  <c r="P2075" i="51"/>
  <c r="P2074" i="51"/>
  <c r="P2073" i="51"/>
  <c r="P2072" i="51"/>
  <c r="P2071" i="51"/>
  <c r="P2070" i="51"/>
  <c r="P2069" i="51"/>
  <c r="P2068" i="51"/>
  <c r="P2067" i="51"/>
  <c r="P2066" i="51"/>
  <c r="P2065" i="51"/>
  <c r="P2064" i="51"/>
  <c r="P2063" i="51"/>
  <c r="P2062" i="51"/>
  <c r="P2061" i="51"/>
  <c r="P2060" i="51"/>
  <c r="P2059" i="51"/>
  <c r="P2058" i="51"/>
  <c r="P2057" i="51"/>
  <c r="P2056" i="51"/>
  <c r="P2055" i="51"/>
  <c r="P2054" i="51"/>
  <c r="P2053" i="51"/>
  <c r="P2052" i="51"/>
  <c r="P2051" i="51"/>
  <c r="P2050" i="51"/>
  <c r="P2049" i="51"/>
  <c r="P2048" i="51"/>
  <c r="P2047" i="51"/>
  <c r="P2046" i="51"/>
  <c r="P2045" i="51"/>
  <c r="P2044" i="51"/>
  <c r="P2043" i="51"/>
  <c r="P2042" i="51"/>
  <c r="P2041" i="51"/>
  <c r="P2040" i="51"/>
  <c r="P2039" i="51"/>
  <c r="P2038" i="51"/>
  <c r="P2037" i="51"/>
  <c r="P2036" i="51"/>
  <c r="P2035" i="51"/>
  <c r="P2034" i="51"/>
  <c r="P2033" i="51"/>
  <c r="P2032" i="51"/>
  <c r="P2031" i="51"/>
  <c r="P2030" i="51"/>
  <c r="P2029" i="51"/>
  <c r="P2028" i="51"/>
  <c r="P2027" i="51"/>
  <c r="P2026" i="51"/>
  <c r="P2025" i="51"/>
  <c r="P2024" i="51"/>
  <c r="P2023" i="51"/>
  <c r="P2022" i="51"/>
  <c r="P2021" i="51"/>
  <c r="P2020" i="51"/>
  <c r="P2019" i="51"/>
  <c r="P2018" i="51"/>
  <c r="P2017" i="51"/>
  <c r="P2016" i="51"/>
  <c r="P2015" i="51"/>
  <c r="P2014" i="51"/>
  <c r="P2013" i="51"/>
  <c r="P2012" i="51"/>
  <c r="P2011" i="51"/>
  <c r="P2010" i="51"/>
  <c r="P2009" i="51"/>
  <c r="P2008" i="51"/>
  <c r="P2007" i="51"/>
  <c r="P2006" i="51"/>
  <c r="P2005" i="51"/>
  <c r="P2004" i="51"/>
  <c r="P2003" i="51"/>
  <c r="P2002" i="51"/>
  <c r="P2001" i="51"/>
  <c r="P2000" i="51"/>
  <c r="P1999" i="51"/>
  <c r="P1998" i="51"/>
  <c r="P1997" i="51"/>
  <c r="P1996" i="51"/>
  <c r="P1995" i="51"/>
  <c r="P1994" i="51"/>
  <c r="P1993" i="51"/>
  <c r="P1992" i="51"/>
  <c r="P1991" i="51"/>
  <c r="P1990" i="51"/>
  <c r="P1989" i="51"/>
  <c r="P1988" i="51"/>
  <c r="P1987" i="51"/>
  <c r="P1986" i="51"/>
  <c r="P1985" i="51"/>
  <c r="P1984" i="51"/>
  <c r="P1983" i="51"/>
  <c r="P1982" i="51"/>
  <c r="P1981" i="51"/>
  <c r="P1980" i="51"/>
  <c r="P1979" i="51"/>
  <c r="P1978" i="51"/>
  <c r="P1977" i="51"/>
  <c r="P1976" i="51"/>
  <c r="P1975" i="51"/>
  <c r="P1974" i="51"/>
  <c r="P1973" i="51"/>
  <c r="P1972" i="51"/>
  <c r="P1971" i="51"/>
  <c r="P1970" i="51"/>
  <c r="P1969" i="51"/>
  <c r="P1968" i="51"/>
  <c r="P1967" i="51"/>
  <c r="P1966" i="51"/>
  <c r="P1965" i="51"/>
  <c r="P1964" i="51"/>
  <c r="P1963" i="51"/>
  <c r="P1962" i="51"/>
  <c r="P1961" i="51"/>
  <c r="P1960" i="51"/>
  <c r="P1959" i="51"/>
  <c r="P1958" i="51"/>
  <c r="P1957" i="51"/>
  <c r="P1956" i="51"/>
  <c r="P1955" i="51"/>
  <c r="P1954" i="51"/>
  <c r="P1953" i="51"/>
  <c r="P1952" i="51"/>
  <c r="P1951" i="51"/>
  <c r="P1950" i="51"/>
  <c r="P1949" i="51"/>
  <c r="P1948" i="51"/>
  <c r="P1947" i="51"/>
  <c r="P1946" i="51"/>
  <c r="P1945" i="51"/>
  <c r="P1944" i="51"/>
  <c r="P1943" i="51"/>
  <c r="P1942" i="51"/>
  <c r="P1941" i="51"/>
  <c r="P1940" i="51"/>
  <c r="P1939" i="51"/>
  <c r="P1938" i="51"/>
  <c r="P1937" i="51"/>
  <c r="P1936" i="51"/>
  <c r="P1935" i="51"/>
  <c r="P1934" i="51"/>
  <c r="P1933" i="51"/>
  <c r="P1932" i="51"/>
  <c r="P1931" i="51"/>
  <c r="P1930" i="51"/>
  <c r="P1929" i="51"/>
  <c r="P1928" i="51"/>
  <c r="P1927" i="51"/>
  <c r="P1926" i="51"/>
  <c r="P1925" i="51"/>
  <c r="P1924" i="51"/>
  <c r="P1923" i="51"/>
  <c r="P1922" i="51"/>
  <c r="P1921" i="51"/>
  <c r="P1920" i="51"/>
  <c r="P1919" i="51"/>
  <c r="P1918" i="51"/>
  <c r="P1917" i="51"/>
  <c r="P1916" i="51"/>
  <c r="P1915" i="51"/>
  <c r="P1914" i="51"/>
  <c r="P1913" i="51"/>
  <c r="P1912" i="51"/>
  <c r="P1911" i="51"/>
  <c r="P1910" i="51"/>
  <c r="P1909" i="51"/>
  <c r="P1908" i="51"/>
  <c r="P1907" i="51"/>
  <c r="P1906" i="51"/>
  <c r="P1905" i="51"/>
  <c r="P1904" i="51"/>
  <c r="P1903" i="51"/>
  <c r="P1902" i="51"/>
  <c r="P1901" i="51"/>
  <c r="P1900" i="51"/>
  <c r="P1899" i="51"/>
  <c r="P1898" i="51"/>
  <c r="P1897" i="51"/>
  <c r="P1896" i="51"/>
  <c r="P1895" i="51"/>
  <c r="P1894" i="51"/>
  <c r="P1893" i="51"/>
  <c r="P1892" i="51"/>
  <c r="P1891" i="51"/>
  <c r="P1890" i="51"/>
  <c r="P1889" i="51"/>
  <c r="P1888" i="51"/>
  <c r="P1887" i="51"/>
  <c r="P1886" i="51"/>
  <c r="P1885" i="51"/>
  <c r="P1884" i="51"/>
  <c r="P1883" i="51"/>
  <c r="P1882" i="51"/>
  <c r="P1881" i="51"/>
  <c r="P1880" i="51"/>
  <c r="P1879" i="51"/>
  <c r="P1878" i="51"/>
  <c r="P1877" i="51"/>
  <c r="P1876" i="51"/>
  <c r="P1875" i="51"/>
  <c r="P1874" i="51"/>
  <c r="P1873" i="51"/>
  <c r="P1872" i="51"/>
  <c r="P1871" i="51"/>
  <c r="P1870" i="51"/>
  <c r="P1869" i="51"/>
  <c r="P1868" i="51"/>
  <c r="P1867" i="51"/>
  <c r="P1866" i="51"/>
  <c r="P1865" i="51"/>
  <c r="P1864" i="51"/>
  <c r="P1863" i="51"/>
  <c r="P1862" i="51"/>
  <c r="P1861" i="51"/>
  <c r="P1860" i="51"/>
  <c r="P1859" i="51"/>
  <c r="P1858" i="51"/>
  <c r="P1857" i="51"/>
  <c r="P1856" i="51"/>
  <c r="P1855" i="51"/>
  <c r="P1854" i="51"/>
  <c r="P1853" i="51"/>
  <c r="P1852" i="51"/>
  <c r="P1851" i="51"/>
  <c r="P1850" i="51"/>
  <c r="P1849" i="51"/>
  <c r="P1848" i="51"/>
  <c r="P1847" i="51"/>
  <c r="P1846" i="51"/>
  <c r="P1845" i="51"/>
  <c r="P1844" i="51"/>
  <c r="P1843" i="51"/>
  <c r="P1842" i="51"/>
  <c r="P1841" i="51"/>
  <c r="P1840" i="51"/>
  <c r="P1839" i="51"/>
  <c r="P1838" i="51"/>
  <c r="P1837" i="51"/>
  <c r="P1836" i="51"/>
  <c r="P1835" i="51"/>
  <c r="P1834" i="51"/>
  <c r="P1833" i="51"/>
  <c r="P1832" i="51"/>
  <c r="P1831" i="51"/>
  <c r="P1830" i="51"/>
  <c r="P1829" i="51"/>
  <c r="P1828" i="51"/>
  <c r="P1827" i="51"/>
  <c r="P1826" i="51"/>
  <c r="P1825" i="51"/>
  <c r="P1824" i="51"/>
  <c r="P1823" i="51"/>
  <c r="P1822" i="51"/>
  <c r="P1821" i="51"/>
  <c r="P1820" i="51"/>
  <c r="P1819" i="51"/>
  <c r="P1818" i="51"/>
  <c r="P1817" i="51"/>
  <c r="P1816" i="51"/>
  <c r="P1815" i="51"/>
  <c r="P1814" i="51"/>
  <c r="P1813" i="51"/>
  <c r="P1812" i="51"/>
  <c r="P1811" i="51"/>
  <c r="P1810" i="51"/>
  <c r="P1809" i="51"/>
  <c r="P1808" i="51"/>
  <c r="P1807" i="51"/>
  <c r="P1806" i="51"/>
  <c r="P1805" i="51"/>
  <c r="P1804" i="51"/>
  <c r="P1803" i="51"/>
  <c r="P1802" i="51"/>
  <c r="P1801" i="51"/>
  <c r="P1800" i="51"/>
  <c r="P1799" i="51"/>
  <c r="P1798" i="51"/>
  <c r="P1797" i="51"/>
  <c r="P1796" i="51"/>
  <c r="P1795" i="51"/>
  <c r="P1794" i="51"/>
  <c r="P1793" i="51"/>
  <c r="P1792" i="51"/>
  <c r="P1791" i="51"/>
  <c r="P1790" i="51"/>
  <c r="P1789" i="51"/>
  <c r="P1788" i="51"/>
  <c r="P1787" i="51"/>
  <c r="P1786" i="51"/>
  <c r="P1785" i="51"/>
  <c r="P1784" i="51"/>
  <c r="P1783" i="51"/>
  <c r="P1782" i="51"/>
  <c r="P1781" i="51"/>
  <c r="P1780" i="51"/>
  <c r="P1779" i="51"/>
  <c r="P1778" i="51"/>
  <c r="P1777" i="51"/>
  <c r="P1776" i="51"/>
  <c r="P1775" i="51"/>
  <c r="P1774" i="51"/>
  <c r="P1773" i="51"/>
  <c r="P1772" i="51"/>
  <c r="P1771" i="51"/>
  <c r="P1770" i="51"/>
  <c r="P1769" i="51"/>
  <c r="P1768" i="51"/>
  <c r="P1767" i="51"/>
  <c r="P1766" i="51"/>
  <c r="P1765" i="51"/>
  <c r="P1764" i="51"/>
  <c r="P1763" i="51"/>
  <c r="P1762" i="51"/>
  <c r="P1761" i="51"/>
  <c r="P1760" i="51"/>
  <c r="P1759" i="51"/>
  <c r="P1758" i="51"/>
  <c r="P1757" i="51"/>
  <c r="P1756" i="51"/>
  <c r="P1755" i="51"/>
  <c r="P1754" i="51"/>
  <c r="P1753" i="51"/>
  <c r="P1752" i="51"/>
  <c r="P1751" i="51"/>
  <c r="P1750" i="51"/>
  <c r="P1749" i="51"/>
  <c r="P1748" i="51"/>
  <c r="P1747" i="51"/>
  <c r="P1746" i="51"/>
  <c r="P1745" i="51"/>
  <c r="P1744" i="51"/>
  <c r="P1743" i="51"/>
  <c r="P1742" i="51"/>
  <c r="P1741" i="51"/>
  <c r="P1740" i="51"/>
  <c r="P1739" i="51"/>
  <c r="P1738" i="51"/>
  <c r="P1737" i="51"/>
  <c r="P1736" i="51"/>
  <c r="P1735" i="51"/>
  <c r="P1734" i="51"/>
  <c r="P1733" i="51"/>
  <c r="P1732" i="51"/>
  <c r="P1731" i="51"/>
  <c r="P1730" i="51"/>
  <c r="P1729" i="51"/>
  <c r="P1728" i="51"/>
  <c r="P1727" i="51"/>
  <c r="P1726" i="51"/>
  <c r="P1725" i="51"/>
  <c r="P1724" i="51"/>
  <c r="P1723" i="51"/>
  <c r="P1722" i="51"/>
  <c r="P1721" i="51"/>
  <c r="P1720" i="51"/>
  <c r="P1719" i="51"/>
  <c r="P1718" i="51"/>
  <c r="P1717" i="51"/>
  <c r="P1716" i="51"/>
  <c r="P1715" i="51"/>
  <c r="P1714" i="51"/>
  <c r="P1713" i="51"/>
  <c r="P1712" i="51"/>
  <c r="P1711" i="51"/>
  <c r="P1710" i="51"/>
  <c r="P1709" i="51"/>
  <c r="P1708" i="51"/>
  <c r="P1707" i="51"/>
  <c r="P1706" i="51"/>
  <c r="P1705" i="51"/>
  <c r="P1704" i="51"/>
  <c r="P1703" i="51"/>
  <c r="P1702" i="51"/>
  <c r="P1701" i="51"/>
  <c r="P1700" i="51"/>
  <c r="P1699" i="51"/>
  <c r="P1698" i="51"/>
  <c r="P1697" i="51"/>
  <c r="P1696" i="51"/>
  <c r="P1695" i="51"/>
  <c r="P1694" i="51"/>
  <c r="P1693" i="51"/>
  <c r="P1692" i="51"/>
  <c r="P1691" i="51"/>
  <c r="P1690" i="51"/>
  <c r="P1689" i="51"/>
  <c r="P1688" i="51"/>
  <c r="P1687" i="51"/>
  <c r="P1686" i="51"/>
  <c r="P1685" i="51"/>
  <c r="P1684" i="51"/>
  <c r="P1683" i="51"/>
  <c r="P1682" i="51"/>
  <c r="P1681" i="51"/>
  <c r="P1680" i="51"/>
  <c r="P1679" i="51"/>
  <c r="P1678" i="51"/>
  <c r="P1677" i="51"/>
  <c r="P1676" i="51"/>
  <c r="P1675" i="51"/>
  <c r="P1674" i="51"/>
  <c r="P1673" i="51"/>
  <c r="P1672" i="51"/>
  <c r="P1671" i="51"/>
  <c r="P1670" i="51"/>
  <c r="P1669" i="51"/>
  <c r="P1668" i="51"/>
  <c r="P1667" i="51"/>
  <c r="P1666" i="51"/>
  <c r="P1665" i="51"/>
  <c r="P1664" i="51"/>
  <c r="P1663" i="51"/>
  <c r="P1662" i="51"/>
  <c r="P1661" i="51"/>
  <c r="P1660" i="51"/>
  <c r="P1659" i="51"/>
  <c r="P1658" i="51"/>
  <c r="P1657" i="51"/>
  <c r="P1656" i="51"/>
  <c r="P1655" i="51"/>
  <c r="P1654" i="51"/>
  <c r="P1653" i="51"/>
  <c r="P1652" i="51"/>
  <c r="P1651" i="51"/>
  <c r="P1650" i="51"/>
  <c r="P1649" i="51"/>
  <c r="P1648" i="51"/>
  <c r="P1647" i="51"/>
  <c r="P1646" i="51"/>
  <c r="P1645" i="51"/>
  <c r="P1644" i="51"/>
  <c r="P1643" i="51"/>
  <c r="P1642" i="51"/>
  <c r="P1641" i="51"/>
  <c r="P1640" i="51"/>
  <c r="P1639" i="51"/>
  <c r="P1638" i="51"/>
  <c r="P1637" i="51"/>
  <c r="P1636" i="51"/>
  <c r="P1635" i="51"/>
  <c r="P1634" i="51"/>
  <c r="P1633" i="51"/>
  <c r="P1632" i="51"/>
  <c r="P1631" i="51"/>
  <c r="P1630" i="51"/>
  <c r="P1629" i="51"/>
  <c r="P1628" i="51"/>
  <c r="P1627" i="51"/>
  <c r="P1626" i="51"/>
  <c r="P1625" i="51"/>
  <c r="P1624" i="51"/>
  <c r="P1623" i="51"/>
  <c r="P1622" i="51"/>
  <c r="P1621" i="51"/>
  <c r="P1620" i="51"/>
  <c r="P1619" i="51"/>
  <c r="P1618" i="51"/>
  <c r="P1617" i="51"/>
  <c r="P1616" i="51"/>
  <c r="P1615" i="51"/>
  <c r="P1614" i="51"/>
  <c r="P1613" i="51"/>
  <c r="P1612" i="51"/>
  <c r="P1611" i="51"/>
  <c r="P1610" i="51"/>
  <c r="P1609" i="51"/>
  <c r="P1608" i="51"/>
  <c r="P1607" i="51"/>
  <c r="P1606" i="51"/>
  <c r="P1605" i="51"/>
  <c r="P1604" i="51"/>
  <c r="P1603" i="51"/>
  <c r="P1602" i="51"/>
  <c r="P1601" i="51"/>
  <c r="P1600" i="51"/>
  <c r="P1599" i="51"/>
  <c r="P1598" i="51"/>
  <c r="P1597" i="51"/>
  <c r="P1596" i="51"/>
  <c r="P1595" i="51"/>
  <c r="P1594" i="51"/>
  <c r="P1593" i="51"/>
  <c r="P1592" i="51"/>
  <c r="P1591" i="51"/>
  <c r="P1590" i="51"/>
  <c r="P1589" i="51"/>
  <c r="P1588" i="51"/>
  <c r="P1587" i="51"/>
  <c r="P1586" i="51"/>
  <c r="P1585" i="51"/>
  <c r="P1584" i="51"/>
  <c r="P1583" i="51"/>
  <c r="P1582" i="51"/>
  <c r="P1581" i="51"/>
  <c r="P1580" i="51"/>
  <c r="P1579" i="51"/>
  <c r="P1578" i="51"/>
  <c r="P1577" i="51"/>
  <c r="P1576" i="51"/>
  <c r="P1575" i="51"/>
  <c r="P1574" i="51"/>
  <c r="P1573" i="51"/>
  <c r="P1572" i="51"/>
  <c r="P1571" i="51"/>
  <c r="P1570" i="51"/>
  <c r="P1569" i="51"/>
  <c r="P1568" i="51"/>
  <c r="P1567" i="51"/>
  <c r="P1566" i="51"/>
  <c r="P1565" i="51"/>
  <c r="P1564" i="51"/>
  <c r="P1563" i="51"/>
  <c r="P1562" i="51"/>
  <c r="P1561" i="51"/>
  <c r="P1560" i="51"/>
  <c r="P1559" i="51"/>
  <c r="P1558" i="51"/>
  <c r="P1557" i="51"/>
  <c r="P1556" i="51"/>
  <c r="P1555" i="51"/>
  <c r="P1554" i="51"/>
  <c r="P1553" i="51"/>
  <c r="P1552" i="51"/>
  <c r="P1551" i="51"/>
  <c r="P1550" i="51"/>
  <c r="P1549" i="51"/>
  <c r="P1548" i="51"/>
  <c r="P1547" i="51"/>
  <c r="P1546" i="51"/>
  <c r="P1545" i="51"/>
  <c r="P1544" i="51"/>
  <c r="P1543" i="51"/>
  <c r="P1542" i="51"/>
  <c r="P1541" i="51"/>
  <c r="P1540" i="51"/>
  <c r="P1539" i="51"/>
  <c r="P1538" i="51"/>
  <c r="P1537" i="51"/>
  <c r="P1536" i="51"/>
  <c r="P1535" i="51"/>
  <c r="P1534" i="51"/>
  <c r="P1533" i="51"/>
  <c r="P1532" i="51"/>
  <c r="P1531" i="51"/>
  <c r="P1530" i="51"/>
  <c r="P1529" i="51"/>
  <c r="P1528" i="51"/>
  <c r="P1527" i="51"/>
  <c r="P1526" i="51"/>
  <c r="P1525" i="51"/>
  <c r="P1524" i="51"/>
  <c r="P1523" i="51"/>
  <c r="P1522" i="51"/>
  <c r="P1521" i="51"/>
  <c r="P1520" i="51"/>
  <c r="P1519" i="51"/>
  <c r="P1518" i="51"/>
  <c r="P1517" i="51"/>
  <c r="P1516" i="51"/>
  <c r="P1515" i="51"/>
  <c r="P1514" i="51"/>
  <c r="P1513" i="51"/>
  <c r="P1512" i="51"/>
  <c r="P1511" i="51"/>
  <c r="P1510" i="51"/>
  <c r="P1509" i="51"/>
  <c r="P1508" i="51"/>
  <c r="P1507" i="51"/>
  <c r="P1506" i="51"/>
  <c r="P1505" i="51"/>
  <c r="P1504" i="51"/>
  <c r="P1503" i="51"/>
  <c r="P1502" i="51"/>
  <c r="P1501" i="51"/>
  <c r="P1500" i="51"/>
  <c r="P1499" i="51"/>
  <c r="P1498" i="51"/>
  <c r="P1497" i="51"/>
  <c r="P1496" i="51"/>
  <c r="P1495" i="51"/>
  <c r="P1494" i="51"/>
  <c r="P1493" i="51"/>
  <c r="P1492" i="51"/>
  <c r="P1491" i="51"/>
  <c r="P1490" i="51"/>
  <c r="P1489" i="51"/>
  <c r="P1488" i="51"/>
  <c r="P1487" i="51"/>
  <c r="P1486" i="51"/>
  <c r="P1485" i="51"/>
  <c r="P1484" i="51"/>
  <c r="P1483" i="51"/>
  <c r="P1482" i="51"/>
  <c r="P1481" i="51"/>
  <c r="P1480" i="51"/>
  <c r="P1479" i="51"/>
  <c r="P1478" i="51"/>
  <c r="P1477" i="51"/>
  <c r="P1476" i="51"/>
  <c r="P1475" i="51"/>
  <c r="P1474" i="51"/>
  <c r="P1473" i="51"/>
  <c r="P1472" i="51"/>
  <c r="P1471" i="51"/>
  <c r="P1470" i="51"/>
  <c r="P1469" i="51"/>
  <c r="P1468" i="51"/>
  <c r="P1467" i="51"/>
  <c r="P1466" i="51"/>
  <c r="P1465" i="51"/>
  <c r="P1464" i="51"/>
  <c r="P1463" i="51"/>
  <c r="P1462" i="51"/>
  <c r="P1461" i="51"/>
  <c r="P1460" i="51"/>
  <c r="P1459" i="51"/>
  <c r="P1458" i="51"/>
  <c r="P1457" i="51"/>
  <c r="P1456" i="51"/>
  <c r="P1455" i="51"/>
  <c r="P1454" i="51"/>
  <c r="P1453" i="51"/>
  <c r="P1452" i="51"/>
  <c r="P1451" i="51"/>
  <c r="P1450" i="51"/>
  <c r="P1449" i="51"/>
  <c r="P1448" i="51"/>
  <c r="P1447" i="51"/>
  <c r="P1446" i="51"/>
  <c r="P1445" i="51"/>
  <c r="P1444" i="51"/>
  <c r="P1443" i="51"/>
  <c r="P1442" i="51"/>
  <c r="P1441" i="51"/>
  <c r="P1440" i="51"/>
  <c r="P1439" i="51"/>
  <c r="P1438" i="51"/>
  <c r="P1437" i="51"/>
  <c r="P1436" i="51"/>
  <c r="P1435" i="51"/>
  <c r="P1434" i="51"/>
  <c r="P1433" i="51"/>
  <c r="P1432" i="51"/>
  <c r="P1431" i="51"/>
  <c r="P1430" i="51"/>
  <c r="P1429" i="51"/>
  <c r="P1428" i="51"/>
  <c r="P1427" i="51"/>
  <c r="P1426" i="51"/>
  <c r="P1425" i="51"/>
  <c r="P1424" i="51"/>
  <c r="P1423" i="51"/>
  <c r="P1422" i="51"/>
  <c r="P1421" i="51"/>
  <c r="P1420" i="51"/>
  <c r="P1419" i="51"/>
  <c r="P1418" i="51"/>
  <c r="P1417" i="51"/>
  <c r="P1416" i="51"/>
  <c r="P1415" i="51"/>
  <c r="P1414" i="51"/>
  <c r="P1413" i="51"/>
  <c r="P1412" i="51"/>
  <c r="P1411" i="51"/>
  <c r="P1410" i="51"/>
  <c r="P1409" i="51"/>
  <c r="P1408" i="51"/>
  <c r="P1407" i="51"/>
  <c r="P1406" i="51"/>
  <c r="P1405" i="51"/>
  <c r="P1404" i="51"/>
  <c r="P1403" i="51"/>
  <c r="P1402" i="51"/>
  <c r="P1401" i="51"/>
  <c r="P1400" i="51"/>
  <c r="P1399" i="51"/>
  <c r="P1398" i="51"/>
  <c r="P1397" i="51"/>
  <c r="P1396" i="51"/>
  <c r="P1395" i="51"/>
  <c r="P1394" i="51"/>
  <c r="P1393" i="51"/>
  <c r="P1392" i="51"/>
  <c r="P1391" i="51"/>
  <c r="P1390" i="51"/>
  <c r="P1389" i="51"/>
  <c r="P1388" i="51"/>
  <c r="P1387" i="51"/>
  <c r="P1386" i="51"/>
  <c r="P1385" i="51"/>
  <c r="P1384" i="51"/>
  <c r="P1383" i="51"/>
  <c r="P1382" i="51"/>
  <c r="P1381" i="51"/>
  <c r="P1380" i="51"/>
  <c r="P1379" i="51"/>
  <c r="P1378" i="51"/>
  <c r="P1377" i="51"/>
  <c r="P1376" i="51"/>
  <c r="P1375" i="51"/>
  <c r="P1374" i="51"/>
  <c r="P1373" i="51"/>
  <c r="P1372" i="51"/>
  <c r="P1371" i="51"/>
  <c r="P1370" i="51"/>
  <c r="P1369" i="51"/>
  <c r="P1368" i="51"/>
  <c r="P1367" i="51"/>
  <c r="P1366" i="51"/>
  <c r="P1365" i="51"/>
  <c r="P1364" i="51"/>
  <c r="P1363" i="51"/>
  <c r="P1362" i="51"/>
  <c r="P1361" i="51"/>
  <c r="P1360" i="51"/>
  <c r="P1359" i="51"/>
  <c r="P1358" i="51"/>
  <c r="P1357" i="51"/>
  <c r="P1356" i="51"/>
  <c r="P1355" i="51"/>
  <c r="P1354" i="51"/>
  <c r="P1353" i="51"/>
  <c r="P1352" i="51"/>
  <c r="P1351" i="51"/>
  <c r="P1350" i="51"/>
  <c r="P1349" i="51"/>
  <c r="P1348" i="51"/>
  <c r="P1347" i="51"/>
  <c r="P1346" i="51"/>
  <c r="P1345" i="51"/>
  <c r="P1344" i="51"/>
  <c r="P1343" i="51"/>
  <c r="P1342" i="51"/>
  <c r="P1341" i="51"/>
  <c r="P1340" i="51"/>
  <c r="P1339" i="51"/>
  <c r="P1338" i="51"/>
  <c r="P1337" i="51"/>
  <c r="P1336" i="51"/>
  <c r="P1335" i="51"/>
  <c r="P1334" i="51"/>
  <c r="P1333" i="51"/>
  <c r="P1332" i="51"/>
  <c r="P1331" i="51"/>
  <c r="P1330" i="51"/>
  <c r="P1329" i="51"/>
  <c r="P1328" i="51"/>
  <c r="P1327" i="51"/>
  <c r="P1326" i="51"/>
  <c r="P1325" i="51"/>
  <c r="P1324" i="51"/>
  <c r="P1323" i="51"/>
  <c r="P1322" i="51"/>
  <c r="P1321" i="51"/>
  <c r="P1320" i="51"/>
  <c r="P1319" i="51"/>
  <c r="P1318" i="51"/>
  <c r="P1317" i="51"/>
  <c r="P1316" i="51"/>
  <c r="P1315" i="51"/>
  <c r="P1314" i="51"/>
  <c r="P1313" i="51"/>
  <c r="P1312" i="51"/>
  <c r="P1311" i="51"/>
  <c r="P1310" i="51"/>
  <c r="P1309" i="51"/>
  <c r="P1308" i="51"/>
  <c r="P1307" i="51"/>
  <c r="P1306" i="51"/>
  <c r="P1305" i="51"/>
  <c r="P1304" i="51"/>
  <c r="P1303" i="51"/>
  <c r="P1302" i="51"/>
  <c r="P1301" i="51"/>
  <c r="P1300" i="51"/>
  <c r="P1299" i="51"/>
  <c r="P1298" i="51"/>
  <c r="P1297" i="51"/>
  <c r="P1296" i="51"/>
  <c r="P1295" i="51"/>
  <c r="P1294" i="51"/>
  <c r="P1293" i="51"/>
  <c r="P1292" i="51"/>
  <c r="P1291" i="51"/>
  <c r="P1290" i="51"/>
  <c r="P1289" i="51"/>
  <c r="P1288" i="51"/>
  <c r="P1287" i="51"/>
  <c r="P1286" i="51"/>
  <c r="P1285" i="51"/>
  <c r="P1284" i="51"/>
  <c r="P1283" i="51"/>
  <c r="P1282" i="51"/>
  <c r="P1281" i="51"/>
  <c r="P1280" i="51"/>
  <c r="P1279" i="51"/>
  <c r="P1278" i="51"/>
  <c r="P1277" i="51"/>
  <c r="P1276" i="51"/>
  <c r="P1275" i="51"/>
  <c r="P1274" i="51"/>
  <c r="P1273" i="51"/>
  <c r="P1272" i="51"/>
  <c r="P1271" i="51"/>
  <c r="P1270" i="51"/>
  <c r="P1269" i="51"/>
  <c r="P1268" i="51"/>
  <c r="P1267" i="51"/>
  <c r="P1266" i="51"/>
  <c r="P1265" i="51"/>
  <c r="P1264" i="51"/>
  <c r="P1263" i="51"/>
  <c r="P1262" i="51"/>
  <c r="P1261" i="51"/>
  <c r="P1260" i="51"/>
  <c r="P1259" i="51"/>
  <c r="P1258" i="51"/>
  <c r="P1257" i="51"/>
  <c r="P1256" i="51"/>
  <c r="P1255" i="51"/>
  <c r="P1254" i="51"/>
  <c r="P1253" i="51"/>
  <c r="P1252" i="51"/>
  <c r="P1251" i="51"/>
  <c r="P1250" i="51"/>
  <c r="P1249" i="51"/>
  <c r="P1248" i="51"/>
  <c r="P1247" i="51"/>
  <c r="P1246" i="51"/>
  <c r="P1245" i="51"/>
  <c r="P1244" i="51"/>
  <c r="P1243" i="51"/>
  <c r="P1242" i="51"/>
  <c r="P1241" i="51"/>
  <c r="P1240" i="51"/>
  <c r="P1239" i="51"/>
  <c r="P1238" i="51"/>
  <c r="P1237" i="51"/>
  <c r="P1236" i="51"/>
  <c r="P1235" i="51"/>
  <c r="P1234" i="51"/>
  <c r="P1233" i="51"/>
  <c r="P1232" i="51"/>
  <c r="P1231" i="51"/>
  <c r="P1230" i="51"/>
  <c r="P1229" i="51"/>
  <c r="P1228" i="51"/>
  <c r="P1227" i="51"/>
  <c r="P1226" i="51"/>
  <c r="P1225" i="51"/>
  <c r="P1224" i="51"/>
  <c r="P1223" i="51"/>
  <c r="P1222" i="51"/>
  <c r="P1221" i="51"/>
  <c r="P1220" i="51"/>
  <c r="P1219" i="51"/>
  <c r="P1218" i="51"/>
  <c r="P1217" i="51"/>
  <c r="P1216" i="51"/>
  <c r="P1215" i="51"/>
  <c r="P1214" i="51"/>
  <c r="P1213" i="51"/>
  <c r="P1212" i="51"/>
  <c r="P1211" i="51"/>
  <c r="P1210" i="51"/>
  <c r="P1209" i="51"/>
  <c r="P1208" i="51"/>
  <c r="P1207" i="51"/>
  <c r="P1206" i="51"/>
  <c r="P1205" i="51"/>
  <c r="P1204" i="51"/>
  <c r="P1203" i="51"/>
  <c r="P1202" i="51"/>
  <c r="P1201" i="51"/>
  <c r="P1200" i="51"/>
  <c r="P1199" i="51"/>
  <c r="P1198" i="51"/>
  <c r="P1197" i="51"/>
  <c r="P1196" i="51"/>
  <c r="P1195" i="51"/>
  <c r="P1194" i="51"/>
  <c r="P1193" i="51"/>
  <c r="P1192" i="51"/>
  <c r="P1191" i="51"/>
  <c r="P1190" i="51"/>
  <c r="P1189" i="51"/>
  <c r="P1188" i="51"/>
  <c r="P1187" i="51"/>
  <c r="P1186" i="51"/>
  <c r="P1185" i="51"/>
  <c r="P1184" i="51"/>
  <c r="P1183" i="51"/>
  <c r="P1182" i="51"/>
  <c r="P1181" i="51"/>
  <c r="P1180" i="51"/>
  <c r="P1179" i="51"/>
  <c r="P1178" i="51"/>
  <c r="P1177" i="51"/>
  <c r="P1176" i="51"/>
  <c r="P1175" i="51"/>
  <c r="P1174" i="51"/>
  <c r="P1173" i="51"/>
  <c r="P1172" i="51"/>
  <c r="P1171" i="51"/>
  <c r="P1170" i="51"/>
  <c r="P1169" i="51"/>
  <c r="P1168" i="51"/>
  <c r="P1167" i="51"/>
  <c r="P1166" i="51"/>
  <c r="P1165" i="51"/>
  <c r="P1164" i="51"/>
  <c r="P1163" i="51"/>
  <c r="P1162" i="51"/>
  <c r="P1161" i="51"/>
  <c r="P1160" i="51"/>
  <c r="P1159" i="51"/>
  <c r="P1158" i="51"/>
  <c r="P1157" i="51"/>
  <c r="P1156" i="51"/>
  <c r="P1155" i="51"/>
  <c r="P1154" i="51"/>
  <c r="P1153" i="51"/>
  <c r="P1152" i="51"/>
  <c r="P1151" i="51"/>
  <c r="P1150" i="51"/>
  <c r="P1149" i="51"/>
  <c r="P1148" i="51"/>
  <c r="P1147" i="51"/>
  <c r="P1146" i="51"/>
  <c r="P1145" i="51"/>
  <c r="P1144" i="51"/>
  <c r="P1143" i="51"/>
  <c r="P1142" i="51"/>
  <c r="P1141" i="51"/>
  <c r="P1140" i="51"/>
  <c r="P1139" i="51"/>
  <c r="P1138" i="51"/>
  <c r="P1137" i="51"/>
  <c r="P1136" i="51"/>
  <c r="P1135" i="51"/>
  <c r="P1134" i="51"/>
  <c r="P1133" i="51"/>
  <c r="P1132" i="51"/>
  <c r="P1131" i="51"/>
  <c r="P1130" i="51"/>
  <c r="P1129" i="51"/>
  <c r="P1128" i="51"/>
  <c r="P1127" i="51"/>
  <c r="P1126" i="51"/>
  <c r="P1125" i="51"/>
  <c r="P1124" i="51"/>
  <c r="P1123" i="51"/>
  <c r="P1122" i="51"/>
  <c r="P1121" i="51"/>
  <c r="P1120" i="51"/>
  <c r="P1119" i="51"/>
  <c r="P1118" i="51"/>
  <c r="P1117" i="51"/>
  <c r="P1116" i="51"/>
  <c r="P1115" i="51"/>
  <c r="P1114" i="51"/>
  <c r="P1113" i="51"/>
  <c r="P1112" i="51"/>
  <c r="P1111" i="51"/>
  <c r="P1110" i="51"/>
  <c r="P1109" i="51"/>
  <c r="P1108" i="51"/>
  <c r="P1107" i="51"/>
  <c r="P1106" i="51"/>
  <c r="P1105" i="51"/>
  <c r="P1104" i="51"/>
  <c r="P1103" i="51"/>
  <c r="P1102" i="51"/>
  <c r="P1101" i="51"/>
  <c r="P1100" i="51"/>
  <c r="P1099" i="51"/>
  <c r="P1098" i="51"/>
  <c r="P1097" i="51"/>
  <c r="P1096" i="51"/>
  <c r="P1095" i="51"/>
  <c r="P1094" i="51"/>
  <c r="P1093" i="51"/>
  <c r="P1092" i="51"/>
  <c r="P1091" i="51"/>
  <c r="P1090" i="51"/>
  <c r="P1089" i="51"/>
  <c r="P1088" i="51"/>
  <c r="P1087" i="51"/>
  <c r="P1086" i="51"/>
  <c r="P1085" i="51"/>
  <c r="P1084" i="51"/>
  <c r="P1083" i="51"/>
  <c r="P1082" i="51"/>
  <c r="P1081" i="51"/>
  <c r="P1080" i="51"/>
  <c r="P1079" i="51"/>
  <c r="P1078" i="51"/>
  <c r="P1077" i="51"/>
  <c r="P1076" i="51"/>
  <c r="P1075" i="51"/>
  <c r="P1074" i="51"/>
  <c r="P1073" i="51"/>
  <c r="P1072" i="51"/>
  <c r="P1071" i="51"/>
  <c r="P1070" i="51"/>
  <c r="P1069" i="51"/>
  <c r="P1068" i="51"/>
  <c r="P1067" i="51"/>
  <c r="P1066" i="51"/>
  <c r="P1065" i="51"/>
  <c r="P1064" i="51"/>
  <c r="P1063" i="51"/>
  <c r="P1062" i="51"/>
  <c r="P1061" i="51"/>
  <c r="P1060" i="51"/>
  <c r="P1059" i="51"/>
  <c r="P1058" i="51"/>
  <c r="P1057" i="51"/>
  <c r="P1056" i="51"/>
  <c r="P1055" i="51"/>
  <c r="P1054" i="51"/>
  <c r="P1053" i="51"/>
  <c r="P1052" i="51"/>
  <c r="P1051" i="51"/>
  <c r="P1050" i="51"/>
  <c r="P1049" i="51"/>
  <c r="P1048" i="51"/>
  <c r="P1047" i="51"/>
  <c r="P1046" i="51"/>
  <c r="P1045" i="51"/>
  <c r="P1044" i="51"/>
  <c r="P1043" i="51"/>
  <c r="P1042" i="51"/>
  <c r="P1041" i="51"/>
  <c r="P1040" i="51"/>
  <c r="P1039" i="51"/>
  <c r="P1038" i="51"/>
  <c r="P1037" i="51"/>
  <c r="P1036" i="51"/>
  <c r="P1035" i="51"/>
  <c r="P1034" i="51"/>
  <c r="P1033" i="51"/>
  <c r="P1032" i="51"/>
  <c r="P1031" i="51"/>
  <c r="P1030" i="51"/>
  <c r="P1029" i="51"/>
  <c r="P1028" i="51"/>
  <c r="P1027" i="51"/>
  <c r="P1026" i="51"/>
  <c r="P1025" i="51"/>
  <c r="P1024" i="51"/>
  <c r="P1023" i="51"/>
  <c r="P1022" i="51"/>
  <c r="P1021" i="51"/>
  <c r="P1020" i="51"/>
  <c r="P1019" i="51"/>
  <c r="P1018" i="51"/>
  <c r="P1017" i="51"/>
  <c r="P1016" i="51"/>
  <c r="P1015" i="51"/>
  <c r="P1014" i="51"/>
  <c r="P1013" i="51"/>
  <c r="P1012" i="51"/>
  <c r="P1011" i="51"/>
  <c r="P1010" i="51"/>
  <c r="P1009" i="51"/>
  <c r="P1008" i="51"/>
  <c r="P1007" i="51"/>
  <c r="P1006" i="51"/>
  <c r="P1005" i="51"/>
  <c r="P1004" i="51"/>
  <c r="P1003" i="51"/>
  <c r="P1002" i="51"/>
  <c r="P1001" i="51"/>
  <c r="P1000" i="51"/>
  <c r="P999" i="51"/>
  <c r="P998" i="51"/>
  <c r="P997" i="51"/>
  <c r="P996" i="51"/>
  <c r="P995" i="51"/>
  <c r="P994" i="51"/>
  <c r="P993" i="51"/>
  <c r="P992" i="51"/>
  <c r="P991" i="51"/>
  <c r="P990" i="51"/>
  <c r="P989" i="51"/>
  <c r="P988" i="51"/>
  <c r="P987" i="51"/>
  <c r="P986" i="51"/>
  <c r="P985" i="51"/>
  <c r="P984" i="51"/>
  <c r="P983" i="51"/>
  <c r="P982" i="51"/>
  <c r="P981" i="51"/>
  <c r="P980" i="51"/>
  <c r="P979" i="51"/>
  <c r="P978" i="51"/>
  <c r="P977" i="51"/>
  <c r="P976" i="51"/>
  <c r="P975" i="51"/>
  <c r="P974" i="51"/>
  <c r="P973" i="51"/>
  <c r="P972" i="51"/>
  <c r="P971" i="51"/>
  <c r="P970" i="51"/>
  <c r="P969" i="51"/>
  <c r="P968" i="51"/>
  <c r="P967" i="51"/>
  <c r="P966" i="51"/>
  <c r="P965" i="51"/>
  <c r="P964" i="51"/>
  <c r="P963" i="51"/>
  <c r="P962" i="51"/>
  <c r="P961" i="51"/>
  <c r="P960" i="51"/>
  <c r="P959" i="51"/>
  <c r="P958" i="51"/>
  <c r="P957" i="51"/>
  <c r="P956" i="51"/>
  <c r="P955" i="51"/>
  <c r="P954" i="51"/>
  <c r="P953" i="51"/>
  <c r="P952" i="51"/>
  <c r="P951" i="51"/>
  <c r="P950" i="51"/>
  <c r="P949" i="51"/>
  <c r="P948" i="51"/>
  <c r="P947" i="51"/>
  <c r="P946" i="51"/>
  <c r="P945" i="51"/>
  <c r="P944" i="51"/>
  <c r="P943" i="51"/>
  <c r="P942" i="51"/>
  <c r="P941" i="51"/>
  <c r="P940" i="51"/>
  <c r="P939" i="51"/>
  <c r="P938" i="51"/>
  <c r="P937" i="51"/>
  <c r="P936" i="51"/>
  <c r="P935" i="51"/>
  <c r="P934" i="51"/>
  <c r="P933" i="51"/>
  <c r="P932" i="51"/>
  <c r="P931" i="51"/>
  <c r="P930" i="51"/>
  <c r="P929" i="51"/>
  <c r="P928" i="51"/>
  <c r="P927" i="51"/>
  <c r="P926" i="51"/>
  <c r="P925" i="51"/>
  <c r="P924" i="51"/>
  <c r="P923" i="51"/>
  <c r="P922" i="51"/>
  <c r="P921" i="51"/>
  <c r="P920" i="51"/>
  <c r="P919" i="51"/>
  <c r="P918" i="51"/>
  <c r="P917" i="51"/>
  <c r="P916" i="51"/>
  <c r="P915" i="51"/>
  <c r="P914" i="51"/>
  <c r="P913" i="51"/>
  <c r="P912" i="51"/>
  <c r="P911" i="51"/>
  <c r="P910" i="51"/>
  <c r="P909" i="51"/>
  <c r="P908" i="51"/>
  <c r="P907" i="51"/>
  <c r="P906" i="51"/>
  <c r="P905" i="51"/>
  <c r="P904" i="51"/>
  <c r="P903" i="51"/>
  <c r="P902" i="51"/>
  <c r="P901" i="51"/>
  <c r="P900" i="51"/>
  <c r="P899" i="51"/>
  <c r="P898" i="51"/>
  <c r="P897" i="51"/>
  <c r="P896" i="51"/>
  <c r="P895" i="51"/>
  <c r="P894" i="51"/>
  <c r="P893" i="51"/>
  <c r="P892" i="51"/>
  <c r="P891" i="51"/>
  <c r="P890" i="51"/>
  <c r="P889" i="51"/>
  <c r="P888" i="51"/>
  <c r="P887" i="51"/>
  <c r="P886" i="51"/>
  <c r="P885" i="51"/>
  <c r="P884" i="51"/>
  <c r="P883" i="51"/>
  <c r="P882" i="51"/>
  <c r="P881" i="51"/>
  <c r="P880" i="51"/>
  <c r="P879" i="51"/>
  <c r="P878" i="51"/>
  <c r="P877" i="51"/>
  <c r="P876" i="51"/>
  <c r="P875" i="51"/>
  <c r="P874" i="51"/>
  <c r="P873" i="51"/>
  <c r="P872" i="51"/>
  <c r="P871" i="51"/>
  <c r="P870" i="51"/>
  <c r="P869" i="51"/>
  <c r="P868" i="51"/>
  <c r="P867" i="51"/>
  <c r="P866" i="51"/>
  <c r="P865" i="51"/>
  <c r="P864" i="51"/>
  <c r="P863" i="51"/>
  <c r="P862" i="51"/>
  <c r="P861" i="51"/>
  <c r="P860" i="51"/>
  <c r="P859" i="51"/>
  <c r="P858" i="51"/>
  <c r="P857" i="51"/>
  <c r="P856" i="51"/>
  <c r="P855" i="51"/>
  <c r="P854" i="51"/>
  <c r="P853" i="51"/>
  <c r="P852" i="51"/>
  <c r="P851" i="51"/>
  <c r="P850" i="51"/>
  <c r="P849" i="51"/>
  <c r="P848" i="51"/>
  <c r="P847" i="51"/>
  <c r="P846" i="51"/>
  <c r="P845" i="51"/>
  <c r="P844" i="51"/>
  <c r="P843" i="51"/>
  <c r="P842" i="51"/>
  <c r="P841" i="51"/>
  <c r="P840" i="51"/>
  <c r="P839" i="51"/>
  <c r="P838" i="51"/>
  <c r="P837" i="51"/>
  <c r="P836" i="51"/>
  <c r="P835" i="51"/>
  <c r="P834" i="51"/>
  <c r="P833" i="51"/>
  <c r="P832" i="51"/>
  <c r="P831" i="51"/>
  <c r="P830" i="51"/>
  <c r="P829" i="51"/>
  <c r="P828" i="51"/>
  <c r="P827" i="51"/>
  <c r="P826" i="51"/>
  <c r="P825" i="51"/>
  <c r="P824" i="51"/>
  <c r="P823" i="51"/>
  <c r="P822" i="51"/>
  <c r="P821" i="51"/>
  <c r="P820" i="51"/>
  <c r="P819" i="51"/>
  <c r="P818" i="51"/>
  <c r="P817" i="51"/>
  <c r="P816" i="51"/>
  <c r="P815" i="51"/>
  <c r="P814" i="51"/>
  <c r="P813" i="51"/>
  <c r="P812" i="51"/>
  <c r="P811" i="51"/>
  <c r="P810" i="51"/>
  <c r="P809" i="51"/>
  <c r="P808" i="51"/>
  <c r="P807" i="51"/>
  <c r="P806" i="51"/>
  <c r="P805" i="51"/>
  <c r="P804" i="51"/>
  <c r="P803" i="51"/>
  <c r="P802" i="51"/>
  <c r="P801" i="51"/>
  <c r="P800" i="51"/>
  <c r="P799" i="51"/>
  <c r="P798" i="51"/>
  <c r="P797" i="51"/>
  <c r="P796" i="51"/>
  <c r="P795" i="51"/>
  <c r="P794" i="51"/>
  <c r="P793" i="51"/>
  <c r="P792" i="51"/>
  <c r="P791" i="51"/>
  <c r="P790" i="51"/>
  <c r="P789" i="51"/>
  <c r="P788" i="51"/>
  <c r="P787" i="51"/>
  <c r="P786" i="51"/>
  <c r="P785" i="51"/>
  <c r="P784" i="51"/>
  <c r="P783" i="51"/>
  <c r="P782" i="51"/>
  <c r="P781" i="51"/>
  <c r="P780" i="51"/>
  <c r="P779" i="51"/>
  <c r="P778" i="51"/>
  <c r="P777" i="51"/>
  <c r="P776" i="51"/>
  <c r="P775" i="51"/>
  <c r="P774" i="51"/>
  <c r="P773" i="51"/>
  <c r="P772" i="51"/>
  <c r="P771" i="51"/>
  <c r="P770" i="51"/>
  <c r="P769" i="51"/>
  <c r="P768" i="51"/>
  <c r="P767" i="51"/>
  <c r="P766" i="51"/>
  <c r="P765" i="51"/>
  <c r="P764" i="51"/>
  <c r="P763" i="51"/>
  <c r="P762" i="51"/>
  <c r="P761" i="51"/>
  <c r="P760" i="51"/>
  <c r="P759" i="51"/>
  <c r="P758" i="51"/>
  <c r="P757" i="51"/>
  <c r="P756" i="51"/>
  <c r="P755" i="51"/>
  <c r="P754" i="51"/>
  <c r="P753" i="51"/>
  <c r="P752" i="51"/>
  <c r="P751" i="51"/>
  <c r="P750" i="51"/>
  <c r="P749" i="51"/>
  <c r="P748" i="51"/>
  <c r="P747" i="51"/>
  <c r="P746" i="51"/>
  <c r="P745" i="51"/>
  <c r="P744" i="51"/>
  <c r="P743" i="51"/>
  <c r="P742" i="51"/>
  <c r="P741" i="51"/>
  <c r="P740" i="51"/>
  <c r="P739" i="51"/>
  <c r="P738" i="51"/>
  <c r="P737" i="51"/>
  <c r="P736" i="51"/>
  <c r="P735" i="51"/>
  <c r="P734" i="51"/>
  <c r="P733" i="51"/>
  <c r="P732" i="51"/>
  <c r="P731" i="51"/>
  <c r="P730" i="51"/>
  <c r="P729" i="51"/>
  <c r="P728" i="51"/>
  <c r="P727" i="51"/>
  <c r="P726" i="51"/>
  <c r="P725" i="51"/>
  <c r="P724" i="51"/>
  <c r="P723" i="51"/>
  <c r="P722" i="51"/>
  <c r="P721" i="51"/>
  <c r="P720" i="51"/>
  <c r="P719" i="51"/>
  <c r="P718" i="51"/>
  <c r="P717" i="51"/>
  <c r="P716" i="51"/>
  <c r="P715" i="51"/>
  <c r="P714" i="51"/>
  <c r="P713" i="51"/>
  <c r="P712" i="51"/>
  <c r="P711" i="51"/>
  <c r="P710" i="51"/>
  <c r="P709" i="51"/>
  <c r="P708" i="51"/>
  <c r="P707" i="51"/>
  <c r="P706" i="51"/>
  <c r="P705" i="51"/>
  <c r="P704" i="51"/>
  <c r="P703" i="51"/>
  <c r="P702" i="51"/>
  <c r="P701" i="51"/>
  <c r="P700" i="51"/>
  <c r="P699" i="51"/>
  <c r="P698" i="51"/>
  <c r="P697" i="51"/>
  <c r="P696" i="51"/>
  <c r="P695" i="51"/>
  <c r="P694" i="51"/>
  <c r="P693" i="51"/>
  <c r="P692" i="51"/>
  <c r="P691" i="51"/>
  <c r="P690" i="51"/>
  <c r="P689" i="51"/>
  <c r="P688" i="51"/>
  <c r="P687" i="51"/>
  <c r="P686" i="51"/>
  <c r="P685" i="51"/>
  <c r="P684" i="51"/>
  <c r="P683" i="51"/>
  <c r="P682" i="51"/>
  <c r="P681" i="51"/>
  <c r="P680" i="51"/>
  <c r="P679" i="51"/>
  <c r="P678" i="51"/>
  <c r="P677" i="51"/>
  <c r="P676" i="51"/>
  <c r="P675" i="51"/>
  <c r="P674" i="51"/>
  <c r="P673" i="51"/>
  <c r="P672" i="51"/>
  <c r="P671" i="51"/>
  <c r="P670" i="51"/>
  <c r="P669" i="51"/>
  <c r="P668" i="51"/>
  <c r="P667" i="51"/>
  <c r="P666" i="51"/>
  <c r="P665" i="51"/>
  <c r="P664" i="51"/>
  <c r="P663" i="51"/>
  <c r="P662" i="51"/>
  <c r="P661" i="51"/>
  <c r="P660" i="51"/>
  <c r="P659" i="51"/>
  <c r="P658" i="51"/>
  <c r="P657" i="51"/>
  <c r="P656" i="51"/>
  <c r="P655" i="51"/>
  <c r="P654" i="51"/>
  <c r="P653" i="51"/>
  <c r="P652" i="51"/>
  <c r="P651" i="51"/>
  <c r="P650" i="51"/>
  <c r="P649" i="51"/>
  <c r="P648" i="51"/>
  <c r="P647" i="51"/>
  <c r="P646" i="51"/>
  <c r="P645" i="51"/>
  <c r="P644" i="51"/>
  <c r="P643" i="51"/>
  <c r="P642" i="51"/>
  <c r="P641" i="51"/>
  <c r="P640" i="51"/>
  <c r="P639" i="51"/>
  <c r="P638" i="51"/>
  <c r="P637" i="51"/>
  <c r="P636" i="51"/>
  <c r="P635" i="51"/>
  <c r="P634" i="51"/>
  <c r="P633" i="51"/>
  <c r="P632" i="51"/>
  <c r="P631" i="51"/>
  <c r="P630" i="51"/>
  <c r="P629" i="51"/>
  <c r="P628" i="51"/>
  <c r="P627" i="51"/>
  <c r="P626" i="51"/>
  <c r="P625" i="51"/>
  <c r="P624" i="51"/>
  <c r="P623" i="51"/>
  <c r="P622" i="51"/>
  <c r="P621" i="51"/>
  <c r="P620" i="51"/>
  <c r="P619" i="51"/>
  <c r="P618" i="51"/>
  <c r="P617" i="51"/>
  <c r="P616" i="51"/>
  <c r="P615" i="51"/>
  <c r="P614" i="51"/>
  <c r="P613" i="51"/>
  <c r="P612" i="51"/>
  <c r="P611" i="51"/>
  <c r="P610" i="51"/>
  <c r="P609" i="51"/>
  <c r="P608" i="51"/>
  <c r="P607" i="51"/>
  <c r="P606" i="51"/>
  <c r="P605" i="51"/>
  <c r="P604" i="51"/>
  <c r="P603" i="51"/>
  <c r="P602" i="51"/>
  <c r="P601" i="51"/>
  <c r="P600" i="51"/>
  <c r="P599" i="51"/>
  <c r="P598" i="51"/>
  <c r="P597" i="51"/>
  <c r="P596" i="51"/>
  <c r="P595" i="51"/>
  <c r="P594" i="51"/>
  <c r="P593" i="51"/>
  <c r="P592" i="51"/>
  <c r="P591" i="51"/>
  <c r="P590" i="51"/>
  <c r="P589" i="51"/>
  <c r="P588" i="51"/>
  <c r="P587" i="51"/>
  <c r="P586" i="51"/>
  <c r="P585" i="51"/>
  <c r="P584" i="51"/>
  <c r="P583" i="51"/>
  <c r="P582" i="51"/>
  <c r="P581" i="51"/>
  <c r="P580" i="51"/>
  <c r="P579" i="51"/>
  <c r="P578" i="51"/>
  <c r="P577" i="51"/>
  <c r="P576" i="51"/>
  <c r="P575" i="51"/>
  <c r="P574" i="51"/>
  <c r="P573" i="51"/>
  <c r="P572" i="51"/>
  <c r="P571" i="51"/>
  <c r="P570" i="51"/>
  <c r="P569" i="51"/>
  <c r="P568" i="51"/>
  <c r="P567" i="51"/>
  <c r="P566" i="51"/>
  <c r="P565" i="51"/>
  <c r="P564" i="51"/>
  <c r="P563" i="51"/>
  <c r="P562" i="51"/>
  <c r="P561" i="51"/>
  <c r="P560" i="51"/>
  <c r="P559" i="51"/>
  <c r="P558" i="51"/>
  <c r="P557" i="51"/>
  <c r="P556" i="51"/>
  <c r="P555" i="51"/>
  <c r="P554" i="51"/>
  <c r="P553" i="51"/>
  <c r="P552" i="51"/>
  <c r="P551" i="51"/>
  <c r="P550" i="51"/>
  <c r="P549" i="51"/>
  <c r="P548" i="51"/>
  <c r="P547" i="51"/>
  <c r="P546" i="51"/>
  <c r="P545" i="51"/>
  <c r="P544" i="51"/>
  <c r="P543" i="51"/>
  <c r="P542" i="51"/>
  <c r="P541" i="51"/>
  <c r="P540" i="51"/>
  <c r="P539" i="51"/>
  <c r="P538" i="51"/>
  <c r="P537" i="51"/>
  <c r="P536" i="51"/>
  <c r="P535" i="51"/>
  <c r="P534" i="51"/>
  <c r="P533" i="51"/>
  <c r="P532" i="51"/>
  <c r="P531" i="51"/>
  <c r="P530" i="51"/>
  <c r="P529" i="51"/>
  <c r="P528" i="51"/>
  <c r="P527" i="51"/>
  <c r="P526" i="51"/>
  <c r="P525" i="51"/>
  <c r="P524" i="51"/>
  <c r="P523" i="51"/>
  <c r="P522" i="51"/>
  <c r="P521" i="51"/>
  <c r="P520" i="51"/>
  <c r="P519" i="51"/>
  <c r="P518" i="51"/>
  <c r="P517" i="51"/>
  <c r="P516" i="51"/>
  <c r="P515" i="51"/>
  <c r="P514" i="51"/>
  <c r="P513" i="51"/>
  <c r="P512" i="51"/>
  <c r="P511" i="51"/>
  <c r="P510" i="51"/>
  <c r="P509" i="51"/>
  <c r="P508" i="51"/>
  <c r="P507" i="51"/>
  <c r="P506" i="51"/>
  <c r="P505" i="51"/>
  <c r="P504" i="51"/>
  <c r="P503" i="51"/>
  <c r="P502" i="51"/>
  <c r="P501" i="51"/>
  <c r="P500" i="51"/>
  <c r="P499" i="51"/>
  <c r="P498" i="51"/>
  <c r="P497" i="51"/>
  <c r="P496" i="51"/>
  <c r="P495" i="51"/>
  <c r="P494" i="51"/>
  <c r="P493" i="51"/>
  <c r="P492" i="51"/>
  <c r="P491" i="51"/>
  <c r="P490" i="51"/>
  <c r="P489" i="51"/>
  <c r="P488" i="51"/>
  <c r="P487" i="51"/>
  <c r="P486" i="51"/>
  <c r="P485" i="51"/>
  <c r="P484" i="51"/>
  <c r="P483" i="51"/>
  <c r="P482" i="51"/>
  <c r="P481" i="51"/>
  <c r="P480" i="51"/>
  <c r="P479" i="51"/>
  <c r="P478" i="51"/>
  <c r="P477" i="51"/>
  <c r="P476" i="51"/>
  <c r="P475" i="51"/>
  <c r="P474" i="51"/>
  <c r="P473" i="51"/>
  <c r="P472" i="51"/>
  <c r="P471" i="51"/>
  <c r="P470" i="51"/>
  <c r="P469" i="51"/>
  <c r="P468" i="51"/>
  <c r="P467" i="51"/>
  <c r="P466" i="51"/>
  <c r="P465" i="51"/>
  <c r="P464" i="51"/>
  <c r="P463" i="51"/>
  <c r="P462" i="51"/>
  <c r="P461" i="51"/>
  <c r="P460" i="51"/>
  <c r="P459" i="51"/>
  <c r="P458" i="51"/>
  <c r="P457" i="51"/>
  <c r="P456" i="51"/>
  <c r="P455" i="51"/>
  <c r="P454" i="51"/>
  <c r="P453" i="51"/>
  <c r="P452" i="51"/>
  <c r="P451" i="51"/>
  <c r="P450" i="51"/>
  <c r="P449" i="51"/>
  <c r="P448" i="51"/>
  <c r="P447" i="51"/>
  <c r="P446" i="51"/>
  <c r="P445" i="51"/>
  <c r="P444" i="51"/>
  <c r="P443" i="51"/>
  <c r="P442" i="51"/>
  <c r="P441" i="51"/>
  <c r="P440" i="51"/>
  <c r="P439" i="51"/>
  <c r="P438" i="51"/>
  <c r="P437" i="51"/>
  <c r="P436" i="51"/>
  <c r="P435" i="51"/>
  <c r="P434" i="51"/>
  <c r="P433" i="51"/>
  <c r="P432" i="51"/>
  <c r="P431" i="51"/>
  <c r="P430" i="51"/>
  <c r="P429" i="51"/>
  <c r="P428" i="51"/>
  <c r="P427" i="51"/>
  <c r="P426" i="51"/>
  <c r="P425" i="51"/>
  <c r="P424" i="51"/>
  <c r="P423" i="51"/>
  <c r="P422" i="51"/>
  <c r="P421" i="51"/>
  <c r="P420" i="51"/>
  <c r="P419" i="51"/>
  <c r="P418" i="51"/>
  <c r="P417" i="51"/>
  <c r="P416" i="51"/>
  <c r="P415" i="51"/>
  <c r="P414" i="51"/>
  <c r="P413" i="51"/>
  <c r="P412" i="51"/>
  <c r="P411" i="51"/>
  <c r="P410" i="51"/>
  <c r="P409" i="51"/>
  <c r="P408" i="51"/>
  <c r="P407" i="51"/>
  <c r="P406" i="51"/>
  <c r="P405" i="51"/>
  <c r="P404" i="51"/>
  <c r="P403" i="51"/>
  <c r="P402" i="51"/>
  <c r="P401" i="51"/>
  <c r="P400" i="51"/>
  <c r="P399" i="51"/>
  <c r="P398" i="51"/>
  <c r="P397" i="51"/>
  <c r="P396" i="51"/>
  <c r="P395" i="51"/>
  <c r="P394" i="51"/>
  <c r="P393" i="51"/>
  <c r="P392" i="51"/>
  <c r="P391" i="51"/>
  <c r="P390" i="51"/>
  <c r="P389" i="51"/>
  <c r="P388" i="51"/>
  <c r="P387" i="51"/>
  <c r="P386" i="51"/>
  <c r="P385" i="51"/>
  <c r="P384" i="51"/>
  <c r="P383" i="51"/>
  <c r="P382" i="51"/>
  <c r="P381" i="51"/>
  <c r="P380" i="51"/>
  <c r="P379" i="51"/>
  <c r="P378" i="51"/>
  <c r="P377" i="51"/>
  <c r="P376" i="51"/>
  <c r="P375" i="51"/>
  <c r="P374" i="51"/>
  <c r="P373" i="51"/>
  <c r="P372" i="51"/>
  <c r="P371" i="51"/>
  <c r="P370" i="51"/>
  <c r="P369" i="51"/>
  <c r="P368" i="51"/>
  <c r="P367" i="51"/>
  <c r="P366" i="51"/>
  <c r="P365" i="51"/>
  <c r="P364" i="51"/>
  <c r="P363" i="51"/>
  <c r="P362" i="51"/>
  <c r="P361" i="51"/>
  <c r="P360" i="51"/>
  <c r="P359" i="51"/>
  <c r="P358" i="51"/>
  <c r="P357" i="51"/>
  <c r="P356" i="51"/>
  <c r="P355" i="51"/>
  <c r="P354" i="51"/>
  <c r="P353" i="51"/>
  <c r="P352" i="51"/>
  <c r="P351" i="51"/>
  <c r="P350" i="51"/>
  <c r="P349" i="51"/>
  <c r="P348" i="51"/>
  <c r="P347" i="51"/>
  <c r="P346" i="51"/>
  <c r="P345" i="51"/>
  <c r="P344" i="51"/>
  <c r="P343" i="51"/>
  <c r="P342" i="51"/>
  <c r="P341" i="51"/>
  <c r="P340" i="51"/>
  <c r="P339" i="51"/>
  <c r="P338" i="51"/>
  <c r="P337" i="51"/>
  <c r="P336" i="51"/>
  <c r="P335" i="51"/>
  <c r="P334" i="51"/>
  <c r="P333" i="51"/>
  <c r="P332" i="51"/>
  <c r="P331" i="51"/>
  <c r="P330" i="51"/>
  <c r="P329" i="51"/>
  <c r="P328" i="51"/>
  <c r="P327" i="51"/>
  <c r="P326" i="51"/>
  <c r="P325" i="51"/>
  <c r="P324" i="51"/>
  <c r="P323" i="51"/>
  <c r="P322" i="51"/>
  <c r="P321" i="51"/>
  <c r="P320" i="51"/>
  <c r="P319" i="51"/>
  <c r="P318" i="51"/>
  <c r="P317" i="51"/>
  <c r="P316" i="51"/>
  <c r="P315" i="51"/>
  <c r="P314" i="51"/>
  <c r="P313" i="51"/>
  <c r="P312" i="51"/>
  <c r="P311" i="51"/>
  <c r="P310" i="51"/>
  <c r="P309" i="51"/>
  <c r="P308" i="51"/>
  <c r="P307" i="51"/>
  <c r="P306" i="51"/>
  <c r="P305" i="51"/>
  <c r="P304" i="51"/>
  <c r="P303" i="51"/>
  <c r="P302" i="51"/>
  <c r="P301" i="51"/>
  <c r="P300" i="51"/>
  <c r="P299" i="51"/>
  <c r="P298" i="51"/>
  <c r="P297" i="51"/>
  <c r="P296" i="51"/>
  <c r="P295" i="51"/>
  <c r="P294" i="51"/>
  <c r="P293" i="51"/>
  <c r="P292" i="51"/>
  <c r="P291" i="51"/>
  <c r="P290" i="51"/>
  <c r="P289" i="51"/>
  <c r="P288" i="51"/>
  <c r="P287" i="51"/>
  <c r="P286" i="51"/>
  <c r="P285" i="51"/>
  <c r="P284" i="51"/>
  <c r="P283" i="51"/>
  <c r="P282" i="51"/>
  <c r="P281" i="51"/>
  <c r="P280" i="51"/>
  <c r="P279" i="51"/>
  <c r="P278" i="51"/>
  <c r="P277" i="51"/>
  <c r="P276" i="51"/>
  <c r="P275" i="51"/>
  <c r="P274" i="51"/>
  <c r="P273" i="51"/>
  <c r="P272" i="51"/>
  <c r="P271" i="51"/>
  <c r="P270" i="51"/>
  <c r="P269" i="51"/>
  <c r="P268" i="51"/>
  <c r="P267" i="51"/>
  <c r="P266" i="51"/>
  <c r="P265" i="51"/>
  <c r="P264" i="51"/>
  <c r="P263" i="51"/>
  <c r="P262" i="51"/>
  <c r="P261" i="51"/>
  <c r="P260" i="51"/>
  <c r="P259" i="51"/>
  <c r="P258" i="51"/>
  <c r="P257" i="51"/>
  <c r="P256" i="51"/>
  <c r="P255" i="51"/>
  <c r="P254" i="51"/>
  <c r="P253" i="51"/>
  <c r="P252" i="51"/>
  <c r="P251" i="51"/>
  <c r="P250" i="51"/>
  <c r="P249" i="51"/>
  <c r="P248" i="51"/>
  <c r="P247" i="51"/>
  <c r="P246" i="51"/>
  <c r="P245" i="51"/>
  <c r="P244" i="51"/>
  <c r="P243" i="51"/>
  <c r="P242" i="51"/>
  <c r="P241" i="51"/>
  <c r="P240" i="51"/>
  <c r="P239" i="51"/>
  <c r="P238" i="51"/>
  <c r="P237" i="51"/>
  <c r="P236" i="51"/>
  <c r="P235" i="51"/>
  <c r="P234" i="51"/>
  <c r="P233" i="51"/>
  <c r="P232" i="51"/>
  <c r="P231" i="51"/>
  <c r="P230" i="51"/>
  <c r="P229" i="51"/>
  <c r="P228" i="51"/>
  <c r="P227" i="51"/>
  <c r="P226" i="51"/>
  <c r="P225" i="51"/>
  <c r="P224" i="51"/>
  <c r="P223" i="51"/>
  <c r="P222" i="51"/>
  <c r="P221" i="51"/>
  <c r="P220" i="51"/>
  <c r="P219" i="51"/>
  <c r="P218" i="51"/>
  <c r="P217" i="51"/>
  <c r="P216" i="51"/>
  <c r="P215" i="51"/>
  <c r="P214" i="51"/>
  <c r="P213" i="51"/>
  <c r="P212" i="51"/>
  <c r="P211" i="51"/>
  <c r="P210" i="51"/>
  <c r="P209" i="51"/>
  <c r="P208" i="51"/>
  <c r="P207" i="51"/>
  <c r="P206" i="51"/>
  <c r="P205" i="51"/>
  <c r="P204" i="51"/>
  <c r="P203" i="51"/>
  <c r="P202" i="51"/>
  <c r="P201" i="51"/>
  <c r="P200" i="51"/>
  <c r="P199" i="51"/>
  <c r="P198" i="51"/>
  <c r="P197" i="51"/>
  <c r="P196" i="51"/>
  <c r="P195" i="51"/>
  <c r="P194" i="51"/>
  <c r="P193" i="51"/>
  <c r="P192" i="51"/>
  <c r="P191" i="51"/>
  <c r="P190" i="51"/>
  <c r="P189" i="51"/>
  <c r="P188" i="51"/>
  <c r="P187" i="51"/>
  <c r="P186" i="51"/>
  <c r="P185" i="51"/>
  <c r="P184" i="51"/>
  <c r="P183" i="51"/>
  <c r="P182" i="51"/>
  <c r="P181" i="51"/>
  <c r="P180" i="51"/>
  <c r="P179" i="51"/>
  <c r="P178" i="51"/>
  <c r="P177" i="51"/>
  <c r="P176" i="51"/>
  <c r="P175" i="51"/>
  <c r="P174" i="51"/>
  <c r="P173" i="51"/>
  <c r="P172" i="51"/>
  <c r="P171" i="51"/>
  <c r="P170" i="51"/>
  <c r="P169" i="51"/>
  <c r="P168" i="51"/>
  <c r="P167" i="51"/>
  <c r="P166" i="51"/>
  <c r="P165" i="51"/>
  <c r="P164" i="51"/>
  <c r="P163" i="51"/>
  <c r="P162" i="51"/>
  <c r="P161" i="51"/>
  <c r="P160" i="51"/>
  <c r="P159" i="51"/>
  <c r="P158" i="51"/>
  <c r="P157" i="51"/>
  <c r="P156" i="51"/>
  <c r="P155" i="51"/>
  <c r="P154" i="51"/>
  <c r="P153" i="51"/>
  <c r="P152" i="51"/>
  <c r="P151" i="51"/>
  <c r="P150" i="51"/>
  <c r="P149" i="51"/>
  <c r="P148" i="51"/>
  <c r="P147" i="51"/>
  <c r="P146" i="51"/>
  <c r="P145" i="51"/>
  <c r="P144" i="51"/>
  <c r="P143" i="51"/>
  <c r="P142" i="51"/>
  <c r="P141" i="51"/>
  <c r="P140" i="51"/>
  <c r="P139" i="51"/>
  <c r="P138" i="51"/>
  <c r="P137" i="51"/>
  <c r="P136" i="51"/>
  <c r="P135" i="51"/>
  <c r="P134" i="51"/>
  <c r="P133" i="51"/>
  <c r="P132" i="51"/>
  <c r="P131" i="51"/>
  <c r="P130" i="51"/>
  <c r="P129" i="51"/>
  <c r="P128" i="51"/>
  <c r="P127" i="51"/>
  <c r="P126" i="51"/>
  <c r="P125" i="51"/>
  <c r="P124" i="51"/>
  <c r="P123" i="51"/>
  <c r="P122" i="51"/>
  <c r="P121" i="51"/>
  <c r="P120" i="51"/>
  <c r="P119" i="51"/>
  <c r="P118" i="51"/>
  <c r="P117" i="51"/>
  <c r="P116" i="51"/>
  <c r="P115" i="51"/>
  <c r="P114" i="51"/>
  <c r="P113" i="51"/>
  <c r="P112" i="51"/>
  <c r="P111" i="51"/>
  <c r="P110" i="51"/>
  <c r="P109" i="51"/>
  <c r="P108" i="51"/>
  <c r="P107" i="51"/>
  <c r="P106" i="51"/>
  <c r="P105" i="51"/>
  <c r="P104" i="51"/>
  <c r="P103" i="51"/>
  <c r="P102" i="51"/>
  <c r="P101" i="51"/>
  <c r="P100" i="51"/>
  <c r="P99" i="51"/>
  <c r="P98" i="51"/>
  <c r="P97" i="51"/>
  <c r="P96" i="51"/>
  <c r="P95" i="51"/>
  <c r="P94" i="51"/>
  <c r="P93" i="51"/>
  <c r="P92" i="51"/>
  <c r="P91" i="51"/>
  <c r="P90" i="51"/>
  <c r="P89" i="51"/>
  <c r="P88" i="51"/>
  <c r="P87" i="51"/>
  <c r="P86" i="51"/>
  <c r="P85" i="51"/>
  <c r="P84" i="51"/>
  <c r="P83" i="51"/>
  <c r="P82" i="51"/>
  <c r="P81" i="51"/>
  <c r="P80" i="51"/>
  <c r="P79" i="51"/>
  <c r="P78" i="51"/>
  <c r="P77" i="51"/>
  <c r="P76" i="51"/>
  <c r="P75" i="51"/>
  <c r="P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1" i="51"/>
  <c r="K2400" i="51"/>
  <c r="K2402" i="51"/>
  <c r="K2401" i="51"/>
  <c r="J2401" i="51"/>
  <c r="C138" i="50"/>
  <c r="D138" i="50"/>
  <c r="E138" i="50"/>
  <c r="C139" i="50"/>
  <c r="D139" i="50"/>
  <c r="E139" i="50"/>
  <c r="C140" i="50"/>
  <c r="D140" i="50"/>
  <c r="E140" i="50"/>
  <c r="C141" i="50"/>
  <c r="D141" i="50"/>
  <c r="E141" i="50"/>
  <c r="C142" i="50"/>
  <c r="D142" i="50"/>
  <c r="E142" i="50"/>
  <c r="C143" i="50"/>
  <c r="D143" i="50"/>
  <c r="E143" i="50"/>
  <c r="C144" i="50"/>
  <c r="D144" i="50"/>
  <c r="E144" i="50"/>
  <c r="C145" i="50"/>
  <c r="D145" i="50"/>
  <c r="E145" i="50"/>
  <c r="C146" i="50"/>
  <c r="D146" i="50"/>
  <c r="E146" i="50"/>
  <c r="C147" i="50"/>
  <c r="D147" i="50"/>
  <c r="E147" i="50"/>
  <c r="C148" i="50"/>
  <c r="D148" i="50"/>
  <c r="E148" i="50"/>
  <c r="C149" i="50"/>
  <c r="D149" i="50"/>
  <c r="E149" i="50"/>
  <c r="C150" i="50"/>
  <c r="D150" i="50"/>
  <c r="E150" i="50"/>
  <c r="C151" i="50"/>
  <c r="D151" i="50"/>
  <c r="E151" i="50"/>
  <c r="C152" i="50"/>
  <c r="D152" i="50"/>
  <c r="E152" i="50"/>
  <c r="C153" i="50"/>
  <c r="D153" i="50"/>
  <c r="E153" i="50"/>
  <c r="C154" i="50"/>
  <c r="D154" i="50"/>
  <c r="E154" i="50"/>
  <c r="C155" i="50"/>
  <c r="D155" i="50"/>
  <c r="E155" i="50"/>
  <c r="C156" i="50"/>
  <c r="D156" i="50"/>
  <c r="E156" i="50"/>
  <c r="C157" i="50"/>
  <c r="D157" i="50"/>
  <c r="E157" i="50"/>
  <c r="C158" i="50"/>
  <c r="D158" i="50"/>
  <c r="E158" i="50"/>
  <c r="C159" i="50"/>
  <c r="D159" i="50"/>
  <c r="E159" i="50"/>
  <c r="C160" i="50"/>
  <c r="D160" i="50"/>
  <c r="E160" i="50"/>
  <c r="C161" i="50"/>
  <c r="D161" i="50"/>
  <c r="E161" i="50"/>
  <c r="C162" i="50"/>
  <c r="D162" i="50"/>
  <c r="E162" i="50"/>
  <c r="C163" i="50"/>
  <c r="D163" i="50"/>
  <c r="E163" i="50"/>
  <c r="C164" i="50"/>
  <c r="D164" i="50"/>
  <c r="E164" i="50"/>
  <c r="C165" i="50"/>
  <c r="D165" i="50"/>
  <c r="E165" i="50"/>
  <c r="C166" i="50"/>
  <c r="D166" i="50"/>
  <c r="E166" i="50"/>
  <c r="C168" i="50"/>
  <c r="D168" i="50"/>
  <c r="E168" i="50"/>
  <c r="D83" i="50"/>
  <c r="C83" i="50"/>
  <c r="E83" i="50"/>
  <c r="E123" i="50"/>
  <c r="D123" i="50"/>
  <c r="C123" i="50"/>
  <c r="E130" i="50"/>
  <c r="D130" i="50"/>
  <c r="C130" i="50"/>
  <c r="E115" i="50"/>
  <c r="D115" i="50"/>
  <c r="C115" i="50"/>
  <c r="E109" i="50"/>
  <c r="D109" i="50"/>
  <c r="C109" i="50"/>
  <c r="E101" i="50"/>
  <c r="D101" i="50"/>
  <c r="C101" i="50"/>
  <c r="E85" i="50"/>
  <c r="D85" i="50"/>
  <c r="C85" i="50"/>
  <c r="E94" i="50"/>
  <c r="D94" i="50"/>
  <c r="C94" i="50"/>
  <c r="E78" i="50"/>
  <c r="D78" i="50"/>
  <c r="C78" i="50"/>
  <c r="E69" i="50"/>
  <c r="D69" i="50"/>
  <c r="C69" i="50"/>
  <c r="E63" i="50"/>
  <c r="D63" i="50"/>
  <c r="C63" i="50"/>
  <c r="E54" i="50"/>
  <c r="D54" i="50"/>
  <c r="C54" i="50"/>
  <c r="E48" i="50"/>
  <c r="D48" i="50"/>
  <c r="C48" i="50"/>
  <c r="C137" i="50"/>
  <c r="C136" i="50"/>
  <c r="C135" i="50"/>
  <c r="C134" i="50"/>
  <c r="C133" i="50"/>
  <c r="C132" i="50"/>
  <c r="C131" i="50"/>
  <c r="C129" i="50"/>
  <c r="C128" i="50"/>
  <c r="C127" i="50"/>
  <c r="C126" i="50"/>
  <c r="C125" i="50"/>
  <c r="C124" i="50"/>
  <c r="C122" i="50"/>
  <c r="C121" i="50"/>
  <c r="C120" i="50"/>
  <c r="C119" i="50"/>
  <c r="C118" i="50"/>
  <c r="C117" i="50"/>
  <c r="C116" i="50"/>
  <c r="C114" i="50"/>
  <c r="C113" i="50"/>
  <c r="C112" i="50"/>
  <c r="C111" i="50"/>
  <c r="C110" i="50"/>
  <c r="C108" i="50"/>
  <c r="C107" i="50"/>
  <c r="C106" i="50"/>
  <c r="C105" i="50"/>
  <c r="C104" i="50"/>
  <c r="C103" i="50"/>
  <c r="C102" i="50"/>
  <c r="C100" i="50"/>
  <c r="C99" i="50"/>
  <c r="C98" i="50"/>
  <c r="C97" i="50"/>
  <c r="C96" i="50"/>
  <c r="C95" i="50"/>
  <c r="C93" i="50"/>
  <c r="C92" i="50"/>
  <c r="C91" i="50"/>
  <c r="C90" i="50"/>
  <c r="C89" i="50"/>
  <c r="C88" i="50"/>
  <c r="C87" i="50"/>
  <c r="C86" i="50"/>
  <c r="C84" i="50"/>
  <c r="C82" i="50"/>
  <c r="C81" i="50"/>
  <c r="C80" i="50"/>
  <c r="C79" i="50"/>
  <c r="C77" i="50"/>
  <c r="C76" i="50"/>
  <c r="C75" i="50"/>
  <c r="C74" i="50"/>
  <c r="C73" i="50"/>
  <c r="C72" i="50"/>
  <c r="C71" i="50"/>
  <c r="C70" i="50"/>
  <c r="C68" i="50"/>
  <c r="C67" i="50"/>
  <c r="C66" i="50"/>
  <c r="C65" i="50"/>
  <c r="C64" i="50"/>
  <c r="C62" i="50"/>
  <c r="C61" i="50"/>
  <c r="C60" i="50"/>
  <c r="C59" i="50"/>
  <c r="C58" i="50"/>
  <c r="C57" i="50"/>
  <c r="C56" i="50"/>
  <c r="C55" i="50"/>
  <c r="C53" i="50"/>
  <c r="C52" i="50"/>
  <c r="C51" i="50"/>
  <c r="C50" i="50"/>
  <c r="C49" i="50"/>
  <c r="C47" i="50"/>
  <c r="C45" i="50"/>
  <c r="C44" i="50"/>
  <c r="C43" i="50"/>
  <c r="C42" i="50"/>
  <c r="C41" i="50"/>
  <c r="C40" i="50"/>
  <c r="C39" i="50"/>
  <c r="C38" i="50"/>
  <c r="C37" i="50"/>
  <c r="C36" i="50"/>
  <c r="C35" i="50"/>
  <c r="C34" i="50"/>
  <c r="C33" i="50"/>
  <c r="C32" i="50"/>
  <c r="C31" i="50"/>
  <c r="C30" i="50"/>
  <c r="C46" i="50"/>
  <c r="D46" i="50"/>
  <c r="E46" i="50"/>
  <c r="D30" i="50"/>
  <c r="E30" i="50"/>
  <c r="D31" i="50"/>
  <c r="E31" i="50"/>
  <c r="D32" i="50"/>
  <c r="E32" i="50"/>
  <c r="D33" i="50"/>
  <c r="E33" i="50"/>
  <c r="D34" i="50"/>
  <c r="E34" i="50"/>
  <c r="D35" i="50"/>
  <c r="E35" i="50"/>
  <c r="D36" i="50"/>
  <c r="E36" i="50"/>
  <c r="D37" i="50"/>
  <c r="E37" i="50"/>
  <c r="D38" i="50"/>
  <c r="E38" i="50"/>
  <c r="D39" i="50"/>
  <c r="E39" i="50"/>
  <c r="D40" i="50"/>
  <c r="E40" i="50"/>
  <c r="D41" i="50"/>
  <c r="E41" i="50"/>
  <c r="D42" i="50"/>
  <c r="E42" i="50"/>
  <c r="D43" i="50"/>
  <c r="E43" i="50"/>
  <c r="D44" i="50"/>
  <c r="E44" i="50"/>
  <c r="D45" i="50"/>
  <c r="E45" i="50"/>
  <c r="D47" i="50"/>
  <c r="E47" i="50"/>
  <c r="D49" i="50"/>
  <c r="E49" i="50"/>
  <c r="D50" i="50"/>
  <c r="E50" i="50"/>
  <c r="D51" i="50"/>
  <c r="E51" i="50"/>
  <c r="D52" i="50"/>
  <c r="E52" i="50"/>
  <c r="D53" i="50"/>
  <c r="E53" i="50"/>
  <c r="D55" i="50"/>
  <c r="E55" i="50"/>
  <c r="D56" i="50"/>
  <c r="E56" i="50"/>
  <c r="D57" i="50"/>
  <c r="E57" i="50"/>
  <c r="D58" i="50"/>
  <c r="E58" i="50"/>
  <c r="D59" i="50"/>
  <c r="E59" i="50"/>
  <c r="D60" i="50"/>
  <c r="E60" i="50"/>
  <c r="D61" i="50"/>
  <c r="E61" i="50"/>
  <c r="D62" i="50"/>
  <c r="E62" i="50"/>
  <c r="D64" i="50"/>
  <c r="E64" i="50"/>
  <c r="D65" i="50"/>
  <c r="E65" i="50"/>
  <c r="D66" i="50"/>
  <c r="E66" i="50"/>
  <c r="D67" i="50"/>
  <c r="E67" i="50"/>
  <c r="D68" i="50"/>
  <c r="E68" i="50"/>
  <c r="D70" i="50"/>
  <c r="E70" i="50"/>
  <c r="D71" i="50"/>
  <c r="E71" i="50"/>
  <c r="D72" i="50"/>
  <c r="E72" i="50"/>
  <c r="D73" i="50"/>
  <c r="E73" i="50"/>
  <c r="D74" i="50"/>
  <c r="E74" i="50"/>
  <c r="D75" i="50"/>
  <c r="E75" i="50"/>
  <c r="D76" i="50"/>
  <c r="E76" i="50"/>
  <c r="D77" i="50"/>
  <c r="E77" i="50"/>
  <c r="D79" i="50"/>
  <c r="E79" i="50"/>
  <c r="D80" i="50"/>
  <c r="E80" i="50"/>
  <c r="D81" i="50"/>
  <c r="E81" i="50"/>
  <c r="D82" i="50"/>
  <c r="E82" i="50"/>
  <c r="D84" i="50"/>
  <c r="E84" i="50"/>
  <c r="D86" i="50"/>
  <c r="E86" i="50"/>
  <c r="D87" i="50"/>
  <c r="E87" i="50"/>
  <c r="D88" i="50"/>
  <c r="E88" i="50"/>
  <c r="D89" i="50"/>
  <c r="E89" i="50"/>
  <c r="D90" i="50"/>
  <c r="E90" i="50"/>
  <c r="D91" i="50"/>
  <c r="E91" i="50"/>
  <c r="D92" i="50"/>
  <c r="E92" i="50"/>
  <c r="D93" i="50"/>
  <c r="E93" i="50"/>
  <c r="D95" i="50"/>
  <c r="E95" i="50"/>
  <c r="D96" i="50"/>
  <c r="E96" i="50"/>
  <c r="D97" i="50"/>
  <c r="E97" i="50"/>
  <c r="D98" i="50"/>
  <c r="E98" i="50"/>
  <c r="D99" i="50"/>
  <c r="E99" i="50"/>
  <c r="D100" i="50"/>
  <c r="E100" i="50"/>
  <c r="D102" i="50"/>
  <c r="E102" i="50"/>
  <c r="D103" i="50"/>
  <c r="E103" i="50"/>
  <c r="D104" i="50"/>
  <c r="E104" i="50"/>
  <c r="D105" i="50"/>
  <c r="E105" i="50"/>
  <c r="D106" i="50"/>
  <c r="E106" i="50"/>
  <c r="D107" i="50"/>
  <c r="E107" i="50"/>
  <c r="D108" i="50"/>
  <c r="E108" i="50"/>
  <c r="D110" i="50"/>
  <c r="E110" i="50"/>
  <c r="D111" i="50"/>
  <c r="E111" i="50"/>
  <c r="D112" i="50"/>
  <c r="E112" i="50"/>
  <c r="D113" i="50"/>
  <c r="E113" i="50"/>
  <c r="D114" i="50"/>
  <c r="E114" i="50"/>
  <c r="D116" i="50"/>
  <c r="E116" i="50"/>
  <c r="D117" i="50"/>
  <c r="E117" i="50"/>
  <c r="D118" i="50"/>
  <c r="E118" i="50"/>
  <c r="D119" i="50"/>
  <c r="E119" i="50"/>
  <c r="D120" i="50"/>
  <c r="E120" i="50"/>
  <c r="D121" i="50"/>
  <c r="E121" i="50"/>
  <c r="D122" i="50"/>
  <c r="E122" i="50"/>
  <c r="D124" i="50"/>
  <c r="E124" i="50"/>
  <c r="D125" i="50"/>
  <c r="E125" i="50"/>
  <c r="D126" i="50"/>
  <c r="E126" i="50"/>
  <c r="D127" i="50"/>
  <c r="E127" i="50"/>
  <c r="D128" i="50"/>
  <c r="E128" i="50"/>
  <c r="D129" i="50"/>
  <c r="E129" i="50"/>
  <c r="D131" i="50"/>
  <c r="E131" i="50"/>
  <c r="D132" i="50"/>
  <c r="E132" i="50"/>
  <c r="D133" i="50"/>
  <c r="E133" i="50"/>
  <c r="D134" i="50"/>
  <c r="E134" i="50"/>
  <c r="D135" i="50"/>
  <c r="E135" i="50"/>
  <c r="D136" i="50"/>
  <c r="E136" i="50"/>
  <c r="D137" i="50"/>
  <c r="E137" i="50"/>
  <c r="N255" i="48"/>
  <c r="N121" i="48"/>
  <c r="N120" i="48"/>
  <c r="N119" i="48"/>
  <c r="N118" i="48"/>
  <c r="N117" i="48"/>
  <c r="N116" i="48"/>
  <c r="N115" i="48"/>
  <c r="N114" i="48"/>
  <c r="N122" i="48"/>
  <c r="N123" i="48"/>
  <c r="N124" i="48"/>
  <c r="N125" i="48"/>
  <c r="N126" i="48"/>
  <c r="N127" i="48"/>
  <c r="N128" i="48"/>
  <c r="N129" i="48"/>
  <c r="N130" i="48"/>
  <c r="N131" i="48"/>
  <c r="N132" i="48"/>
  <c r="N133" i="48"/>
  <c r="N134" i="48"/>
  <c r="N135" i="48"/>
  <c r="N136" i="48"/>
  <c r="N137" i="48"/>
  <c r="N138" i="48"/>
  <c r="N139" i="48"/>
  <c r="N140" i="48"/>
  <c r="N141" i="48"/>
  <c r="N142" i="48"/>
  <c r="N143" i="48"/>
  <c r="N144" i="48"/>
  <c r="N145" i="48"/>
  <c r="N146" i="48"/>
  <c r="N147" i="48"/>
  <c r="N148" i="48"/>
  <c r="N149" i="48"/>
  <c r="N150" i="48"/>
  <c r="N151" i="48"/>
  <c r="N152" i="48"/>
  <c r="N153" i="48"/>
  <c r="N154" i="48"/>
  <c r="N155" i="48"/>
  <c r="N156" i="48"/>
  <c r="N157" i="48"/>
  <c r="N158" i="48"/>
  <c r="N159" i="48"/>
  <c r="N160" i="48"/>
  <c r="N161" i="48"/>
  <c r="N162" i="48"/>
  <c r="N163" i="48"/>
  <c r="N164" i="48"/>
  <c r="N165" i="48"/>
  <c r="N166" i="48"/>
  <c r="N167" i="48"/>
  <c r="N168" i="48"/>
  <c r="N169" i="48"/>
  <c r="N170" i="48"/>
  <c r="N171" i="48"/>
  <c r="N172" i="48"/>
  <c r="N173" i="48"/>
  <c r="N174" i="48"/>
  <c r="N175" i="48"/>
  <c r="N176" i="48"/>
  <c r="N177" i="48"/>
  <c r="N178" i="48"/>
  <c r="N179" i="48"/>
  <c r="N180" i="48"/>
  <c r="N181" i="48"/>
  <c r="N182" i="48"/>
  <c r="N183" i="48"/>
  <c r="N184" i="48"/>
  <c r="N185" i="48"/>
  <c r="N186" i="48"/>
  <c r="N187" i="48"/>
  <c r="N188" i="48"/>
  <c r="N189" i="48"/>
  <c r="N190" i="48"/>
  <c r="N191" i="48"/>
  <c r="N192" i="48"/>
  <c r="N193" i="48"/>
  <c r="N194" i="48"/>
  <c r="N195" i="48"/>
  <c r="N196" i="48"/>
  <c r="N197" i="48"/>
  <c r="N198" i="48"/>
  <c r="N199" i="48"/>
  <c r="N200" i="48"/>
  <c r="N201" i="48"/>
  <c r="N202" i="48"/>
  <c r="N203" i="48"/>
  <c r="N204" i="48"/>
  <c r="N205" i="48"/>
  <c r="N206" i="48"/>
  <c r="N207" i="48"/>
  <c r="N208" i="48"/>
  <c r="N209" i="48"/>
  <c r="N210" i="48"/>
  <c r="N211" i="48"/>
  <c r="N212" i="48"/>
  <c r="N213" i="48"/>
  <c r="N214" i="48"/>
  <c r="N215" i="48"/>
  <c r="N216" i="48"/>
  <c r="N217" i="48"/>
  <c r="N218" i="48"/>
  <c r="N219" i="48"/>
  <c r="N220" i="48"/>
  <c r="N221" i="48"/>
  <c r="N222" i="48"/>
  <c r="N223" i="48"/>
  <c r="N224" i="48"/>
  <c r="N225" i="48"/>
  <c r="N226" i="48"/>
  <c r="N227" i="48"/>
  <c r="N228" i="48"/>
  <c r="N229" i="48"/>
  <c r="N230" i="48"/>
  <c r="N231" i="48"/>
  <c r="N232" i="48"/>
  <c r="N233" i="48"/>
  <c r="N234" i="48"/>
  <c r="N235" i="48"/>
  <c r="N236" i="48"/>
  <c r="N237" i="48"/>
  <c r="N238" i="48"/>
  <c r="N239" i="48"/>
  <c r="N240" i="48"/>
  <c r="N241" i="48"/>
  <c r="N242" i="48"/>
  <c r="N243" i="48"/>
  <c r="N244" i="48"/>
  <c r="N245" i="48"/>
  <c r="N246" i="48"/>
  <c r="N247" i="48"/>
  <c r="N248" i="48"/>
  <c r="N249" i="48"/>
  <c r="N250" i="48"/>
  <c r="N251" i="48"/>
  <c r="N252" i="48"/>
  <c r="N253" i="48"/>
  <c r="N254" i="48"/>
  <c r="N256" i="48"/>
  <c r="N257" i="48"/>
  <c r="N258" i="48"/>
  <c r="N259" i="48"/>
  <c r="N260" i="48"/>
  <c r="N261" i="48"/>
  <c r="N262" i="48"/>
  <c r="N113" i="48"/>
  <c r="N112" i="48"/>
  <c r="N111" i="48"/>
  <c r="N110" i="48"/>
  <c r="N109" i="48"/>
  <c r="N108" i="48"/>
  <c r="N107" i="48"/>
  <c r="N106" i="48"/>
  <c r="N105" i="48"/>
  <c r="N104" i="48"/>
  <c r="N103" i="48"/>
  <c r="N102" i="48"/>
  <c r="N101" i="48"/>
  <c r="N100" i="48"/>
  <c r="N99" i="48"/>
  <c r="N98" i="48"/>
  <c r="N97" i="48"/>
  <c r="N96" i="48"/>
  <c r="N95" i="48"/>
  <c r="N94" i="48"/>
  <c r="N93" i="48"/>
  <c r="N92" i="48"/>
  <c r="N91" i="48"/>
  <c r="N90" i="48"/>
  <c r="N89" i="48"/>
  <c r="N88" i="48"/>
  <c r="N87" i="48"/>
  <c r="N86" i="48"/>
  <c r="N85" i="48"/>
  <c r="N84" i="48"/>
  <c r="N83" i="48"/>
  <c r="N82" i="48"/>
  <c r="N81" i="48"/>
  <c r="N80" i="48"/>
  <c r="N79" i="48"/>
  <c r="N78" i="48"/>
  <c r="N77" i="48"/>
  <c r="N76" i="48"/>
  <c r="N75" i="48"/>
  <c r="N74" i="48"/>
  <c r="N73" i="48"/>
  <c r="N72" i="48"/>
  <c r="N71" i="48"/>
  <c r="N70" i="48"/>
  <c r="N69" i="48"/>
  <c r="N68" i="48"/>
  <c r="N67" i="48"/>
  <c r="N66" i="48"/>
  <c r="N65" i="48"/>
  <c r="N64" i="48"/>
  <c r="N63" i="48"/>
  <c r="N62" i="48"/>
  <c r="N61" i="48"/>
  <c r="N60" i="48"/>
  <c r="N59" i="48"/>
  <c r="N58" i="48"/>
  <c r="N57" i="48"/>
  <c r="N56" i="48"/>
  <c r="N55" i="48"/>
  <c r="N54" i="48"/>
  <c r="N53" i="48"/>
  <c r="N52" i="48"/>
  <c r="N51" i="48"/>
  <c r="N50" i="48"/>
  <c r="N49" i="48"/>
  <c r="N48" i="48"/>
  <c r="N47" i="48"/>
  <c r="N46" i="48"/>
  <c r="N45" i="48"/>
  <c r="N44" i="48"/>
  <c r="N43" i="48"/>
  <c r="N42" i="48"/>
  <c r="N41" i="48"/>
  <c r="N40" i="48"/>
  <c r="N39" i="48"/>
  <c r="N38" i="48"/>
  <c r="N37" i="48"/>
  <c r="N36" i="48"/>
  <c r="N35" i="48"/>
  <c r="N34" i="48"/>
  <c r="N33" i="48"/>
  <c r="N32" i="48"/>
  <c r="N31" i="48"/>
  <c r="N30" i="48"/>
  <c r="N29" i="48"/>
  <c r="N28" i="48"/>
  <c r="N27" i="48"/>
  <c r="N26" i="48"/>
  <c r="N25" i="48"/>
  <c r="N24" i="48"/>
  <c r="N23" i="48"/>
  <c r="N22" i="48"/>
  <c r="N21" i="48"/>
  <c r="N20" i="48"/>
  <c r="N19" i="48"/>
  <c r="N18" i="48"/>
  <c r="N17" i="48"/>
  <c r="N16" i="48"/>
  <c r="N15" i="48"/>
  <c r="N14" i="48"/>
  <c r="N13" i="48"/>
  <c r="N12" i="48"/>
  <c r="N11" i="48"/>
  <c r="N10" i="48"/>
  <c r="N9" i="48"/>
  <c r="N8" i="48"/>
  <c r="N7" i="48"/>
  <c r="N6" i="48"/>
  <c r="N5" i="48"/>
  <c r="N4" i="48"/>
  <c r="N3" i="48"/>
  <c r="F378" i="48"/>
  <c r="F377" i="48"/>
  <c r="F376" i="48"/>
  <c r="F375" i="48"/>
  <c r="F374" i="48"/>
  <c r="F373" i="48"/>
  <c r="F372" i="48"/>
  <c r="F371" i="48"/>
  <c r="F370" i="48"/>
  <c r="F369" i="48"/>
  <c r="F368" i="48"/>
  <c r="F367" i="48"/>
  <c r="F366" i="48"/>
  <c r="F365" i="48"/>
  <c r="F364" i="48"/>
  <c r="F363" i="48"/>
  <c r="F362" i="48"/>
  <c r="F361" i="48"/>
  <c r="F360" i="48"/>
  <c r="F359" i="48"/>
  <c r="F358" i="48"/>
  <c r="F357" i="48"/>
  <c r="F356" i="48"/>
  <c r="F355" i="48"/>
  <c r="F354" i="48"/>
  <c r="F353" i="48"/>
  <c r="F352" i="48"/>
  <c r="F351" i="48"/>
  <c r="F350" i="48"/>
  <c r="F349" i="48"/>
  <c r="F348" i="48"/>
  <c r="F347" i="48"/>
  <c r="F346" i="48"/>
  <c r="F345" i="48"/>
  <c r="F344" i="48"/>
  <c r="F343" i="48"/>
  <c r="F342" i="48"/>
  <c r="F341" i="48"/>
  <c r="F340" i="48"/>
  <c r="F339" i="48"/>
  <c r="F338" i="48"/>
  <c r="F337" i="48"/>
  <c r="F336" i="48"/>
  <c r="F335" i="48"/>
  <c r="F334" i="48"/>
  <c r="F333" i="48"/>
  <c r="F332" i="48"/>
  <c r="F331" i="48"/>
  <c r="F330" i="48"/>
  <c r="F329" i="48"/>
  <c r="F328" i="48"/>
  <c r="F327" i="48"/>
  <c r="F326" i="48"/>
  <c r="F325" i="48"/>
  <c r="F324" i="48"/>
  <c r="F323" i="48"/>
  <c r="F322" i="48"/>
  <c r="F321" i="48"/>
  <c r="F320" i="48"/>
  <c r="F319" i="48"/>
  <c r="F318" i="48"/>
  <c r="F317" i="48"/>
  <c r="F316" i="48"/>
  <c r="F315" i="48"/>
  <c r="F314" i="48"/>
  <c r="F313" i="48"/>
  <c r="F312" i="48"/>
  <c r="F311" i="48"/>
  <c r="F310" i="48"/>
  <c r="F309" i="48"/>
  <c r="F308" i="48"/>
  <c r="F307" i="48"/>
  <c r="F306" i="48"/>
  <c r="F305" i="48"/>
  <c r="F304" i="48"/>
  <c r="F303" i="48"/>
  <c r="F302" i="48"/>
  <c r="F301" i="48"/>
  <c r="F300" i="48"/>
  <c r="F299" i="48"/>
  <c r="F298" i="48"/>
  <c r="F297" i="48"/>
  <c r="F296" i="48"/>
  <c r="F295" i="48"/>
  <c r="F294" i="48"/>
  <c r="F293" i="48"/>
  <c r="F292" i="48"/>
  <c r="F291" i="48"/>
  <c r="F290" i="48"/>
  <c r="F289" i="48"/>
  <c r="F288" i="48"/>
  <c r="F287" i="48"/>
  <c r="F286" i="48"/>
  <c r="F285" i="48"/>
  <c r="F284" i="48"/>
  <c r="F283" i="48"/>
  <c r="F282" i="48"/>
  <c r="F281" i="48"/>
  <c r="F280" i="48"/>
  <c r="F279" i="48"/>
  <c r="F278" i="48"/>
  <c r="F277" i="48"/>
  <c r="F276" i="48"/>
  <c r="F275" i="48"/>
  <c r="F274" i="48"/>
  <c r="F273" i="48"/>
  <c r="F272" i="48"/>
  <c r="F271" i="48"/>
  <c r="F270" i="48"/>
  <c r="F269" i="48"/>
  <c r="F268" i="48"/>
  <c r="F267" i="48"/>
  <c r="F266" i="48"/>
  <c r="F265" i="48"/>
  <c r="F264" i="48"/>
  <c r="F263" i="48"/>
  <c r="F262" i="48"/>
  <c r="F261" i="48"/>
  <c r="F260" i="48"/>
  <c r="F259" i="48"/>
  <c r="F258" i="48"/>
  <c r="F257" i="48"/>
  <c r="F256" i="48"/>
  <c r="F255" i="48"/>
  <c r="F254" i="48"/>
  <c r="F253" i="48"/>
  <c r="F252" i="48"/>
  <c r="F251" i="48"/>
  <c r="F250" i="48"/>
  <c r="F249" i="48"/>
  <c r="F248" i="48"/>
  <c r="F247" i="48"/>
  <c r="F246" i="48"/>
  <c r="F245" i="48"/>
  <c r="F244" i="48"/>
  <c r="F243" i="48"/>
  <c r="F242" i="48"/>
  <c r="F241" i="48"/>
  <c r="F240" i="48"/>
  <c r="F239" i="48"/>
  <c r="F238" i="48"/>
  <c r="F237" i="48"/>
  <c r="F236" i="48"/>
  <c r="F235" i="48"/>
  <c r="F234" i="48"/>
  <c r="F233" i="48"/>
  <c r="F232" i="48"/>
  <c r="F231" i="48"/>
  <c r="F230" i="48"/>
  <c r="F229" i="48"/>
  <c r="F228" i="48"/>
  <c r="F227" i="48"/>
  <c r="F226" i="48"/>
  <c r="F225" i="48"/>
  <c r="F224" i="48"/>
  <c r="F223" i="48"/>
  <c r="F222" i="48"/>
  <c r="F221" i="48"/>
  <c r="F220" i="48"/>
  <c r="F219" i="48"/>
  <c r="F218" i="48"/>
  <c r="F217" i="48"/>
  <c r="F216" i="48"/>
  <c r="F215" i="48"/>
  <c r="F214" i="48"/>
  <c r="F213" i="48"/>
  <c r="F212" i="48"/>
  <c r="F211" i="48"/>
  <c r="F210" i="48"/>
  <c r="F209" i="48"/>
  <c r="F208" i="48"/>
  <c r="F207" i="48"/>
  <c r="F206" i="48"/>
  <c r="F205" i="48"/>
  <c r="F204" i="48"/>
  <c r="F203" i="48"/>
  <c r="F202" i="48"/>
  <c r="F201" i="48"/>
  <c r="F200" i="48"/>
  <c r="F199" i="48"/>
  <c r="F198" i="48"/>
  <c r="F197" i="48"/>
  <c r="F196" i="48"/>
  <c r="F195" i="48"/>
  <c r="F194" i="48"/>
  <c r="F193" i="48"/>
  <c r="F192" i="48"/>
  <c r="F191" i="48"/>
  <c r="F190" i="48"/>
  <c r="F189" i="48"/>
  <c r="F188" i="48"/>
  <c r="F187" i="48"/>
  <c r="F186" i="48"/>
  <c r="F185" i="48"/>
  <c r="F184" i="48"/>
  <c r="F183" i="48"/>
  <c r="F182" i="48"/>
  <c r="F181" i="48"/>
  <c r="F180" i="48"/>
  <c r="F179" i="48"/>
  <c r="F178" i="48"/>
  <c r="F177" i="48"/>
  <c r="F176" i="48"/>
  <c r="F175" i="48"/>
  <c r="F174" i="48"/>
  <c r="F173" i="48"/>
  <c r="F172" i="48"/>
  <c r="F171" i="48"/>
  <c r="F170" i="48"/>
  <c r="F169" i="48"/>
  <c r="F168" i="48"/>
  <c r="F167" i="48"/>
  <c r="F166" i="48"/>
  <c r="F165" i="48"/>
  <c r="F164" i="48"/>
  <c r="F163" i="48"/>
  <c r="F162" i="48"/>
  <c r="F161" i="48"/>
  <c r="F160" i="48"/>
  <c r="F159" i="48"/>
  <c r="F158" i="48"/>
  <c r="F157" i="48"/>
  <c r="F156" i="48"/>
  <c r="F155" i="48"/>
  <c r="F154" i="48"/>
  <c r="F153" i="48"/>
  <c r="F152" i="48"/>
  <c r="F151" i="48"/>
  <c r="F150" i="48"/>
  <c r="F149" i="48"/>
  <c r="F148" i="48"/>
  <c r="F147" i="48"/>
  <c r="F146" i="48"/>
  <c r="F145" i="48"/>
  <c r="F144" i="48"/>
  <c r="F143" i="48"/>
  <c r="F142" i="48"/>
  <c r="F141" i="48"/>
  <c r="F140" i="48"/>
  <c r="F139" i="48"/>
  <c r="F138" i="48"/>
  <c r="F137" i="48"/>
  <c r="F136" i="48"/>
  <c r="F135" i="48"/>
  <c r="F134" i="48"/>
  <c r="F133" i="48"/>
  <c r="F132" i="48"/>
  <c r="F131" i="48"/>
  <c r="F130" i="48"/>
  <c r="F129" i="48"/>
  <c r="F128" i="48"/>
  <c r="F127" i="48"/>
  <c r="F126" i="48"/>
  <c r="F125" i="48"/>
  <c r="F124" i="48"/>
  <c r="F123" i="48"/>
  <c r="F122" i="48"/>
  <c r="F121" i="48"/>
  <c r="F120" i="48"/>
  <c r="F119" i="48"/>
  <c r="F118" i="48"/>
  <c r="F117" i="48"/>
  <c r="F116" i="48"/>
  <c r="F115" i="48"/>
  <c r="F114" i="48"/>
  <c r="F113" i="48"/>
  <c r="F112" i="48"/>
  <c r="F111" i="48"/>
  <c r="F110" i="48"/>
  <c r="F109" i="48"/>
  <c r="F108" i="48"/>
  <c r="F107" i="48"/>
  <c r="F106" i="48"/>
  <c r="F105" i="48"/>
  <c r="F104" i="48"/>
  <c r="F103" i="48"/>
  <c r="F102" i="48"/>
  <c r="F101" i="48"/>
  <c r="F100" i="48"/>
  <c r="F99" i="48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F6" i="48"/>
  <c r="F5" i="48"/>
  <c r="F4" i="48"/>
  <c r="F3" i="48"/>
  <c r="L74" i="47"/>
  <c r="L73" i="47"/>
  <c r="L72" i="47"/>
  <c r="L71" i="47"/>
  <c r="L70" i="47"/>
  <c r="L69" i="47"/>
  <c r="L68" i="47"/>
  <c r="L67" i="47"/>
  <c r="L66" i="47"/>
  <c r="L65" i="47"/>
  <c r="L64" i="47"/>
  <c r="L63" i="47"/>
  <c r="L62" i="47"/>
  <c r="L61" i="47"/>
  <c r="L60" i="47"/>
  <c r="L59" i="47"/>
  <c r="L58" i="47"/>
  <c r="L57" i="47"/>
  <c r="L56" i="47"/>
  <c r="L55" i="47"/>
  <c r="L54" i="47"/>
  <c r="L53" i="47"/>
  <c r="L52" i="47"/>
  <c r="L51" i="47"/>
  <c r="L50" i="47"/>
  <c r="L49" i="47"/>
  <c r="L48" i="47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2" i="47"/>
  <c r="L31" i="47"/>
  <c r="L30" i="47"/>
  <c r="L29" i="47"/>
  <c r="L28" i="47"/>
  <c r="L27" i="47"/>
  <c r="L26" i="47"/>
  <c r="L25" i="47"/>
  <c r="L24" i="47"/>
  <c r="L23" i="47"/>
  <c r="L22" i="47"/>
  <c r="L21" i="47"/>
  <c r="L20" i="47"/>
  <c r="L19" i="47"/>
  <c r="L18" i="47"/>
  <c r="L17" i="47"/>
  <c r="L16" i="47"/>
  <c r="L15" i="47"/>
  <c r="L14" i="47"/>
  <c r="L13" i="47"/>
  <c r="L12" i="47"/>
  <c r="L11" i="47"/>
  <c r="L10" i="47"/>
  <c r="L9" i="47"/>
  <c r="L8" i="47"/>
  <c r="L7" i="47"/>
  <c r="L6" i="47"/>
  <c r="L5" i="47"/>
  <c r="L4" i="47"/>
  <c r="L3" i="47"/>
  <c r="L2" i="47"/>
  <c r="I81" i="42"/>
  <c r="I80" i="42"/>
  <c r="I79" i="42"/>
  <c r="I78" i="42"/>
  <c r="I77" i="42"/>
  <c r="I76" i="42"/>
  <c r="I75" i="42"/>
  <c r="I74" i="42"/>
  <c r="I73" i="42"/>
  <c r="I72" i="42"/>
  <c r="I71" i="42"/>
  <c r="I70" i="42"/>
  <c r="I69" i="42"/>
  <c r="I68" i="42"/>
  <c r="I67" i="42"/>
  <c r="I66" i="42"/>
  <c r="I65" i="42"/>
  <c r="I64" i="42"/>
  <c r="I63" i="42"/>
  <c r="I62" i="42"/>
  <c r="I61" i="42"/>
  <c r="I60" i="42"/>
  <c r="I59" i="42"/>
  <c r="I58" i="42"/>
  <c r="I57" i="42"/>
  <c r="I56" i="42"/>
  <c r="I55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4" i="42"/>
  <c r="D51" i="45"/>
  <c r="I32" i="45"/>
  <c r="I51" i="45" s="1"/>
  <c r="G59" i="42"/>
  <c r="G58" i="42"/>
  <c r="G57" i="42"/>
  <c r="G56" i="42"/>
  <c r="G55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25" i="42"/>
  <c r="G26" i="42"/>
  <c r="G27" i="42"/>
  <c r="G28" i="42"/>
  <c r="G29" i="42"/>
  <c r="G30" i="42"/>
  <c r="G31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8" i="42"/>
  <c r="G7" i="42"/>
  <c r="G6" i="42"/>
  <c r="G5" i="42"/>
  <c r="G9" i="42"/>
  <c r="G4" i="42"/>
  <c r="C261" i="39"/>
  <c r="D261" i="39"/>
  <c r="E261" i="39"/>
  <c r="F261" i="39"/>
  <c r="G261" i="39"/>
  <c r="H261" i="39"/>
  <c r="I261" i="39"/>
  <c r="C3" i="39"/>
  <c r="D3" i="39"/>
  <c r="E3" i="39"/>
  <c r="F3" i="39"/>
  <c r="G3" i="39"/>
  <c r="H3" i="39"/>
  <c r="I3" i="39"/>
  <c r="C4" i="39"/>
  <c r="D4" i="39"/>
  <c r="E4" i="39"/>
  <c r="F4" i="39"/>
  <c r="G4" i="39"/>
  <c r="H4" i="39"/>
  <c r="I4" i="39"/>
  <c r="C5" i="39"/>
  <c r="D5" i="39"/>
  <c r="E5" i="39"/>
  <c r="F5" i="39"/>
  <c r="G5" i="39"/>
  <c r="H5" i="39"/>
  <c r="I5" i="39"/>
  <c r="C6" i="39"/>
  <c r="D6" i="39"/>
  <c r="E6" i="39"/>
  <c r="F6" i="39"/>
  <c r="G6" i="39"/>
  <c r="H6" i="39"/>
  <c r="I6" i="39"/>
  <c r="C7" i="39"/>
  <c r="D7" i="39"/>
  <c r="E7" i="39"/>
  <c r="F7" i="39"/>
  <c r="G7" i="39"/>
  <c r="H7" i="39"/>
  <c r="I7" i="39"/>
  <c r="C8" i="39"/>
  <c r="D8" i="39"/>
  <c r="E8" i="39"/>
  <c r="F8" i="39"/>
  <c r="G8" i="39"/>
  <c r="H8" i="39"/>
  <c r="I8" i="39"/>
  <c r="C9" i="39"/>
  <c r="D9" i="39"/>
  <c r="E9" i="39"/>
  <c r="F9" i="39"/>
  <c r="G9" i="39"/>
  <c r="H9" i="39"/>
  <c r="I9" i="39"/>
  <c r="C10" i="39"/>
  <c r="D10" i="39"/>
  <c r="E10" i="39"/>
  <c r="F10" i="39"/>
  <c r="G10" i="39"/>
  <c r="H10" i="39"/>
  <c r="I10" i="39"/>
  <c r="C11" i="39"/>
  <c r="D11" i="39"/>
  <c r="E11" i="39"/>
  <c r="F11" i="39"/>
  <c r="G11" i="39"/>
  <c r="H11" i="39"/>
  <c r="I11" i="39"/>
  <c r="C12" i="39"/>
  <c r="D12" i="39"/>
  <c r="E12" i="39"/>
  <c r="F12" i="39"/>
  <c r="G12" i="39"/>
  <c r="H12" i="39"/>
  <c r="I12" i="39"/>
  <c r="C13" i="39"/>
  <c r="D13" i="39"/>
  <c r="E13" i="39"/>
  <c r="F13" i="39"/>
  <c r="G13" i="39"/>
  <c r="H13" i="39"/>
  <c r="I13" i="39"/>
  <c r="C14" i="39"/>
  <c r="D14" i="39"/>
  <c r="E14" i="39"/>
  <c r="F14" i="39"/>
  <c r="G14" i="39"/>
  <c r="H14" i="39"/>
  <c r="I14" i="39"/>
  <c r="C15" i="39"/>
  <c r="D15" i="39"/>
  <c r="E15" i="39"/>
  <c r="F15" i="39"/>
  <c r="G15" i="39"/>
  <c r="H15" i="39"/>
  <c r="I15" i="39"/>
  <c r="C16" i="39"/>
  <c r="D16" i="39"/>
  <c r="E16" i="39"/>
  <c r="F16" i="39"/>
  <c r="G16" i="39"/>
  <c r="H16" i="39"/>
  <c r="I16" i="39"/>
  <c r="C17" i="39"/>
  <c r="D17" i="39"/>
  <c r="E17" i="39"/>
  <c r="F17" i="39"/>
  <c r="G17" i="39"/>
  <c r="H17" i="39"/>
  <c r="I17" i="39"/>
  <c r="C18" i="39"/>
  <c r="D18" i="39"/>
  <c r="E18" i="39"/>
  <c r="F18" i="39"/>
  <c r="G18" i="39"/>
  <c r="H18" i="39"/>
  <c r="I18" i="39"/>
  <c r="C19" i="39"/>
  <c r="D19" i="39"/>
  <c r="E19" i="39"/>
  <c r="F19" i="39"/>
  <c r="G19" i="39"/>
  <c r="H19" i="39"/>
  <c r="I19" i="39"/>
  <c r="C20" i="39"/>
  <c r="D20" i="39"/>
  <c r="E20" i="39"/>
  <c r="F20" i="39"/>
  <c r="G20" i="39"/>
  <c r="H20" i="39"/>
  <c r="I20" i="39"/>
  <c r="C21" i="39"/>
  <c r="D21" i="39"/>
  <c r="E21" i="39"/>
  <c r="F21" i="39"/>
  <c r="G21" i="39"/>
  <c r="H21" i="39"/>
  <c r="I21" i="39"/>
  <c r="C22" i="39"/>
  <c r="D22" i="39"/>
  <c r="E22" i="39"/>
  <c r="F22" i="39"/>
  <c r="G22" i="39"/>
  <c r="H22" i="39"/>
  <c r="I22" i="39"/>
  <c r="C23" i="39"/>
  <c r="D23" i="39"/>
  <c r="E23" i="39"/>
  <c r="F23" i="39"/>
  <c r="G23" i="39"/>
  <c r="H23" i="39"/>
  <c r="I23" i="39"/>
  <c r="C24" i="39"/>
  <c r="D24" i="39"/>
  <c r="E24" i="39"/>
  <c r="F24" i="39"/>
  <c r="G24" i="39"/>
  <c r="H24" i="39"/>
  <c r="I24" i="39"/>
  <c r="C25" i="39"/>
  <c r="D25" i="39"/>
  <c r="E25" i="39"/>
  <c r="F25" i="39"/>
  <c r="G25" i="39"/>
  <c r="H25" i="39"/>
  <c r="I25" i="39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H28" i="39"/>
  <c r="I28" i="39"/>
  <c r="C29" i="39"/>
  <c r="D29" i="39"/>
  <c r="E29" i="39"/>
  <c r="F29" i="39"/>
  <c r="G29" i="39"/>
  <c r="H29" i="39"/>
  <c r="I29" i="39"/>
  <c r="C30" i="39"/>
  <c r="D30" i="39"/>
  <c r="E30" i="39"/>
  <c r="F30" i="39"/>
  <c r="G30" i="39"/>
  <c r="H30" i="39"/>
  <c r="I30" i="39"/>
  <c r="C31" i="39"/>
  <c r="D31" i="39"/>
  <c r="E31" i="39"/>
  <c r="F31" i="39"/>
  <c r="G31" i="39"/>
  <c r="H31" i="39"/>
  <c r="I31" i="39"/>
  <c r="C32" i="39"/>
  <c r="D32" i="39"/>
  <c r="E32" i="39"/>
  <c r="F32" i="39"/>
  <c r="G32" i="39"/>
  <c r="H32" i="39"/>
  <c r="I32" i="39"/>
  <c r="C33" i="39"/>
  <c r="D33" i="39"/>
  <c r="E33" i="39"/>
  <c r="F33" i="39"/>
  <c r="G33" i="39"/>
  <c r="H33" i="39"/>
  <c r="I33" i="39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C36" i="39"/>
  <c r="D36" i="39"/>
  <c r="E36" i="39"/>
  <c r="F36" i="39"/>
  <c r="G36" i="39"/>
  <c r="H36" i="39"/>
  <c r="I36" i="39"/>
  <c r="C37" i="39"/>
  <c r="D37" i="39"/>
  <c r="E37" i="39"/>
  <c r="F37" i="39"/>
  <c r="G37" i="39"/>
  <c r="H37" i="39"/>
  <c r="I37" i="39"/>
  <c r="C38" i="39"/>
  <c r="D38" i="39"/>
  <c r="E38" i="39"/>
  <c r="F38" i="39"/>
  <c r="G38" i="39"/>
  <c r="H38" i="39"/>
  <c r="I38" i="39"/>
  <c r="C39" i="39"/>
  <c r="D39" i="39"/>
  <c r="E39" i="39"/>
  <c r="F39" i="39"/>
  <c r="G39" i="39"/>
  <c r="H39" i="39"/>
  <c r="I39" i="39"/>
  <c r="C40" i="39"/>
  <c r="D40" i="39"/>
  <c r="E40" i="39"/>
  <c r="F40" i="39"/>
  <c r="G40" i="39"/>
  <c r="H40" i="39"/>
  <c r="I40" i="39"/>
  <c r="C41" i="39"/>
  <c r="D41" i="39"/>
  <c r="E41" i="39"/>
  <c r="F41" i="39"/>
  <c r="G41" i="39"/>
  <c r="H41" i="39"/>
  <c r="I41" i="39"/>
  <c r="C42" i="39"/>
  <c r="D42" i="39"/>
  <c r="E42" i="39"/>
  <c r="F42" i="39"/>
  <c r="G42" i="39"/>
  <c r="H42" i="39"/>
  <c r="I42" i="39"/>
  <c r="C43" i="39"/>
  <c r="D43" i="39"/>
  <c r="E43" i="39"/>
  <c r="F43" i="39"/>
  <c r="G43" i="39"/>
  <c r="H43" i="39"/>
  <c r="I43" i="39"/>
  <c r="C44" i="39"/>
  <c r="D44" i="39"/>
  <c r="E44" i="39"/>
  <c r="F44" i="39"/>
  <c r="G44" i="39"/>
  <c r="H44" i="39"/>
  <c r="I44" i="39"/>
  <c r="C45" i="39"/>
  <c r="D45" i="39"/>
  <c r="E45" i="39"/>
  <c r="F45" i="39"/>
  <c r="G45" i="39"/>
  <c r="H45" i="39"/>
  <c r="I45" i="39"/>
  <c r="C46" i="39"/>
  <c r="D46" i="39"/>
  <c r="E46" i="39"/>
  <c r="F46" i="39"/>
  <c r="G46" i="39"/>
  <c r="H46" i="39"/>
  <c r="I46" i="39"/>
  <c r="C47" i="39"/>
  <c r="D47" i="39"/>
  <c r="E47" i="39"/>
  <c r="F47" i="39"/>
  <c r="G47" i="39"/>
  <c r="H47" i="39"/>
  <c r="I47" i="39"/>
  <c r="C48" i="39"/>
  <c r="D48" i="39"/>
  <c r="E48" i="39"/>
  <c r="F48" i="39"/>
  <c r="G48" i="39"/>
  <c r="H48" i="39"/>
  <c r="I48" i="39"/>
  <c r="C49" i="39"/>
  <c r="D49" i="39"/>
  <c r="E49" i="39"/>
  <c r="F49" i="39"/>
  <c r="G49" i="39"/>
  <c r="H49" i="39"/>
  <c r="I49" i="39"/>
  <c r="C50" i="39"/>
  <c r="D50" i="39"/>
  <c r="E50" i="39"/>
  <c r="F50" i="39"/>
  <c r="G50" i="39"/>
  <c r="H50" i="39"/>
  <c r="I50" i="39"/>
  <c r="C51" i="39"/>
  <c r="D51" i="39"/>
  <c r="E51" i="39"/>
  <c r="F51" i="39"/>
  <c r="G51" i="39"/>
  <c r="H51" i="39"/>
  <c r="I51" i="39"/>
  <c r="C52" i="39"/>
  <c r="D52" i="39"/>
  <c r="E52" i="39"/>
  <c r="F52" i="39"/>
  <c r="G52" i="39"/>
  <c r="H52" i="39"/>
  <c r="I52" i="39"/>
  <c r="C53" i="39"/>
  <c r="D53" i="39"/>
  <c r="E53" i="39"/>
  <c r="F53" i="39"/>
  <c r="G53" i="39"/>
  <c r="H53" i="39"/>
  <c r="I53" i="39"/>
  <c r="C54" i="39"/>
  <c r="D54" i="39"/>
  <c r="E54" i="39"/>
  <c r="F54" i="39"/>
  <c r="G54" i="39"/>
  <c r="H54" i="39"/>
  <c r="I54" i="39"/>
  <c r="C55" i="39"/>
  <c r="D55" i="39"/>
  <c r="E55" i="39"/>
  <c r="F55" i="39"/>
  <c r="G55" i="39"/>
  <c r="H55" i="39"/>
  <c r="I55" i="39"/>
  <c r="C56" i="39"/>
  <c r="D56" i="39"/>
  <c r="E56" i="39"/>
  <c r="F56" i="39"/>
  <c r="G56" i="39"/>
  <c r="H56" i="39"/>
  <c r="I56" i="39"/>
  <c r="C57" i="39"/>
  <c r="D57" i="39"/>
  <c r="E57" i="39"/>
  <c r="F57" i="39"/>
  <c r="G57" i="39"/>
  <c r="H57" i="39"/>
  <c r="I57" i="39"/>
  <c r="C58" i="39"/>
  <c r="D58" i="39"/>
  <c r="E58" i="39"/>
  <c r="F58" i="39"/>
  <c r="G58" i="39"/>
  <c r="H58" i="39"/>
  <c r="I58" i="39"/>
  <c r="C59" i="39"/>
  <c r="D59" i="39"/>
  <c r="E59" i="39"/>
  <c r="F59" i="39"/>
  <c r="G59" i="39"/>
  <c r="H59" i="39"/>
  <c r="I59" i="39"/>
  <c r="C60" i="39"/>
  <c r="D60" i="39"/>
  <c r="E60" i="39"/>
  <c r="F60" i="39"/>
  <c r="G60" i="39"/>
  <c r="H60" i="39"/>
  <c r="I60" i="39"/>
  <c r="C61" i="39"/>
  <c r="D61" i="39"/>
  <c r="E61" i="39"/>
  <c r="F61" i="39"/>
  <c r="G61" i="39"/>
  <c r="H61" i="39"/>
  <c r="I61" i="39"/>
  <c r="C62" i="39"/>
  <c r="D62" i="39"/>
  <c r="E62" i="39"/>
  <c r="F62" i="39"/>
  <c r="G62" i="39"/>
  <c r="H62" i="39"/>
  <c r="I62" i="39"/>
  <c r="C63" i="39"/>
  <c r="D63" i="39"/>
  <c r="E63" i="39"/>
  <c r="F63" i="39"/>
  <c r="G63" i="39"/>
  <c r="H63" i="39"/>
  <c r="I63" i="39"/>
  <c r="C64" i="39"/>
  <c r="D64" i="39"/>
  <c r="E64" i="39"/>
  <c r="F64" i="39"/>
  <c r="G64" i="39"/>
  <c r="H64" i="39"/>
  <c r="I64" i="39"/>
  <c r="C65" i="39"/>
  <c r="D65" i="39"/>
  <c r="E65" i="39"/>
  <c r="F65" i="39"/>
  <c r="G65" i="39"/>
  <c r="H65" i="39"/>
  <c r="I65" i="39"/>
  <c r="C66" i="39"/>
  <c r="D66" i="39"/>
  <c r="E66" i="39"/>
  <c r="F66" i="39"/>
  <c r="G66" i="39"/>
  <c r="H66" i="39"/>
  <c r="I66" i="39"/>
  <c r="C67" i="39"/>
  <c r="D67" i="39"/>
  <c r="E67" i="39"/>
  <c r="F67" i="39"/>
  <c r="G67" i="39"/>
  <c r="H67" i="39"/>
  <c r="I67" i="39"/>
  <c r="C68" i="39"/>
  <c r="D68" i="39"/>
  <c r="E68" i="39"/>
  <c r="F68" i="39"/>
  <c r="G68" i="39"/>
  <c r="H68" i="39"/>
  <c r="I68" i="39"/>
  <c r="C69" i="39"/>
  <c r="D69" i="39"/>
  <c r="E69" i="39"/>
  <c r="F69" i="39"/>
  <c r="G69" i="39"/>
  <c r="H69" i="39"/>
  <c r="I69" i="39"/>
  <c r="C70" i="39"/>
  <c r="D70" i="39"/>
  <c r="E70" i="39"/>
  <c r="F70" i="39"/>
  <c r="G70" i="39"/>
  <c r="H70" i="39"/>
  <c r="I70" i="39"/>
  <c r="C71" i="39"/>
  <c r="D71" i="39"/>
  <c r="E71" i="39"/>
  <c r="F71" i="39"/>
  <c r="G71" i="39"/>
  <c r="H71" i="39"/>
  <c r="I71" i="39"/>
  <c r="C72" i="39"/>
  <c r="D72" i="39"/>
  <c r="E72" i="39"/>
  <c r="F72" i="39"/>
  <c r="G72" i="39"/>
  <c r="H72" i="39"/>
  <c r="I72" i="39"/>
  <c r="C73" i="39"/>
  <c r="D73" i="39"/>
  <c r="E73" i="39"/>
  <c r="F73" i="39"/>
  <c r="G73" i="39"/>
  <c r="H73" i="39"/>
  <c r="I73" i="39"/>
  <c r="C74" i="39"/>
  <c r="D74" i="39"/>
  <c r="E74" i="39"/>
  <c r="F74" i="39"/>
  <c r="G74" i="39"/>
  <c r="H74" i="39"/>
  <c r="I74" i="39"/>
  <c r="C75" i="39"/>
  <c r="D75" i="39"/>
  <c r="E75" i="39"/>
  <c r="F75" i="39"/>
  <c r="G75" i="39"/>
  <c r="H75" i="39"/>
  <c r="I75" i="39"/>
  <c r="C76" i="39"/>
  <c r="D76" i="39"/>
  <c r="E76" i="39"/>
  <c r="F76" i="39"/>
  <c r="G76" i="39"/>
  <c r="H76" i="39"/>
  <c r="I76" i="39"/>
  <c r="C77" i="39"/>
  <c r="D77" i="39"/>
  <c r="E77" i="39"/>
  <c r="F77" i="39"/>
  <c r="G77" i="39"/>
  <c r="H77" i="39"/>
  <c r="I77" i="39"/>
  <c r="C78" i="39"/>
  <c r="D78" i="39"/>
  <c r="E78" i="39"/>
  <c r="F78" i="39"/>
  <c r="G78" i="39"/>
  <c r="H78" i="39"/>
  <c r="I78" i="39"/>
  <c r="C79" i="39"/>
  <c r="D79" i="39"/>
  <c r="E79" i="39"/>
  <c r="F79" i="39"/>
  <c r="G79" i="39"/>
  <c r="H79" i="39"/>
  <c r="I79" i="39"/>
  <c r="C80" i="39"/>
  <c r="D80" i="39"/>
  <c r="E80" i="39"/>
  <c r="F80" i="39"/>
  <c r="G80" i="39"/>
  <c r="H80" i="39"/>
  <c r="I80" i="39"/>
  <c r="C81" i="39"/>
  <c r="D81" i="39"/>
  <c r="E81" i="39"/>
  <c r="F81" i="39"/>
  <c r="G81" i="39"/>
  <c r="H81" i="39"/>
  <c r="I81" i="39"/>
  <c r="C82" i="39"/>
  <c r="D82" i="39"/>
  <c r="E82" i="39"/>
  <c r="F82" i="39"/>
  <c r="G82" i="39"/>
  <c r="H82" i="39"/>
  <c r="I82" i="39"/>
  <c r="C83" i="39"/>
  <c r="D83" i="39"/>
  <c r="E83" i="39"/>
  <c r="F83" i="39"/>
  <c r="G83" i="39"/>
  <c r="H83" i="39"/>
  <c r="I83" i="39"/>
  <c r="C84" i="39"/>
  <c r="D84" i="39"/>
  <c r="E84" i="39"/>
  <c r="F84" i="39"/>
  <c r="G84" i="39"/>
  <c r="H84" i="39"/>
  <c r="I84" i="39"/>
  <c r="C85" i="39"/>
  <c r="D85" i="39"/>
  <c r="E85" i="39"/>
  <c r="F85" i="39"/>
  <c r="G85" i="39"/>
  <c r="H85" i="39"/>
  <c r="I85" i="39"/>
  <c r="C86" i="39"/>
  <c r="D86" i="39"/>
  <c r="E86" i="39"/>
  <c r="F86" i="39"/>
  <c r="G86" i="39"/>
  <c r="H86" i="39"/>
  <c r="I86" i="39"/>
  <c r="C87" i="39"/>
  <c r="D87" i="39"/>
  <c r="E87" i="39"/>
  <c r="F87" i="39"/>
  <c r="G87" i="39"/>
  <c r="H87" i="39"/>
  <c r="I87" i="39"/>
  <c r="C88" i="39"/>
  <c r="D88" i="39"/>
  <c r="E88" i="39"/>
  <c r="F88" i="39"/>
  <c r="G88" i="39"/>
  <c r="H88" i="39"/>
  <c r="I88" i="39"/>
  <c r="C89" i="39"/>
  <c r="D89" i="39"/>
  <c r="E89" i="39"/>
  <c r="F89" i="39"/>
  <c r="G89" i="39"/>
  <c r="H89" i="39"/>
  <c r="I89" i="39"/>
  <c r="C90" i="39"/>
  <c r="D90" i="39"/>
  <c r="E90" i="39"/>
  <c r="F90" i="39"/>
  <c r="G90" i="39"/>
  <c r="H90" i="39"/>
  <c r="I90" i="39"/>
  <c r="C91" i="39"/>
  <c r="D91" i="39"/>
  <c r="E91" i="39"/>
  <c r="F91" i="39"/>
  <c r="G91" i="39"/>
  <c r="H91" i="39"/>
  <c r="I91" i="39"/>
  <c r="C92" i="39"/>
  <c r="D92" i="39"/>
  <c r="E92" i="39"/>
  <c r="F92" i="39"/>
  <c r="G92" i="39"/>
  <c r="H92" i="39"/>
  <c r="I92" i="39"/>
  <c r="C93" i="39"/>
  <c r="D93" i="39"/>
  <c r="E93" i="39"/>
  <c r="F93" i="39"/>
  <c r="G93" i="39"/>
  <c r="H93" i="39"/>
  <c r="I93" i="39"/>
  <c r="C94" i="39"/>
  <c r="D94" i="39"/>
  <c r="E94" i="39"/>
  <c r="F94" i="39"/>
  <c r="G94" i="39"/>
  <c r="H94" i="39"/>
  <c r="I94" i="39"/>
  <c r="C95" i="39"/>
  <c r="D95" i="39"/>
  <c r="E95" i="39"/>
  <c r="F95" i="39"/>
  <c r="G95" i="39"/>
  <c r="H95" i="39"/>
  <c r="I95" i="39"/>
  <c r="C96" i="39"/>
  <c r="D96" i="39"/>
  <c r="E96" i="39"/>
  <c r="F96" i="39"/>
  <c r="G96" i="39"/>
  <c r="H96" i="39"/>
  <c r="I96" i="39"/>
  <c r="C97" i="39"/>
  <c r="D97" i="39"/>
  <c r="E97" i="39"/>
  <c r="F97" i="39"/>
  <c r="G97" i="39"/>
  <c r="H97" i="39"/>
  <c r="I97" i="39"/>
  <c r="C98" i="39"/>
  <c r="D98" i="39"/>
  <c r="E98" i="39"/>
  <c r="F98" i="39"/>
  <c r="G98" i="39"/>
  <c r="H98" i="39"/>
  <c r="I98" i="39"/>
  <c r="C99" i="39"/>
  <c r="D99" i="39"/>
  <c r="E99" i="39"/>
  <c r="F99" i="39"/>
  <c r="G99" i="39"/>
  <c r="H99" i="39"/>
  <c r="I99" i="39"/>
  <c r="C100" i="39"/>
  <c r="D100" i="39"/>
  <c r="E100" i="39"/>
  <c r="F100" i="39"/>
  <c r="G100" i="39"/>
  <c r="H100" i="39"/>
  <c r="I100" i="39"/>
  <c r="C101" i="39"/>
  <c r="D101" i="39"/>
  <c r="E101" i="39"/>
  <c r="F101" i="39"/>
  <c r="G101" i="39"/>
  <c r="H101" i="39"/>
  <c r="I101" i="39"/>
  <c r="C102" i="39"/>
  <c r="D102" i="39"/>
  <c r="E102" i="39"/>
  <c r="F102" i="39"/>
  <c r="G102" i="39"/>
  <c r="H102" i="39"/>
  <c r="I102" i="39"/>
  <c r="C103" i="39"/>
  <c r="D103" i="39"/>
  <c r="E103" i="39"/>
  <c r="F103" i="39"/>
  <c r="G103" i="39"/>
  <c r="H103" i="39"/>
  <c r="I103" i="39"/>
  <c r="C104" i="39"/>
  <c r="D104" i="39"/>
  <c r="E104" i="39"/>
  <c r="F104" i="39"/>
  <c r="G104" i="39"/>
  <c r="H104" i="39"/>
  <c r="I104" i="39"/>
  <c r="C105" i="39"/>
  <c r="D105" i="39"/>
  <c r="E105" i="39"/>
  <c r="F105" i="39"/>
  <c r="G105" i="39"/>
  <c r="H105" i="39"/>
  <c r="I105" i="39"/>
  <c r="C106" i="39"/>
  <c r="D106" i="39"/>
  <c r="E106" i="39"/>
  <c r="F106" i="39"/>
  <c r="G106" i="39"/>
  <c r="H106" i="39"/>
  <c r="I106" i="39"/>
  <c r="C107" i="39"/>
  <c r="D107" i="39"/>
  <c r="E107" i="39"/>
  <c r="F107" i="39"/>
  <c r="G107" i="39"/>
  <c r="H107" i="39"/>
  <c r="I107" i="39"/>
  <c r="C108" i="39"/>
  <c r="D108" i="39"/>
  <c r="E108" i="39"/>
  <c r="F108" i="39"/>
  <c r="G108" i="39"/>
  <c r="H108" i="39"/>
  <c r="I108" i="39"/>
  <c r="C109" i="39"/>
  <c r="D109" i="39"/>
  <c r="E109" i="39"/>
  <c r="F109" i="39"/>
  <c r="G109" i="39"/>
  <c r="H109" i="39"/>
  <c r="I109" i="39"/>
  <c r="C110" i="39"/>
  <c r="D110" i="39"/>
  <c r="E110" i="39"/>
  <c r="F110" i="39"/>
  <c r="G110" i="39"/>
  <c r="H110" i="39"/>
  <c r="I110" i="39"/>
  <c r="C111" i="39"/>
  <c r="D111" i="39"/>
  <c r="E111" i="39"/>
  <c r="F111" i="39"/>
  <c r="G111" i="39"/>
  <c r="H111" i="39"/>
  <c r="I111" i="39"/>
  <c r="C112" i="39"/>
  <c r="D112" i="39"/>
  <c r="E112" i="39"/>
  <c r="F112" i="39"/>
  <c r="G112" i="39"/>
  <c r="H112" i="39"/>
  <c r="I112" i="39"/>
  <c r="C113" i="39"/>
  <c r="D113" i="39"/>
  <c r="E113" i="39"/>
  <c r="F113" i="39"/>
  <c r="G113" i="39"/>
  <c r="H113" i="39"/>
  <c r="I113" i="39"/>
  <c r="C114" i="39"/>
  <c r="D114" i="39"/>
  <c r="E114" i="39"/>
  <c r="F114" i="39"/>
  <c r="G114" i="39"/>
  <c r="H114" i="39"/>
  <c r="I114" i="39"/>
  <c r="C115" i="39"/>
  <c r="D115" i="39"/>
  <c r="E115" i="39"/>
  <c r="F115" i="39"/>
  <c r="G115" i="39"/>
  <c r="H115" i="39"/>
  <c r="I115" i="39"/>
  <c r="C116" i="39"/>
  <c r="D116" i="39"/>
  <c r="E116" i="39"/>
  <c r="F116" i="39"/>
  <c r="G116" i="39"/>
  <c r="H116" i="39"/>
  <c r="I116" i="39"/>
  <c r="C117" i="39"/>
  <c r="D117" i="39"/>
  <c r="E117" i="39"/>
  <c r="F117" i="39"/>
  <c r="G117" i="39"/>
  <c r="H117" i="39"/>
  <c r="I117" i="39"/>
  <c r="C118" i="39"/>
  <c r="D118" i="39"/>
  <c r="E118" i="39"/>
  <c r="F118" i="39"/>
  <c r="G118" i="39"/>
  <c r="H118" i="39"/>
  <c r="I118" i="39"/>
  <c r="C119" i="39"/>
  <c r="D119" i="39"/>
  <c r="E119" i="39"/>
  <c r="F119" i="39"/>
  <c r="G119" i="39"/>
  <c r="H119" i="39"/>
  <c r="I119" i="39"/>
  <c r="C120" i="39"/>
  <c r="D120" i="39"/>
  <c r="E120" i="39"/>
  <c r="F120" i="39"/>
  <c r="G120" i="39"/>
  <c r="H120" i="39"/>
  <c r="I120" i="39"/>
  <c r="C121" i="39"/>
  <c r="D121" i="39"/>
  <c r="E121" i="39"/>
  <c r="F121" i="39"/>
  <c r="G121" i="39"/>
  <c r="H121" i="39"/>
  <c r="I121" i="39"/>
  <c r="C122" i="39"/>
  <c r="D122" i="39"/>
  <c r="E122" i="39"/>
  <c r="F122" i="39"/>
  <c r="G122" i="39"/>
  <c r="H122" i="39"/>
  <c r="I122" i="39"/>
  <c r="C123" i="39"/>
  <c r="D123" i="39"/>
  <c r="E123" i="39"/>
  <c r="F123" i="39"/>
  <c r="G123" i="39"/>
  <c r="H123" i="39"/>
  <c r="I123" i="39"/>
  <c r="C124" i="39"/>
  <c r="D124" i="39"/>
  <c r="E124" i="39"/>
  <c r="F124" i="39"/>
  <c r="G124" i="39"/>
  <c r="H124" i="39"/>
  <c r="I124" i="39"/>
  <c r="C125" i="39"/>
  <c r="D125" i="39"/>
  <c r="E125" i="39"/>
  <c r="F125" i="39"/>
  <c r="G125" i="39"/>
  <c r="H125" i="39"/>
  <c r="I125" i="39"/>
  <c r="C126" i="39"/>
  <c r="D126" i="39"/>
  <c r="E126" i="39"/>
  <c r="F126" i="39"/>
  <c r="G126" i="39"/>
  <c r="H126" i="39"/>
  <c r="I126" i="39"/>
  <c r="C127" i="39"/>
  <c r="D127" i="39"/>
  <c r="E127" i="39"/>
  <c r="F127" i="39"/>
  <c r="G127" i="39"/>
  <c r="H127" i="39"/>
  <c r="I127" i="39"/>
  <c r="C128" i="39"/>
  <c r="D128" i="39"/>
  <c r="E128" i="39"/>
  <c r="F128" i="39"/>
  <c r="G128" i="39"/>
  <c r="H128" i="39"/>
  <c r="I128" i="39"/>
  <c r="C129" i="39"/>
  <c r="D129" i="39"/>
  <c r="E129" i="39"/>
  <c r="F129" i="39"/>
  <c r="G129" i="39"/>
  <c r="H129" i="39"/>
  <c r="I129" i="39"/>
  <c r="C130" i="39"/>
  <c r="D130" i="39"/>
  <c r="E130" i="39"/>
  <c r="F130" i="39"/>
  <c r="G130" i="39"/>
  <c r="H130" i="39"/>
  <c r="I130" i="39"/>
  <c r="C131" i="39"/>
  <c r="D131" i="39"/>
  <c r="E131" i="39"/>
  <c r="F131" i="39"/>
  <c r="G131" i="39"/>
  <c r="H131" i="39"/>
  <c r="I131" i="39"/>
  <c r="C132" i="39"/>
  <c r="D132" i="39"/>
  <c r="E132" i="39"/>
  <c r="F132" i="39"/>
  <c r="G132" i="39"/>
  <c r="H132" i="39"/>
  <c r="I132" i="39"/>
  <c r="C133" i="39"/>
  <c r="D133" i="39"/>
  <c r="E133" i="39"/>
  <c r="F133" i="39"/>
  <c r="G133" i="39"/>
  <c r="H133" i="39"/>
  <c r="I133" i="39"/>
  <c r="C134" i="39"/>
  <c r="D134" i="39"/>
  <c r="E134" i="39"/>
  <c r="F134" i="39"/>
  <c r="G134" i="39"/>
  <c r="H134" i="39"/>
  <c r="I134" i="39"/>
  <c r="C135" i="39"/>
  <c r="D135" i="39"/>
  <c r="E135" i="39"/>
  <c r="F135" i="39"/>
  <c r="G135" i="39"/>
  <c r="H135" i="39"/>
  <c r="I135" i="39"/>
  <c r="C136" i="39"/>
  <c r="D136" i="39"/>
  <c r="E136" i="39"/>
  <c r="F136" i="39"/>
  <c r="G136" i="39"/>
  <c r="H136" i="39"/>
  <c r="I136" i="39"/>
  <c r="C137" i="39"/>
  <c r="D137" i="39"/>
  <c r="E137" i="39"/>
  <c r="F137" i="39"/>
  <c r="G137" i="39"/>
  <c r="H137" i="39"/>
  <c r="I137" i="39"/>
  <c r="C138" i="39"/>
  <c r="D138" i="39"/>
  <c r="E138" i="39"/>
  <c r="F138" i="39"/>
  <c r="G138" i="39"/>
  <c r="H138" i="39"/>
  <c r="I138" i="39"/>
  <c r="C139" i="39"/>
  <c r="D139" i="39"/>
  <c r="E139" i="39"/>
  <c r="F139" i="39"/>
  <c r="G139" i="39"/>
  <c r="H139" i="39"/>
  <c r="I139" i="39"/>
  <c r="C140" i="39"/>
  <c r="D140" i="39"/>
  <c r="E140" i="39"/>
  <c r="F140" i="39"/>
  <c r="G140" i="39"/>
  <c r="H140" i="39"/>
  <c r="I140" i="39"/>
  <c r="C141" i="39"/>
  <c r="D141" i="39"/>
  <c r="E141" i="39"/>
  <c r="F141" i="39"/>
  <c r="G141" i="39"/>
  <c r="H141" i="39"/>
  <c r="I141" i="39"/>
  <c r="C142" i="39"/>
  <c r="D142" i="39"/>
  <c r="E142" i="39"/>
  <c r="F142" i="39"/>
  <c r="G142" i="39"/>
  <c r="H142" i="39"/>
  <c r="I142" i="39"/>
  <c r="C143" i="39"/>
  <c r="D143" i="39"/>
  <c r="E143" i="39"/>
  <c r="F143" i="39"/>
  <c r="G143" i="39"/>
  <c r="H143" i="39"/>
  <c r="I143" i="39"/>
  <c r="C144" i="39"/>
  <c r="D144" i="39"/>
  <c r="E144" i="39"/>
  <c r="F144" i="39"/>
  <c r="G144" i="39"/>
  <c r="H144" i="39"/>
  <c r="I144" i="39"/>
  <c r="C145" i="39"/>
  <c r="D145" i="39"/>
  <c r="E145" i="39"/>
  <c r="F145" i="39"/>
  <c r="G145" i="39"/>
  <c r="H145" i="39"/>
  <c r="I145" i="39"/>
  <c r="C146" i="39"/>
  <c r="D146" i="39"/>
  <c r="E146" i="39"/>
  <c r="F146" i="39"/>
  <c r="G146" i="39"/>
  <c r="H146" i="39"/>
  <c r="I146" i="39"/>
  <c r="C147" i="39"/>
  <c r="D147" i="39"/>
  <c r="E147" i="39"/>
  <c r="F147" i="39"/>
  <c r="G147" i="39"/>
  <c r="H147" i="39"/>
  <c r="I147" i="39"/>
  <c r="C148" i="39"/>
  <c r="D148" i="39"/>
  <c r="E148" i="39"/>
  <c r="F148" i="39"/>
  <c r="G148" i="39"/>
  <c r="H148" i="39"/>
  <c r="I148" i="39"/>
  <c r="C149" i="39"/>
  <c r="D149" i="39"/>
  <c r="E149" i="39"/>
  <c r="F149" i="39"/>
  <c r="G149" i="39"/>
  <c r="H149" i="39"/>
  <c r="I149" i="39"/>
  <c r="C150" i="39"/>
  <c r="D150" i="39"/>
  <c r="E150" i="39"/>
  <c r="F150" i="39"/>
  <c r="G150" i="39"/>
  <c r="H150" i="39"/>
  <c r="I150" i="39"/>
  <c r="C151" i="39"/>
  <c r="D151" i="39"/>
  <c r="E151" i="39"/>
  <c r="F151" i="39"/>
  <c r="G151" i="39"/>
  <c r="H151" i="39"/>
  <c r="I151" i="39"/>
  <c r="C152" i="39"/>
  <c r="D152" i="39"/>
  <c r="E152" i="39"/>
  <c r="F152" i="39"/>
  <c r="G152" i="39"/>
  <c r="H152" i="39"/>
  <c r="I152" i="39"/>
  <c r="C153" i="39"/>
  <c r="D153" i="39"/>
  <c r="E153" i="39"/>
  <c r="F153" i="39"/>
  <c r="G153" i="39"/>
  <c r="H153" i="39"/>
  <c r="I153" i="39"/>
  <c r="C154" i="39"/>
  <c r="D154" i="39"/>
  <c r="E154" i="39"/>
  <c r="F154" i="39"/>
  <c r="G154" i="39"/>
  <c r="H154" i="39"/>
  <c r="I154" i="39"/>
  <c r="C155" i="39"/>
  <c r="D155" i="39"/>
  <c r="E155" i="39"/>
  <c r="F155" i="39"/>
  <c r="G155" i="39"/>
  <c r="H155" i="39"/>
  <c r="I155" i="39"/>
  <c r="C156" i="39"/>
  <c r="D156" i="39"/>
  <c r="E156" i="39"/>
  <c r="F156" i="39"/>
  <c r="G156" i="39"/>
  <c r="H156" i="39"/>
  <c r="I156" i="39"/>
  <c r="C157" i="39"/>
  <c r="D157" i="39"/>
  <c r="E157" i="39"/>
  <c r="F157" i="39"/>
  <c r="G157" i="39"/>
  <c r="H157" i="39"/>
  <c r="I157" i="39"/>
  <c r="C158" i="39"/>
  <c r="D158" i="39"/>
  <c r="E158" i="39"/>
  <c r="F158" i="39"/>
  <c r="G158" i="39"/>
  <c r="H158" i="39"/>
  <c r="I158" i="39"/>
  <c r="C159" i="39"/>
  <c r="D159" i="39"/>
  <c r="E159" i="39"/>
  <c r="F159" i="39"/>
  <c r="G159" i="39"/>
  <c r="H159" i="39"/>
  <c r="I159" i="39"/>
  <c r="C160" i="39"/>
  <c r="D160" i="39"/>
  <c r="E160" i="39"/>
  <c r="F160" i="39"/>
  <c r="G160" i="39"/>
  <c r="H160" i="39"/>
  <c r="I160" i="39"/>
  <c r="C161" i="39"/>
  <c r="D161" i="39"/>
  <c r="E161" i="39"/>
  <c r="F161" i="39"/>
  <c r="G161" i="39"/>
  <c r="H161" i="39"/>
  <c r="I161" i="39"/>
  <c r="C162" i="39"/>
  <c r="D162" i="39"/>
  <c r="E162" i="39"/>
  <c r="F162" i="39"/>
  <c r="G162" i="39"/>
  <c r="H162" i="39"/>
  <c r="I162" i="39"/>
  <c r="C163" i="39"/>
  <c r="D163" i="39"/>
  <c r="E163" i="39"/>
  <c r="F163" i="39"/>
  <c r="G163" i="39"/>
  <c r="H163" i="39"/>
  <c r="I163" i="39"/>
  <c r="C164" i="39"/>
  <c r="D164" i="39"/>
  <c r="E164" i="39"/>
  <c r="F164" i="39"/>
  <c r="G164" i="39"/>
  <c r="H164" i="39"/>
  <c r="I164" i="39"/>
  <c r="C165" i="39"/>
  <c r="D165" i="39"/>
  <c r="E165" i="39"/>
  <c r="F165" i="39"/>
  <c r="G165" i="39"/>
  <c r="H165" i="39"/>
  <c r="I165" i="39"/>
  <c r="C166" i="39"/>
  <c r="D166" i="39"/>
  <c r="E166" i="39"/>
  <c r="F166" i="39"/>
  <c r="G166" i="39"/>
  <c r="H166" i="39"/>
  <c r="I166" i="39"/>
  <c r="C167" i="39"/>
  <c r="D167" i="39"/>
  <c r="E167" i="39"/>
  <c r="F167" i="39"/>
  <c r="G167" i="39"/>
  <c r="H167" i="39"/>
  <c r="I167" i="39"/>
  <c r="C168" i="39"/>
  <c r="D168" i="39"/>
  <c r="E168" i="39"/>
  <c r="F168" i="39"/>
  <c r="G168" i="39"/>
  <c r="H168" i="39"/>
  <c r="I168" i="39"/>
  <c r="C169" i="39"/>
  <c r="D169" i="39"/>
  <c r="E169" i="39"/>
  <c r="F169" i="39"/>
  <c r="G169" i="39"/>
  <c r="H169" i="39"/>
  <c r="I169" i="39"/>
  <c r="C170" i="39"/>
  <c r="D170" i="39"/>
  <c r="E170" i="39"/>
  <c r="F170" i="39"/>
  <c r="G170" i="39"/>
  <c r="H170" i="39"/>
  <c r="I170" i="39"/>
  <c r="C171" i="39"/>
  <c r="D171" i="39"/>
  <c r="E171" i="39"/>
  <c r="F171" i="39"/>
  <c r="G171" i="39"/>
  <c r="H171" i="39"/>
  <c r="I171" i="39"/>
  <c r="C172" i="39"/>
  <c r="D172" i="39"/>
  <c r="E172" i="39"/>
  <c r="F172" i="39"/>
  <c r="G172" i="39"/>
  <c r="H172" i="39"/>
  <c r="I172" i="39"/>
  <c r="C173" i="39"/>
  <c r="D173" i="39"/>
  <c r="E173" i="39"/>
  <c r="F173" i="39"/>
  <c r="G173" i="39"/>
  <c r="H173" i="39"/>
  <c r="I173" i="39"/>
  <c r="C174" i="39"/>
  <c r="D174" i="39"/>
  <c r="E174" i="39"/>
  <c r="F174" i="39"/>
  <c r="G174" i="39"/>
  <c r="H174" i="39"/>
  <c r="I174" i="39"/>
  <c r="C175" i="39"/>
  <c r="D175" i="39"/>
  <c r="E175" i="39"/>
  <c r="F175" i="39"/>
  <c r="G175" i="39"/>
  <c r="H175" i="39"/>
  <c r="I175" i="39"/>
  <c r="C176" i="39"/>
  <c r="D176" i="39"/>
  <c r="E176" i="39"/>
  <c r="F176" i="39"/>
  <c r="G176" i="39"/>
  <c r="H176" i="39"/>
  <c r="I176" i="39"/>
  <c r="C177" i="39"/>
  <c r="D177" i="39"/>
  <c r="E177" i="39"/>
  <c r="F177" i="39"/>
  <c r="G177" i="39"/>
  <c r="H177" i="39"/>
  <c r="I177" i="39"/>
  <c r="C178" i="39"/>
  <c r="D178" i="39"/>
  <c r="E178" i="39"/>
  <c r="F178" i="39"/>
  <c r="G178" i="39"/>
  <c r="H178" i="39"/>
  <c r="I178" i="39"/>
  <c r="C179" i="39"/>
  <c r="D179" i="39"/>
  <c r="E179" i="39"/>
  <c r="F179" i="39"/>
  <c r="G179" i="39"/>
  <c r="H179" i="39"/>
  <c r="I179" i="39"/>
  <c r="C180" i="39"/>
  <c r="D180" i="39"/>
  <c r="E180" i="39"/>
  <c r="F180" i="39"/>
  <c r="G180" i="39"/>
  <c r="H180" i="39"/>
  <c r="I180" i="39"/>
  <c r="C181" i="39"/>
  <c r="D181" i="39"/>
  <c r="E181" i="39"/>
  <c r="F181" i="39"/>
  <c r="G181" i="39"/>
  <c r="H181" i="39"/>
  <c r="I181" i="39"/>
  <c r="C182" i="39"/>
  <c r="D182" i="39"/>
  <c r="E182" i="39"/>
  <c r="F182" i="39"/>
  <c r="G182" i="39"/>
  <c r="H182" i="39"/>
  <c r="I182" i="39"/>
  <c r="C183" i="39"/>
  <c r="D183" i="39"/>
  <c r="E183" i="39"/>
  <c r="F183" i="39"/>
  <c r="G183" i="39"/>
  <c r="H183" i="39"/>
  <c r="I183" i="39"/>
  <c r="C184" i="39"/>
  <c r="D184" i="39"/>
  <c r="E184" i="39"/>
  <c r="F184" i="39"/>
  <c r="G184" i="39"/>
  <c r="H184" i="39"/>
  <c r="I184" i="39"/>
  <c r="C185" i="39"/>
  <c r="D185" i="39"/>
  <c r="E185" i="39"/>
  <c r="F185" i="39"/>
  <c r="G185" i="39"/>
  <c r="H185" i="39"/>
  <c r="I185" i="39"/>
  <c r="C186" i="39"/>
  <c r="D186" i="39"/>
  <c r="E186" i="39"/>
  <c r="F186" i="39"/>
  <c r="G186" i="39"/>
  <c r="H186" i="39"/>
  <c r="I186" i="39"/>
  <c r="C187" i="39"/>
  <c r="D187" i="39"/>
  <c r="E187" i="39"/>
  <c r="F187" i="39"/>
  <c r="G187" i="39"/>
  <c r="H187" i="39"/>
  <c r="I187" i="39"/>
  <c r="C188" i="39"/>
  <c r="D188" i="39"/>
  <c r="E188" i="39"/>
  <c r="F188" i="39"/>
  <c r="G188" i="39"/>
  <c r="H188" i="39"/>
  <c r="I188" i="39"/>
  <c r="C189" i="39"/>
  <c r="D189" i="39"/>
  <c r="E189" i="39"/>
  <c r="F189" i="39"/>
  <c r="G189" i="39"/>
  <c r="H189" i="39"/>
  <c r="I189" i="39"/>
  <c r="C190" i="39"/>
  <c r="D190" i="39"/>
  <c r="E190" i="39"/>
  <c r="F190" i="39"/>
  <c r="G190" i="39"/>
  <c r="H190" i="39"/>
  <c r="I190" i="39"/>
  <c r="C191" i="39"/>
  <c r="D191" i="39"/>
  <c r="E191" i="39"/>
  <c r="F191" i="39"/>
  <c r="G191" i="39"/>
  <c r="H191" i="39"/>
  <c r="I191" i="39"/>
  <c r="C192" i="39"/>
  <c r="D192" i="39"/>
  <c r="E192" i="39"/>
  <c r="F192" i="39"/>
  <c r="G192" i="39"/>
  <c r="H192" i="39"/>
  <c r="I192" i="39"/>
  <c r="C193" i="39"/>
  <c r="D193" i="39"/>
  <c r="E193" i="39"/>
  <c r="F193" i="39"/>
  <c r="G193" i="39"/>
  <c r="H193" i="39"/>
  <c r="I193" i="39"/>
  <c r="C194" i="39"/>
  <c r="D194" i="39"/>
  <c r="E194" i="39"/>
  <c r="F194" i="39"/>
  <c r="G194" i="39"/>
  <c r="H194" i="39"/>
  <c r="I194" i="39"/>
  <c r="C195" i="39"/>
  <c r="D195" i="39"/>
  <c r="E195" i="39"/>
  <c r="F195" i="39"/>
  <c r="G195" i="39"/>
  <c r="H195" i="39"/>
  <c r="I195" i="39"/>
  <c r="C196" i="39"/>
  <c r="D196" i="39"/>
  <c r="E196" i="39"/>
  <c r="F196" i="39"/>
  <c r="G196" i="39"/>
  <c r="H196" i="39"/>
  <c r="I196" i="39"/>
  <c r="C197" i="39"/>
  <c r="D197" i="39"/>
  <c r="E197" i="39"/>
  <c r="F197" i="39"/>
  <c r="G197" i="39"/>
  <c r="H197" i="39"/>
  <c r="I197" i="39"/>
  <c r="C198" i="39"/>
  <c r="D198" i="39"/>
  <c r="E198" i="39"/>
  <c r="F198" i="39"/>
  <c r="G198" i="39"/>
  <c r="H198" i="39"/>
  <c r="I198" i="39"/>
  <c r="C199" i="39"/>
  <c r="D199" i="39"/>
  <c r="E199" i="39"/>
  <c r="F199" i="39"/>
  <c r="G199" i="39"/>
  <c r="H199" i="39"/>
  <c r="I199" i="39"/>
  <c r="C200" i="39"/>
  <c r="D200" i="39"/>
  <c r="E200" i="39"/>
  <c r="F200" i="39"/>
  <c r="G200" i="39"/>
  <c r="H200" i="39"/>
  <c r="I200" i="39"/>
  <c r="C201" i="39"/>
  <c r="D201" i="39"/>
  <c r="E201" i="39"/>
  <c r="F201" i="39"/>
  <c r="G201" i="39"/>
  <c r="H201" i="39"/>
  <c r="I201" i="39"/>
  <c r="C202" i="39"/>
  <c r="D202" i="39"/>
  <c r="E202" i="39"/>
  <c r="F202" i="39"/>
  <c r="G202" i="39"/>
  <c r="H202" i="39"/>
  <c r="I202" i="39"/>
  <c r="C203" i="39"/>
  <c r="D203" i="39"/>
  <c r="E203" i="39"/>
  <c r="F203" i="39"/>
  <c r="G203" i="39"/>
  <c r="H203" i="39"/>
  <c r="I203" i="39"/>
  <c r="C204" i="39"/>
  <c r="D204" i="39"/>
  <c r="E204" i="39"/>
  <c r="F204" i="39"/>
  <c r="G204" i="39"/>
  <c r="H204" i="39"/>
  <c r="I204" i="39"/>
  <c r="C205" i="39"/>
  <c r="D205" i="39"/>
  <c r="E205" i="39"/>
  <c r="F205" i="39"/>
  <c r="G205" i="39"/>
  <c r="H205" i="39"/>
  <c r="I205" i="39"/>
  <c r="C206" i="39"/>
  <c r="D206" i="39"/>
  <c r="E206" i="39"/>
  <c r="F206" i="39"/>
  <c r="G206" i="39"/>
  <c r="H206" i="39"/>
  <c r="I206" i="39"/>
  <c r="C207" i="39"/>
  <c r="D207" i="39"/>
  <c r="E207" i="39"/>
  <c r="F207" i="39"/>
  <c r="G207" i="39"/>
  <c r="H207" i="39"/>
  <c r="I207" i="39"/>
  <c r="C208" i="39"/>
  <c r="D208" i="39"/>
  <c r="E208" i="39"/>
  <c r="F208" i="39"/>
  <c r="G208" i="39"/>
  <c r="H208" i="39"/>
  <c r="I208" i="39"/>
  <c r="C209" i="39"/>
  <c r="D209" i="39"/>
  <c r="E209" i="39"/>
  <c r="F209" i="39"/>
  <c r="G209" i="39"/>
  <c r="H209" i="39"/>
  <c r="I209" i="39"/>
  <c r="C210" i="39"/>
  <c r="D210" i="39"/>
  <c r="E210" i="39"/>
  <c r="F210" i="39"/>
  <c r="G210" i="39"/>
  <c r="H210" i="39"/>
  <c r="I210" i="39"/>
  <c r="C211" i="39"/>
  <c r="D211" i="39"/>
  <c r="E211" i="39"/>
  <c r="F211" i="39"/>
  <c r="G211" i="39"/>
  <c r="H211" i="39"/>
  <c r="I211" i="39"/>
  <c r="C212" i="39"/>
  <c r="D212" i="39"/>
  <c r="E212" i="39"/>
  <c r="F212" i="39"/>
  <c r="G212" i="39"/>
  <c r="H212" i="39"/>
  <c r="I212" i="39"/>
  <c r="C213" i="39"/>
  <c r="D213" i="39"/>
  <c r="E213" i="39"/>
  <c r="F213" i="39"/>
  <c r="G213" i="39"/>
  <c r="H213" i="39"/>
  <c r="I213" i="39"/>
  <c r="C214" i="39"/>
  <c r="D214" i="39"/>
  <c r="E214" i="39"/>
  <c r="F214" i="39"/>
  <c r="G214" i="39"/>
  <c r="H214" i="39"/>
  <c r="I214" i="39"/>
  <c r="C215" i="39"/>
  <c r="D215" i="39"/>
  <c r="E215" i="39"/>
  <c r="F215" i="39"/>
  <c r="G215" i="39"/>
  <c r="H215" i="39"/>
  <c r="I215" i="39"/>
  <c r="C216" i="39"/>
  <c r="D216" i="39"/>
  <c r="E216" i="39"/>
  <c r="F216" i="39"/>
  <c r="G216" i="39"/>
  <c r="H216" i="39"/>
  <c r="I216" i="39"/>
  <c r="C217" i="39"/>
  <c r="D217" i="39"/>
  <c r="E217" i="39"/>
  <c r="F217" i="39"/>
  <c r="G217" i="39"/>
  <c r="H217" i="39"/>
  <c r="I217" i="39"/>
  <c r="C218" i="39"/>
  <c r="D218" i="39"/>
  <c r="E218" i="39"/>
  <c r="F218" i="39"/>
  <c r="G218" i="39"/>
  <c r="H218" i="39"/>
  <c r="I218" i="39"/>
  <c r="C219" i="39"/>
  <c r="D219" i="39"/>
  <c r="E219" i="39"/>
  <c r="F219" i="39"/>
  <c r="G219" i="39"/>
  <c r="H219" i="39"/>
  <c r="I219" i="39"/>
  <c r="C220" i="39"/>
  <c r="D220" i="39"/>
  <c r="E220" i="39"/>
  <c r="F220" i="39"/>
  <c r="G220" i="39"/>
  <c r="H220" i="39"/>
  <c r="I220" i="39"/>
  <c r="C221" i="39"/>
  <c r="D221" i="39"/>
  <c r="E221" i="39"/>
  <c r="F221" i="39"/>
  <c r="G221" i="39"/>
  <c r="H221" i="39"/>
  <c r="I221" i="39"/>
  <c r="C222" i="39"/>
  <c r="D222" i="39"/>
  <c r="E222" i="39"/>
  <c r="F222" i="39"/>
  <c r="G222" i="39"/>
  <c r="H222" i="39"/>
  <c r="I222" i="39"/>
  <c r="C223" i="39"/>
  <c r="D223" i="39"/>
  <c r="E223" i="39"/>
  <c r="F223" i="39"/>
  <c r="G223" i="39"/>
  <c r="H223" i="39"/>
  <c r="I223" i="39"/>
  <c r="C224" i="39"/>
  <c r="D224" i="39"/>
  <c r="E224" i="39"/>
  <c r="F224" i="39"/>
  <c r="G224" i="39"/>
  <c r="H224" i="39"/>
  <c r="I224" i="39"/>
  <c r="C225" i="39"/>
  <c r="D225" i="39"/>
  <c r="E225" i="39"/>
  <c r="F225" i="39"/>
  <c r="G225" i="39"/>
  <c r="H225" i="39"/>
  <c r="I225" i="39"/>
  <c r="C226" i="39"/>
  <c r="D226" i="39"/>
  <c r="E226" i="39"/>
  <c r="F226" i="39"/>
  <c r="G226" i="39"/>
  <c r="H226" i="39"/>
  <c r="I226" i="39"/>
  <c r="C227" i="39"/>
  <c r="D227" i="39"/>
  <c r="E227" i="39"/>
  <c r="F227" i="39"/>
  <c r="G227" i="39"/>
  <c r="H227" i="39"/>
  <c r="I227" i="39"/>
  <c r="C228" i="39"/>
  <c r="D228" i="39"/>
  <c r="E228" i="39"/>
  <c r="F228" i="39"/>
  <c r="G228" i="39"/>
  <c r="H228" i="39"/>
  <c r="I228" i="39"/>
  <c r="C229" i="39"/>
  <c r="D229" i="39"/>
  <c r="E229" i="39"/>
  <c r="F229" i="39"/>
  <c r="G229" i="39"/>
  <c r="H229" i="39"/>
  <c r="I229" i="39"/>
  <c r="C230" i="39"/>
  <c r="D230" i="39"/>
  <c r="E230" i="39"/>
  <c r="F230" i="39"/>
  <c r="G230" i="39"/>
  <c r="H230" i="39"/>
  <c r="I230" i="39"/>
  <c r="C231" i="39"/>
  <c r="D231" i="39"/>
  <c r="E231" i="39"/>
  <c r="F231" i="39"/>
  <c r="G231" i="39"/>
  <c r="H231" i="39"/>
  <c r="I231" i="39"/>
  <c r="C232" i="39"/>
  <c r="D232" i="39"/>
  <c r="E232" i="39"/>
  <c r="F232" i="39"/>
  <c r="G232" i="39"/>
  <c r="H232" i="39"/>
  <c r="I232" i="39"/>
  <c r="C233" i="39"/>
  <c r="D233" i="39"/>
  <c r="E233" i="39"/>
  <c r="F233" i="39"/>
  <c r="G233" i="39"/>
  <c r="H233" i="39"/>
  <c r="I233" i="39"/>
  <c r="C234" i="39"/>
  <c r="D234" i="39"/>
  <c r="E234" i="39"/>
  <c r="F234" i="39"/>
  <c r="G234" i="39"/>
  <c r="H234" i="39"/>
  <c r="I234" i="39"/>
  <c r="C235" i="39"/>
  <c r="D235" i="39"/>
  <c r="E235" i="39"/>
  <c r="F235" i="39"/>
  <c r="G235" i="39"/>
  <c r="H235" i="39"/>
  <c r="I235" i="39"/>
  <c r="C236" i="39"/>
  <c r="D236" i="39"/>
  <c r="E236" i="39"/>
  <c r="F236" i="39"/>
  <c r="G236" i="39"/>
  <c r="H236" i="39"/>
  <c r="I236" i="39"/>
  <c r="C237" i="39"/>
  <c r="D237" i="39"/>
  <c r="E237" i="39"/>
  <c r="F237" i="39"/>
  <c r="G237" i="39"/>
  <c r="H237" i="39"/>
  <c r="I237" i="39"/>
  <c r="C238" i="39"/>
  <c r="D238" i="39"/>
  <c r="E238" i="39"/>
  <c r="F238" i="39"/>
  <c r="G238" i="39"/>
  <c r="H238" i="39"/>
  <c r="I238" i="39"/>
  <c r="C239" i="39"/>
  <c r="D239" i="39"/>
  <c r="E239" i="39"/>
  <c r="F239" i="39"/>
  <c r="G239" i="39"/>
  <c r="H239" i="39"/>
  <c r="I239" i="39"/>
  <c r="C240" i="39"/>
  <c r="D240" i="39"/>
  <c r="E240" i="39"/>
  <c r="F240" i="39"/>
  <c r="G240" i="39"/>
  <c r="H240" i="39"/>
  <c r="I240" i="39"/>
  <c r="C241" i="39"/>
  <c r="D241" i="39"/>
  <c r="E241" i="39"/>
  <c r="F241" i="39"/>
  <c r="G241" i="39"/>
  <c r="H241" i="39"/>
  <c r="I241" i="39"/>
  <c r="C242" i="39"/>
  <c r="D242" i="39"/>
  <c r="E242" i="39"/>
  <c r="F242" i="39"/>
  <c r="G242" i="39"/>
  <c r="H242" i="39"/>
  <c r="I242" i="39"/>
  <c r="C243" i="39"/>
  <c r="D243" i="39"/>
  <c r="E243" i="39"/>
  <c r="F243" i="39"/>
  <c r="G243" i="39"/>
  <c r="H243" i="39"/>
  <c r="I243" i="39"/>
  <c r="C244" i="39"/>
  <c r="D244" i="39"/>
  <c r="E244" i="39"/>
  <c r="F244" i="39"/>
  <c r="G244" i="39"/>
  <c r="H244" i="39"/>
  <c r="I244" i="39"/>
  <c r="C245" i="39"/>
  <c r="D245" i="39"/>
  <c r="E245" i="39"/>
  <c r="F245" i="39"/>
  <c r="G245" i="39"/>
  <c r="H245" i="39"/>
  <c r="I245" i="39"/>
  <c r="C246" i="39"/>
  <c r="D246" i="39"/>
  <c r="E246" i="39"/>
  <c r="F246" i="39"/>
  <c r="G246" i="39"/>
  <c r="H246" i="39"/>
  <c r="I246" i="39"/>
  <c r="C247" i="39"/>
  <c r="D247" i="39"/>
  <c r="E247" i="39"/>
  <c r="F247" i="39"/>
  <c r="G247" i="39"/>
  <c r="H247" i="39"/>
  <c r="I247" i="39"/>
  <c r="C248" i="39"/>
  <c r="D248" i="39"/>
  <c r="E248" i="39"/>
  <c r="F248" i="39"/>
  <c r="G248" i="39"/>
  <c r="H248" i="39"/>
  <c r="I248" i="39"/>
  <c r="C249" i="39"/>
  <c r="D249" i="39"/>
  <c r="E249" i="39"/>
  <c r="F249" i="39"/>
  <c r="G249" i="39"/>
  <c r="H249" i="39"/>
  <c r="I249" i="39"/>
  <c r="C250" i="39"/>
  <c r="D250" i="39"/>
  <c r="E250" i="39"/>
  <c r="F250" i="39"/>
  <c r="G250" i="39"/>
  <c r="H250" i="39"/>
  <c r="I250" i="39"/>
  <c r="C251" i="39"/>
  <c r="D251" i="39"/>
  <c r="E251" i="39"/>
  <c r="F251" i="39"/>
  <c r="G251" i="39"/>
  <c r="H251" i="39"/>
  <c r="I251" i="39"/>
  <c r="C252" i="39"/>
  <c r="D252" i="39"/>
  <c r="E252" i="39"/>
  <c r="F252" i="39"/>
  <c r="G252" i="39"/>
  <c r="H252" i="39"/>
  <c r="I252" i="39"/>
  <c r="C253" i="39"/>
  <c r="D253" i="39"/>
  <c r="E253" i="39"/>
  <c r="F253" i="39"/>
  <c r="G253" i="39"/>
  <c r="H253" i="39"/>
  <c r="I253" i="39"/>
  <c r="C254" i="39"/>
  <c r="D254" i="39"/>
  <c r="E254" i="39"/>
  <c r="F254" i="39"/>
  <c r="G254" i="39"/>
  <c r="H254" i="39"/>
  <c r="I254" i="39"/>
  <c r="C255" i="39"/>
  <c r="D255" i="39"/>
  <c r="E255" i="39"/>
  <c r="F255" i="39"/>
  <c r="G255" i="39"/>
  <c r="H255" i="39"/>
  <c r="I255" i="39"/>
  <c r="C256" i="39"/>
  <c r="D256" i="39"/>
  <c r="E256" i="39"/>
  <c r="F256" i="39"/>
  <c r="G256" i="39"/>
  <c r="H256" i="39"/>
  <c r="I256" i="39"/>
  <c r="C257" i="39"/>
  <c r="D257" i="39"/>
  <c r="E257" i="39"/>
  <c r="F257" i="39"/>
  <c r="G257" i="39"/>
  <c r="H257" i="39"/>
  <c r="I257" i="39"/>
  <c r="C258" i="39"/>
  <c r="D258" i="39"/>
  <c r="E258" i="39"/>
  <c r="F258" i="39"/>
  <c r="G258" i="39"/>
  <c r="H258" i="39"/>
  <c r="I258" i="39"/>
  <c r="C259" i="39"/>
  <c r="D259" i="39"/>
  <c r="E259" i="39"/>
  <c r="F259" i="39"/>
  <c r="G259" i="39"/>
  <c r="H259" i="39"/>
  <c r="I259" i="39"/>
  <c r="C260" i="39"/>
  <c r="D260" i="39"/>
  <c r="E260" i="39"/>
  <c r="F260" i="39"/>
  <c r="G260" i="39"/>
  <c r="H260" i="39"/>
  <c r="I260" i="39"/>
  <c r="I2" i="39"/>
  <c r="H2" i="39"/>
  <c r="G2" i="39"/>
  <c r="F2" i="39"/>
  <c r="E2" i="39"/>
  <c r="D2" i="39"/>
  <c r="C2" i="39"/>
  <c r="K100" i="38"/>
  <c r="K99" i="38"/>
  <c r="K98" i="38"/>
  <c r="K97" i="38"/>
  <c r="K96" i="38"/>
  <c r="K95" i="38"/>
  <c r="K94" i="38"/>
  <c r="K93" i="38"/>
  <c r="K92" i="38"/>
  <c r="K91" i="38"/>
  <c r="K90" i="38"/>
  <c r="K89" i="38"/>
  <c r="K88" i="38"/>
  <c r="K87" i="38"/>
  <c r="K86" i="38"/>
  <c r="K85" i="38"/>
  <c r="K84" i="38"/>
  <c r="K83" i="38"/>
  <c r="K82" i="38"/>
  <c r="K81" i="38"/>
  <c r="K80" i="38"/>
  <c r="K79" i="38"/>
  <c r="K78" i="38"/>
  <c r="K77" i="38"/>
  <c r="K76" i="38"/>
  <c r="K75" i="38"/>
  <c r="K74" i="38"/>
  <c r="K73" i="38"/>
  <c r="K72" i="38"/>
  <c r="K71" i="38"/>
  <c r="K70" i="38"/>
  <c r="K69" i="38"/>
  <c r="K68" i="38"/>
  <c r="K67" i="38"/>
  <c r="K66" i="38"/>
  <c r="K65" i="38"/>
  <c r="K64" i="38"/>
  <c r="K63" i="38"/>
  <c r="K62" i="38"/>
  <c r="K61" i="38"/>
  <c r="K60" i="38"/>
  <c r="K59" i="38"/>
  <c r="K58" i="38"/>
  <c r="K57" i="38"/>
  <c r="K56" i="38"/>
  <c r="K55" i="38"/>
  <c r="K54" i="38"/>
  <c r="K53" i="38"/>
  <c r="K52" i="38"/>
  <c r="K51" i="38"/>
  <c r="K50" i="38"/>
  <c r="K49" i="38"/>
  <c r="K48" i="38"/>
  <c r="K47" i="38"/>
  <c r="K46" i="38"/>
  <c r="K45" i="38"/>
  <c r="K44" i="38"/>
  <c r="K43" i="38"/>
  <c r="K42" i="38"/>
  <c r="K41" i="38"/>
  <c r="K40" i="38"/>
  <c r="K39" i="38"/>
  <c r="K38" i="38"/>
  <c r="K37" i="38"/>
  <c r="K36" i="38"/>
  <c r="K35" i="38"/>
  <c r="K34" i="38"/>
  <c r="K33" i="38"/>
  <c r="K32" i="38"/>
  <c r="K31" i="38"/>
  <c r="K30" i="38"/>
  <c r="K29" i="38"/>
  <c r="K28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D4" i="38"/>
  <c r="D3" i="38"/>
  <c r="D2" i="38"/>
  <c r="M59" i="50" l="1"/>
  <c r="M36" i="50"/>
  <c r="M150" i="50"/>
  <c r="M128" i="50"/>
  <c r="M117" i="50"/>
  <c r="M105" i="50"/>
  <c r="M94" i="50"/>
  <c r="M81" i="50"/>
  <c r="M70" i="50"/>
  <c r="M58" i="50"/>
  <c r="M46" i="50"/>
  <c r="M35" i="50"/>
  <c r="M126" i="50"/>
  <c r="M163" i="50"/>
  <c r="M143" i="50"/>
  <c r="M127" i="50"/>
  <c r="M156" i="50"/>
  <c r="M80" i="50"/>
  <c r="M149" i="50"/>
  <c r="M83" i="50"/>
  <c r="M142" i="50"/>
  <c r="M91" i="50"/>
  <c r="M113" i="50"/>
  <c r="M90" i="50"/>
  <c r="M42" i="50"/>
  <c r="M82" i="50"/>
  <c r="M162" i="50"/>
  <c r="M115" i="50"/>
  <c r="M121" i="50"/>
  <c r="M101" i="50"/>
  <c r="M92" i="50"/>
  <c r="M104" i="50"/>
  <c r="M79" i="50"/>
  <c r="M99" i="50"/>
  <c r="M69" i="50"/>
  <c r="M124" i="50"/>
  <c r="M184" i="50"/>
  <c r="M160" i="50"/>
  <c r="M119" i="50"/>
  <c r="M57" i="50"/>
  <c r="M103" i="50"/>
  <c r="M56" i="50"/>
  <c r="M154" i="50"/>
  <c r="M65" i="50"/>
  <c r="M84" i="50"/>
  <c r="M153" i="50"/>
  <c r="M147" i="50"/>
  <c r="M140" i="50"/>
  <c r="M189" i="50"/>
  <c r="M190" i="50"/>
  <c r="M193" i="50"/>
  <c r="M135" i="50"/>
  <c r="M89" i="50"/>
  <c r="M54" i="50"/>
  <c r="M31" i="50"/>
  <c r="M112" i="50"/>
  <c r="M93" i="50"/>
  <c r="M171" i="50"/>
  <c r="M191" i="50"/>
  <c r="M78" i="50"/>
  <c r="M64" i="50"/>
  <c r="M166" i="50"/>
  <c r="M66" i="50"/>
  <c r="M167" i="50"/>
  <c r="M146" i="50"/>
  <c r="M188" i="50"/>
  <c r="M148" i="50"/>
  <c r="M125" i="50"/>
  <c r="M133" i="50"/>
  <c r="M110" i="50"/>
  <c r="M98" i="50"/>
  <c r="M74" i="50"/>
  <c r="M51" i="50"/>
  <c r="M172" i="50"/>
  <c r="M192" i="50"/>
  <c r="M114" i="50"/>
  <c r="M33" i="50"/>
  <c r="M155" i="50"/>
  <c r="M185" i="50"/>
  <c r="M44" i="50"/>
  <c r="M116" i="50"/>
  <c r="M159" i="50"/>
  <c r="M152" i="50"/>
  <c r="M141" i="50"/>
  <c r="M181" i="50"/>
  <c r="M55" i="50"/>
  <c r="M88" i="50"/>
  <c r="M45" i="50"/>
  <c r="M39" i="50"/>
  <c r="M132" i="50"/>
  <c r="M120" i="50"/>
  <c r="M109" i="50"/>
  <c r="M97" i="50"/>
  <c r="M86" i="50"/>
  <c r="M73" i="50"/>
  <c r="M61" i="50"/>
  <c r="M50" i="50"/>
  <c r="M40" i="50"/>
  <c r="M47" i="50"/>
  <c r="M100" i="50"/>
  <c r="M165" i="50"/>
  <c r="M145" i="50"/>
  <c r="M186" i="50"/>
  <c r="M168" i="50"/>
  <c r="M34" i="50"/>
  <c r="M75" i="50"/>
  <c r="M102" i="50"/>
  <c r="M138" i="50"/>
  <c r="M173" i="50"/>
  <c r="M194" i="50"/>
  <c r="M68" i="50"/>
  <c r="M169" i="50"/>
  <c r="M170" i="50"/>
  <c r="M111" i="50"/>
  <c r="M178" i="50"/>
  <c r="M87" i="50"/>
  <c r="M158" i="50"/>
  <c r="M131" i="50"/>
  <c r="M107" i="50"/>
  <c r="M96" i="50"/>
  <c r="M85" i="50"/>
  <c r="M72" i="50"/>
  <c r="M62" i="50"/>
  <c r="M49" i="50"/>
  <c r="M37" i="50"/>
  <c r="M151" i="50"/>
  <c r="M182" i="50"/>
  <c r="M129" i="50"/>
  <c r="M63" i="50"/>
  <c r="M53" i="50"/>
  <c r="M164" i="50"/>
  <c r="M144" i="50"/>
  <c r="M176" i="50"/>
  <c r="M183" i="50"/>
  <c r="M187" i="50"/>
  <c r="M60" i="50"/>
  <c r="M180" i="50"/>
  <c r="M175" i="50"/>
  <c r="M32" i="50"/>
  <c r="M134" i="50"/>
  <c r="M52" i="50"/>
  <c r="M43" i="50"/>
  <c r="M76" i="50"/>
  <c r="M130" i="50"/>
  <c r="M118" i="50"/>
  <c r="M106" i="50"/>
  <c r="M95" i="50"/>
  <c r="M71" i="50"/>
  <c r="M48" i="50"/>
  <c r="M108" i="50"/>
  <c r="M157" i="50"/>
  <c r="M137" i="50"/>
  <c r="M174" i="50"/>
  <c r="M195" i="50"/>
  <c r="M179" i="50"/>
  <c r="M161" i="50"/>
  <c r="M136" i="50"/>
  <c r="M77" i="50"/>
  <c r="M177" i="50"/>
  <c r="M38" i="50"/>
  <c r="M139" i="50"/>
  <c r="M122" i="50"/>
  <c r="M41" i="50"/>
  <c r="M123" i="50"/>
  <c r="M67" i="50"/>
  <c r="M196" i="50"/>
  <c r="M197" i="50"/>
</calcChain>
</file>

<file path=xl/sharedStrings.xml><?xml version="1.0" encoding="utf-8"?>
<sst xmlns="http://schemas.openxmlformats.org/spreadsheetml/2006/main" count="20907" uniqueCount="925">
  <si>
    <t>Capitolo</t>
  </si>
  <si>
    <t>Libro</t>
  </si>
  <si>
    <t>Matteo</t>
  </si>
  <si>
    <t>C.E.I. 1974</t>
  </si>
  <si>
    <t>C.E.I. 2008</t>
  </si>
  <si>
    <t>Nova Vulgata</t>
  </si>
  <si>
    <t>At</t>
  </si>
  <si>
    <t>Marco</t>
  </si>
  <si>
    <t>Luca</t>
  </si>
  <si>
    <t>Giovanni</t>
  </si>
  <si>
    <t>Atti degli Apostoli</t>
  </si>
  <si>
    <t>Lettera di San Paolo ai Romani</t>
  </si>
  <si>
    <t>Rm</t>
  </si>
  <si>
    <t>Lettera di San Paolo ai Corinzi 1</t>
  </si>
  <si>
    <t>1Cor</t>
  </si>
  <si>
    <t>Lettera di San Paolo ai Corinzi 2</t>
  </si>
  <si>
    <t>2Cor</t>
  </si>
  <si>
    <t>Lettera di San Paolo ai Galati</t>
  </si>
  <si>
    <t>Gal</t>
  </si>
  <si>
    <t>Ef</t>
  </si>
  <si>
    <t>Lettera di San Paolo agli Efesini</t>
  </si>
  <si>
    <t>Lettera di San Paolo ai Filippesi</t>
  </si>
  <si>
    <t>Fil</t>
  </si>
  <si>
    <t>Col</t>
  </si>
  <si>
    <t>Lettera di San Paolo ai Colossesi</t>
  </si>
  <si>
    <t>Lettera di San Paolo ai Tessalonicesi 1</t>
  </si>
  <si>
    <t>1Ts</t>
  </si>
  <si>
    <t>Lettera di San Paolo ai Tessalonicesi 2</t>
  </si>
  <si>
    <t>2Ts</t>
  </si>
  <si>
    <t>Lettera di San Paolo a Timoteo 1</t>
  </si>
  <si>
    <t>1Tm</t>
  </si>
  <si>
    <t>Lettera di San Paolo a Timoteo 2</t>
  </si>
  <si>
    <t>2Tm</t>
  </si>
  <si>
    <t>Lettera di San Paolo a Tito</t>
  </si>
  <si>
    <t>Tt</t>
  </si>
  <si>
    <t>Lettera di San Paolo a Filemone</t>
  </si>
  <si>
    <t>Fm</t>
  </si>
  <si>
    <t>Eb</t>
  </si>
  <si>
    <t>Lettera di Giacomo</t>
  </si>
  <si>
    <t>Gc</t>
  </si>
  <si>
    <t>Lettera di Pietro 1</t>
  </si>
  <si>
    <t>1Pt</t>
  </si>
  <si>
    <t>Lettera di Pietro 2</t>
  </si>
  <si>
    <t>2Pt</t>
  </si>
  <si>
    <t>Lettera di Giovanni 1</t>
  </si>
  <si>
    <t>1Gv</t>
  </si>
  <si>
    <t>Lettera di Giovanni 2</t>
  </si>
  <si>
    <t>2Gv</t>
  </si>
  <si>
    <t>Lettera di Giovanni 3</t>
  </si>
  <si>
    <t>3Gv</t>
  </si>
  <si>
    <t>Apocalisse</t>
  </si>
  <si>
    <t>Ap</t>
  </si>
  <si>
    <t>Giuda</t>
  </si>
  <si>
    <t>Gd</t>
  </si>
  <si>
    <t>Totale Versetti</t>
  </si>
  <si>
    <t>Totale Capitoli</t>
  </si>
  <si>
    <t>Numero di capitolo</t>
  </si>
  <si>
    <t xml:space="preserve">Mt </t>
  </si>
  <si>
    <t>Versetto</t>
  </si>
  <si>
    <t>Concatena</t>
  </si>
  <si>
    <t>Incollare Valori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</si>
  <si>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</si>
  <si>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</si>
  <si>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</si>
  <si>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</si>
  <si>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</si>
  <si>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</si>
  <si>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</si>
  <si>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</si>
  <si>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</si>
  <si>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</si>
  <si>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</si>
  <si>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</si>
  <si>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</si>
  <si>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</si>
  <si>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</si>
  <si>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</si>
  <si>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</si>
  <si>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</si>
  <si>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</si>
  <si>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</si>
  <si>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</si>
  <si>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</si>
  <si>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</si>
  <si>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</si>
  <si>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</si>
  <si>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</si>
  <si>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Note al testo</t>
  </si>
  <si>
    <t>9999a</t>
  </si>
  <si>
    <t>9999b</t>
  </si>
  <si>
    <t>9999c</t>
  </si>
  <si>
    <t>9999d</t>
  </si>
  <si>
    <t>9999e</t>
  </si>
  <si>
    <t>9999f</t>
  </si>
  <si>
    <t>9999g</t>
  </si>
  <si>
    <t>9999h</t>
  </si>
  <si>
    <t>9999i</t>
  </si>
  <si>
    <t>9999j</t>
  </si>
  <si>
    <t>9999k</t>
  </si>
  <si>
    <t>9999l</t>
  </si>
  <si>
    <t>9999m</t>
  </si>
  <si>
    <t>9999n</t>
  </si>
  <si>
    <t>9999o</t>
  </si>
  <si>
    <t>9999p</t>
  </si>
  <si>
    <t>9999q</t>
  </si>
  <si>
    <t>9999r</t>
  </si>
  <si>
    <t>9999s</t>
  </si>
  <si>
    <t>9999t</t>
  </si>
  <si>
    <t>9999u</t>
  </si>
  <si>
    <t>9999v</t>
  </si>
  <si>
    <t>9999w</t>
  </si>
  <si>
    <t>9999x</t>
  </si>
  <si>
    <t>9999y</t>
  </si>
  <si>
    <t>9999z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</si>
  <si>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</si>
  <si>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</si>
  <si>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</si>
  <si>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</si>
  <si>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</si>
  <si>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</si>
  <si>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</si>
  <si>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</si>
  <si>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</si>
  <si>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</si>
  <si>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</si>
  <si>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</si>
  <si>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</si>
  <si>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</si>
  <si>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</si>
  <si>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</si>
  <si>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</si>
  <si>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9999aa</t>
  </si>
  <si>
    <t>9999ab</t>
  </si>
  <si>
    <t>9999ac</t>
  </si>
  <si>
    <t>9999ad</t>
  </si>
  <si>
    <t>9999ae</t>
  </si>
  <si>
    <t>9999af</t>
  </si>
  <si>
    <t>9999ag</t>
  </si>
  <si>
    <t>9999ah</t>
  </si>
  <si>
    <t>9999ai</t>
  </si>
  <si>
    <t>9999aj</t>
  </si>
  <si>
    <t>9999ak</t>
  </si>
  <si>
    <t>9999al</t>
  </si>
  <si>
    <t>9999am</t>
  </si>
  <si>
    <t>9999an</t>
  </si>
  <si>
    <t>9999ao</t>
  </si>
  <si>
    <t>9999ap</t>
  </si>
  <si>
    <t>9999aq</t>
  </si>
  <si>
    <t>Mt</t>
  </si>
  <si>
    <t>Mc</t>
  </si>
  <si>
    <t>Lc</t>
  </si>
  <si>
    <t>Gv</t>
  </si>
  <si>
    <t xml:space="preserve">Mt 28,1 : </t>
  </si>
  <si>
    <t xml:space="preserve">Mt 28,2 : </t>
  </si>
  <si>
    <t xml:space="preserve">Mt 28,3 : </t>
  </si>
  <si>
    <t xml:space="preserve">Mt 28,4 : </t>
  </si>
  <si>
    <t xml:space="preserve">Mt 28,5 : </t>
  </si>
  <si>
    <t xml:space="preserve">Mt 28,6 : </t>
  </si>
  <si>
    <t xml:space="preserve">Mt 28,7 : </t>
  </si>
  <si>
    <t xml:space="preserve">Mt 28,8 : </t>
  </si>
  <si>
    <t xml:space="preserve">Mt 28,9 : </t>
  </si>
  <si>
    <t xml:space="preserve">Mt 28,10 : </t>
  </si>
  <si>
    <t xml:space="preserve">Mt 28,11 : </t>
  </si>
  <si>
    <t xml:space="preserve">Mt 28,12 : </t>
  </si>
  <si>
    <t xml:space="preserve">Mt 28,13 : </t>
  </si>
  <si>
    <t xml:space="preserve">Mt 28,14 : </t>
  </si>
  <si>
    <t xml:space="preserve">Mt 28,15 : </t>
  </si>
  <si>
    <t xml:space="preserve">Mt 28,16 : </t>
  </si>
  <si>
    <t xml:space="preserve">Mt 28,17 : </t>
  </si>
  <si>
    <t xml:space="preserve">Mt 28,18 : </t>
  </si>
  <si>
    <t xml:space="preserve">Mt 28,19 : </t>
  </si>
  <si>
    <t xml:space="preserve">Mt 28,20 : </t>
  </si>
  <si>
    <t xml:space="preserve">Mt 28,21 : </t>
  </si>
  <si>
    <t xml:space="preserve">Mt 28,22 : </t>
  </si>
  <si>
    <t xml:space="preserve">Mt 28,23 : </t>
  </si>
  <si>
    <t xml:space="preserve">Mt 28,24 : </t>
  </si>
  <si>
    <t xml:space="preserve">Mt 28,25 : </t>
  </si>
  <si>
    <t xml:space="preserve">Mt 28,26 : </t>
  </si>
  <si>
    <t xml:space="preserve">Mt 28,27 : </t>
  </si>
  <si>
    <t xml:space="preserve">Mt 28,28 : </t>
  </si>
  <si>
    <t xml:space="preserve">Mt 28,29 : </t>
  </si>
  <si>
    <t xml:space="preserve">Mt 28,30 : </t>
  </si>
  <si>
    <t xml:space="preserve">Mt 28,31 : </t>
  </si>
  <si>
    <t xml:space="preserve">Mt 28,32 : </t>
  </si>
  <si>
    <t xml:space="preserve">Mt 28,33 : </t>
  </si>
  <si>
    <t xml:space="preserve">Mt 28,34 : </t>
  </si>
  <si>
    <t xml:space="preserve">Mt 28,35 : </t>
  </si>
  <si>
    <t xml:space="preserve">Mt 28,36 : </t>
  </si>
  <si>
    <t xml:space="preserve">Mt 28,37 : </t>
  </si>
  <si>
    <t xml:space="preserve">Mt 28,38 : </t>
  </si>
  <si>
    <t xml:space="preserve">Mt 28,39 : </t>
  </si>
  <si>
    <t xml:space="preserve">Mt 28,40 : </t>
  </si>
  <si>
    <t xml:space="preserve">Mt 28,41 : </t>
  </si>
  <si>
    <t xml:space="preserve">Mt 28,42 : </t>
  </si>
  <si>
    <t xml:space="preserve">Mt 28,43 : </t>
  </si>
  <si>
    <t xml:space="preserve">Mt 28,44 : </t>
  </si>
  <si>
    <t xml:space="preserve">Mt 28,45 : </t>
  </si>
  <si>
    <t xml:space="preserve">Mt 28,46 : </t>
  </si>
  <si>
    <t xml:space="preserve">Mt 28,47 : </t>
  </si>
  <si>
    <t xml:space="preserve">Mt 28,48 : </t>
  </si>
  <si>
    <t xml:space="preserve">Mt 28,49 : </t>
  </si>
  <si>
    <t xml:space="preserve">Mt 28,50 : </t>
  </si>
  <si>
    <t xml:space="preserve">Mt 28,51 : </t>
  </si>
  <si>
    <t xml:space="preserve">Mt 28,52 : </t>
  </si>
  <si>
    <t xml:space="preserve">Mt 28,53 : </t>
  </si>
  <si>
    <t xml:space="preserve">Mt 28,54 : </t>
  </si>
  <si>
    <t xml:space="preserve">Mt 28,55 : </t>
  </si>
  <si>
    <t xml:space="preserve">Mt 28,56 : </t>
  </si>
  <si>
    <t xml:space="preserve">Mt 28,57 : </t>
  </si>
  <si>
    <t xml:space="preserve">Mt 28,58 : </t>
  </si>
  <si>
    <t xml:space="preserve">Mt 28,59 : </t>
  </si>
  <si>
    <t xml:space="preserve">Mt 28,60 : </t>
  </si>
  <si>
    <t xml:space="preserve">Mt 28,61 : </t>
  </si>
  <si>
    <t xml:space="preserve">Mt 28,62 : </t>
  </si>
  <si>
    <t xml:space="preserve">Mt 28,63 : </t>
  </si>
  <si>
    <t xml:space="preserve">Mt 28,64 : </t>
  </si>
  <si>
    <t xml:space="preserve">Mt 28,65 : </t>
  </si>
  <si>
    <t xml:space="preserve">Mt 28,66 : </t>
  </si>
  <si>
    <t xml:space="preserve">Mt 28,67 : </t>
  </si>
  <si>
    <t xml:space="preserve">Mt 28,68 : </t>
  </si>
  <si>
    <t xml:space="preserve">Mt 28,69 : </t>
  </si>
  <si>
    <t xml:space="preserve">Mt 28,70 : </t>
  </si>
  <si>
    <t xml:space="preserve">Mt 28,71 : </t>
  </si>
  <si>
    <t xml:space="preserve">Mt 28,72 : </t>
  </si>
  <si>
    <t xml:space="preserve">Mt 28,73 : </t>
  </si>
  <si>
    <t xml:space="preserve">Mt 28,74 : </t>
  </si>
  <si>
    <t xml:space="preserve">Mt 28,75 : </t>
  </si>
  <si>
    <t xml:space="preserve">Mt 28,76 : </t>
  </si>
  <si>
    <t xml:space="preserve">Mt 28,77 : </t>
  </si>
  <si>
    <t xml:space="preserve">Mt 28,78 : </t>
  </si>
  <si>
    <t xml:space="preserve">Mt 28,79 : </t>
  </si>
  <si>
    <t xml:space="preserve">Mt 28,80 : </t>
  </si>
  <si>
    <t xml:space="preserve">Mt 28,81 : </t>
  </si>
  <si>
    <t xml:space="preserve">Mt 28,82 : </t>
  </si>
  <si>
    <t xml:space="preserve">Mt 28,83 : </t>
  </si>
  <si>
    <t xml:space="preserve">Mt 28,84 : </t>
  </si>
  <si>
    <t xml:space="preserve">Mt 28,85 : </t>
  </si>
  <si>
    <t xml:space="preserve">Mt 28,86 : </t>
  </si>
  <si>
    <t xml:space="preserve">Mt 28,87 : </t>
  </si>
  <si>
    <t xml:space="preserve">Mt 28,88 : </t>
  </si>
  <si>
    <t xml:space="preserve">Mt 28,89 : </t>
  </si>
  <si>
    <t xml:space="preserve">Mt 28,90 : </t>
  </si>
  <si>
    <t xml:space="preserve">Mt 28,91 : </t>
  </si>
  <si>
    <t xml:space="preserve">Mt 28,92 : </t>
  </si>
  <si>
    <t xml:space="preserve">Mt 28,93 : </t>
  </si>
  <si>
    <t xml:space="preserve">Mt 28,94 : </t>
  </si>
  <si>
    <t xml:space="preserve">Mt 28,95 : </t>
  </si>
  <si>
    <t xml:space="preserve">Mt 28,96 : </t>
  </si>
  <si>
    <t xml:space="preserve">Mt 28,97 : </t>
  </si>
  <si>
    <t xml:space="preserve">Mt 28,98 : </t>
  </si>
  <si>
    <t xml:space="preserve">Mt 28,99 : 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</si>
  <si>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</si>
  <si>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</si>
  <si>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</si>
  <si>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</si>
  <si>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</si>
  <si>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</si>
  <si>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</si>
  <si>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</si>
  <si>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</si>
  <si>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9999ar</t>
  </si>
  <si>
    <t>9999as</t>
  </si>
  <si>
    <t>9999at</t>
  </si>
  <si>
    <t>9999au</t>
  </si>
  <si>
    <t>9999av</t>
  </si>
  <si>
    <t>9999aw</t>
  </si>
  <si>
    <t>9999ax</t>
  </si>
  <si>
    <t>9999ay</t>
  </si>
  <si>
    <t>9999az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</si>
  <si>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</si>
  <si>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</si>
  <si>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</si>
  <si>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</si>
  <si>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</si>
  <si>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</si>
  <si>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</si>
  <si>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</si>
  <si>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</si>
  <si>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</si>
  <si>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</si>
  <si>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</si>
  <si>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</si>
  <si>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</si>
  <si>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</si>
  <si>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</si>
  <si>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</si>
  <si>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</si>
  <si>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</si>
  <si>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</si>
  <si>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</si>
  <si>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</si>
  <si>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</si>
  <si>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</si>
  <si>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</si>
  <si>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</si>
  <si>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</si>
  <si>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</si>
  <si>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</si>
  <si>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</si>
  <si>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</si>
  <si>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</si>
  <si>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</si>
  <si>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</si>
  <si>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</si>
  <si>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</si>
  <si>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</si>
  <si>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</si>
  <si>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</si>
  <si>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</si>
  <si>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</si>
  <si>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</si>
  <si>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</si>
  <si>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</si>
  <si>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</si>
  <si>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</si>
  <si>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</si>
  <si>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9999ba</t>
  </si>
  <si>
    <t>9999bb</t>
  </si>
  <si>
    <t>9999bc</t>
  </si>
  <si>
    <t>9999bd</t>
  </si>
  <si>
    <t>9999be</t>
  </si>
  <si>
    <t>9999bf</t>
  </si>
  <si>
    <t>9999bg</t>
  </si>
  <si>
    <t>9999bh</t>
  </si>
  <si>
    <t>9999bi</t>
  </si>
  <si>
    <t>9999bj</t>
  </si>
  <si>
    <t>9999bk</t>
  </si>
  <si>
    <t>9999bl</t>
  </si>
  <si>
    <t>9999bm</t>
  </si>
  <si>
    <t>9999bn</t>
  </si>
  <si>
    <t>9999bo</t>
  </si>
  <si>
    <t>9999bp</t>
  </si>
  <si>
    <t>9999bq</t>
  </si>
  <si>
    <t>9999br</t>
  </si>
  <si>
    <t>9999bs</t>
  </si>
  <si>
    <t>9999bt</t>
  </si>
  <si>
    <t>9999bu</t>
  </si>
  <si>
    <t>9999bv</t>
  </si>
  <si>
    <t>9999bw</t>
  </si>
  <si>
    <t>9999bx</t>
  </si>
  <si>
    <t>9999by</t>
  </si>
  <si>
    <t>9999bz</t>
  </si>
  <si>
    <t>9999ca</t>
  </si>
  <si>
    <t>9999cb</t>
  </si>
  <si>
    <t>9999cc</t>
  </si>
  <si>
    <t>9999cd</t>
  </si>
  <si>
    <t>9999ce</t>
  </si>
  <si>
    <t>9999cf</t>
  </si>
  <si>
    <t>9999cg</t>
  </si>
  <si>
    <t>9999ch</t>
  </si>
  <si>
    <t>9999ci</t>
  </si>
  <si>
    <t>9999cj</t>
  </si>
  <si>
    <t>9999ck</t>
  </si>
  <si>
    <t>9999cl</t>
  </si>
  <si>
    <t>9999cm</t>
  </si>
  <si>
    <t>9999cn</t>
  </si>
  <si>
    <t>9999co</t>
  </si>
  <si>
    <t>9999cp</t>
  </si>
  <si>
    <t>9999cq</t>
  </si>
  <si>
    <t>9999cr</t>
  </si>
  <si>
    <t>9999cs</t>
  </si>
  <si>
    <t>9999ct</t>
  </si>
  <si>
    <t>9999cu</t>
  </si>
  <si>
    <t>Abbr.</t>
  </si>
  <si>
    <t>Cap</t>
  </si>
  <si>
    <t>Vers</t>
  </si>
  <si>
    <t>Martini</t>
  </si>
  <si>
    <t>Ricciotti</t>
  </si>
  <si>
    <t>Diodati</t>
  </si>
  <si>
    <t>Nuova+Diodati</t>
  </si>
  <si>
    <t>Riveduta</t>
  </si>
  <si>
    <t>Nuova+Riveduta</t>
  </si>
  <si>
    <t>Riveduta+2020</t>
  </si>
  <si>
    <t>Abb</t>
  </si>
  <si>
    <t>Libri, abbreviazioni e capitoli della Bibbia CEI</t>
  </si>
  <si>
    <t>Vecchio Testamento</t>
  </si>
  <si>
    <t>Nuovo Testamento</t>
  </si>
  <si>
    <t>N.</t>
  </si>
  <si>
    <t>Abbreviazione</t>
  </si>
  <si>
    <t>Capitoli</t>
  </si>
  <si>
    <t>Genesi</t>
  </si>
  <si>
    <t>Gn</t>
  </si>
  <si>
    <t>Esodo</t>
  </si>
  <si>
    <t>Es</t>
  </si>
  <si>
    <t>Levitico</t>
  </si>
  <si>
    <t>Lv</t>
  </si>
  <si>
    <t>Numeri</t>
  </si>
  <si>
    <t>Nm</t>
  </si>
  <si>
    <t>Deuteronomo</t>
  </si>
  <si>
    <t>Dt</t>
  </si>
  <si>
    <t>Giosuè</t>
  </si>
  <si>
    <t>Gs</t>
  </si>
  <si>
    <t>Lettera ai Romani</t>
  </si>
  <si>
    <t>Giudici</t>
  </si>
  <si>
    <t>Gdc</t>
  </si>
  <si>
    <t>Prima lettera ai Corinzi</t>
  </si>
  <si>
    <t>1 Cor</t>
  </si>
  <si>
    <t>Rut</t>
  </si>
  <si>
    <t>Rt</t>
  </si>
  <si>
    <t>Seconda lettera ai Corinzi</t>
  </si>
  <si>
    <t>2 Cor</t>
  </si>
  <si>
    <t>1 Samuele</t>
  </si>
  <si>
    <t>1 Sam</t>
  </si>
  <si>
    <t>Lettera ai Galati</t>
  </si>
  <si>
    <t>2 Samuele</t>
  </si>
  <si>
    <t>2 Sam</t>
  </si>
  <si>
    <t>Lettera agli Efesini</t>
  </si>
  <si>
    <t>1 Re</t>
  </si>
  <si>
    <t>Lettera ai Filippesi</t>
  </si>
  <si>
    <t>2 Re</t>
  </si>
  <si>
    <t>Lettera ai Colossesi</t>
  </si>
  <si>
    <t>1 Cronache</t>
  </si>
  <si>
    <t>1 Cr</t>
  </si>
  <si>
    <t>Prima lettera ai Tessalonicesi</t>
  </si>
  <si>
    <t>1 Ts</t>
  </si>
  <si>
    <t>2 Cronache</t>
  </si>
  <si>
    <t>2 Cr</t>
  </si>
  <si>
    <t>Seconda lettera ai Tessalonicesi</t>
  </si>
  <si>
    <t>2 Ts</t>
  </si>
  <si>
    <t>Esdra</t>
  </si>
  <si>
    <t>Esd</t>
  </si>
  <si>
    <t>Prima lettera a Timoteo</t>
  </si>
  <si>
    <t>1 Tm</t>
  </si>
  <si>
    <t>Neemia</t>
  </si>
  <si>
    <t>Ne</t>
  </si>
  <si>
    <t>Seconda lettera a Timoteo</t>
  </si>
  <si>
    <t>2 Tm</t>
  </si>
  <si>
    <t>Tobia</t>
  </si>
  <si>
    <t>Tb</t>
  </si>
  <si>
    <t>Lettera a Tito</t>
  </si>
  <si>
    <t>Giuditta</t>
  </si>
  <si>
    <t>Gdt</t>
  </si>
  <si>
    <t>Lettera a Filemone</t>
  </si>
  <si>
    <t>Ester</t>
  </si>
  <si>
    <t>Est</t>
  </si>
  <si>
    <t>Lettera agli Ebrei</t>
  </si>
  <si>
    <t>1 Maccabei</t>
  </si>
  <si>
    <t>1 Mac</t>
  </si>
  <si>
    <t>2 Maccabei</t>
  </si>
  <si>
    <t>2 Mac</t>
  </si>
  <si>
    <t>Prima lettera di Pietro</t>
  </si>
  <si>
    <t>1 Pt</t>
  </si>
  <si>
    <t>Giobbe</t>
  </si>
  <si>
    <t>Gb</t>
  </si>
  <si>
    <t>Seconda lettera di Pietro</t>
  </si>
  <si>
    <t>2 Pt</t>
  </si>
  <si>
    <t>Salmi</t>
  </si>
  <si>
    <t>Sal</t>
  </si>
  <si>
    <t>Prima lettera di Giovanni</t>
  </si>
  <si>
    <t>1 Gv</t>
  </si>
  <si>
    <t>Proverbi</t>
  </si>
  <si>
    <t>Prv</t>
  </si>
  <si>
    <t>Seconda lettera di Giovanni</t>
  </si>
  <si>
    <t>2 Gv</t>
  </si>
  <si>
    <t>Qoelet</t>
  </si>
  <si>
    <t>Qo</t>
  </si>
  <si>
    <t>Terza lettera di Giovanni</t>
  </si>
  <si>
    <t>3 Gv</t>
  </si>
  <si>
    <t>Cantico</t>
  </si>
  <si>
    <t>Ct</t>
  </si>
  <si>
    <t>Lettera di Giuda</t>
  </si>
  <si>
    <t>Sapienza</t>
  </si>
  <si>
    <t>Sap</t>
  </si>
  <si>
    <t>Siracide</t>
  </si>
  <si>
    <t>Sir</t>
  </si>
  <si>
    <t>Isaia</t>
  </si>
  <si>
    <t>Is</t>
  </si>
  <si>
    <t>Geremia</t>
  </si>
  <si>
    <t>Ger</t>
  </si>
  <si>
    <t>Lamentazioni</t>
  </si>
  <si>
    <t>Lam</t>
  </si>
  <si>
    <t>Baruc</t>
  </si>
  <si>
    <t>Bar</t>
  </si>
  <si>
    <t>Ezechiele</t>
  </si>
  <si>
    <t>Ez</t>
  </si>
  <si>
    <t>Daniele</t>
  </si>
  <si>
    <t>Dn</t>
  </si>
  <si>
    <t>Osea</t>
  </si>
  <si>
    <t>Os</t>
  </si>
  <si>
    <t>Gioele</t>
  </si>
  <si>
    <t>Gl</t>
  </si>
  <si>
    <t>Amos</t>
  </si>
  <si>
    <t>Am</t>
  </si>
  <si>
    <t>Abdia</t>
  </si>
  <si>
    <t>Abd</t>
  </si>
  <si>
    <t>Giona</t>
  </si>
  <si>
    <t>Gio</t>
  </si>
  <si>
    <t>Michea</t>
  </si>
  <si>
    <t>Mic</t>
  </si>
  <si>
    <t>Naum</t>
  </si>
  <si>
    <t>Na</t>
  </si>
  <si>
    <t>Abacuc</t>
  </si>
  <si>
    <t>Ab</t>
  </si>
  <si>
    <t>Sofonia</t>
  </si>
  <si>
    <t>Sof</t>
  </si>
  <si>
    <t>Aggeo</t>
  </si>
  <si>
    <t>Ag</t>
  </si>
  <si>
    <t>Zaccaria</t>
  </si>
  <si>
    <t>Zc</t>
  </si>
  <si>
    <t>Malachia</t>
  </si>
  <si>
    <t>Ml</t>
  </si>
  <si>
    <t>Totale libri Antico Testamento:</t>
  </si>
  <si>
    <t>Ok</t>
  </si>
  <si>
    <t>Testamento</t>
  </si>
  <si>
    <t>Nuovo</t>
  </si>
  <si>
    <t>Antico</t>
  </si>
  <si>
    <t>LibroID</t>
  </si>
  <si>
    <t>Gruppo</t>
  </si>
  <si>
    <t>Il Pentateuco</t>
  </si>
  <si>
    <t>I libri storici</t>
  </si>
  <si>
    <t>I libri poetici e sapienziali</t>
  </si>
  <si>
    <t>I libri profetici: Profeti maggiori</t>
  </si>
  <si>
    <t>I libri profetici: Profeti minori</t>
  </si>
  <si>
    <t>I Vangeli</t>
  </si>
  <si>
    <t>Atti</t>
  </si>
  <si>
    <t>Le Lettere Paoline</t>
  </si>
  <si>
    <t>Le altre Lettere Cattoliche</t>
  </si>
  <si>
    <t>Scritti apocalittici e apocalittica</t>
  </si>
  <si>
    <t>&gt;&gt;&gt; D</t>
  </si>
  <si>
    <t>libroId</t>
  </si>
  <si>
    <t>testamentoId</t>
  </si>
  <si>
    <t>gruppoId</t>
  </si>
  <si>
    <t>nomelibroitaliano</t>
  </si>
  <si>
    <t>abbreviazioniconosciute</t>
  </si>
  <si>
    <t>nomelibrolatino</t>
  </si>
  <si>
    <t>abbreviazionelatina</t>
  </si>
  <si>
    <t>nomelibroinglese</t>
  </si>
  <si>
    <t>abbreviazioneinglese</t>
  </si>
  <si>
    <t>Indice ARRAY arrVers</t>
  </si>
  <si>
    <t>ARRAY arrVers</t>
  </si>
  <si>
    <t>Antico Testamento</t>
  </si>
  <si>
    <t>Gn;Gen;Ge</t>
  </si>
  <si>
    <t>Liber Genesis</t>
  </si>
  <si>
    <t>Gen</t>
  </si>
  <si>
    <t>Genesis</t>
  </si>
  <si>
    <t>Es;Eso;Eo</t>
  </si>
  <si>
    <t>Liber Exodus</t>
  </si>
  <si>
    <t>Ex</t>
  </si>
  <si>
    <t>Exodus</t>
  </si>
  <si>
    <t>Exod</t>
  </si>
  <si>
    <t>Lv;Le</t>
  </si>
  <si>
    <t>Liber Leviticus</t>
  </si>
  <si>
    <t>Lev</t>
  </si>
  <si>
    <t>Leviticus</t>
  </si>
  <si>
    <t>Nm;Nu</t>
  </si>
  <si>
    <t>Liber Numeri</t>
  </si>
  <si>
    <t>Num</t>
  </si>
  <si>
    <t>Numbers</t>
  </si>
  <si>
    <t>Nun</t>
  </si>
  <si>
    <t>Deuteronomio</t>
  </si>
  <si>
    <t>Dt;Deut;De</t>
  </si>
  <si>
    <t>Liber Deuteronomii</t>
  </si>
  <si>
    <t>Deut</t>
  </si>
  <si>
    <t>Deuteronomy</t>
  </si>
  <si>
    <t>Gs;Gios</t>
  </si>
  <si>
    <t>Liber Josue</t>
  </si>
  <si>
    <t>Ios</t>
  </si>
  <si>
    <t>Joshua</t>
  </si>
  <si>
    <t>Josh</t>
  </si>
  <si>
    <t>Gdc; Giudic;Gc</t>
  </si>
  <si>
    <t>Liber Judicum</t>
  </si>
  <si>
    <t>Iudc</t>
  </si>
  <si>
    <t>Judges</t>
  </si>
  <si>
    <t>Judg</t>
  </si>
  <si>
    <t>Rt;Ru</t>
  </si>
  <si>
    <t>Liber Ruth</t>
  </si>
  <si>
    <t>Ruth</t>
  </si>
  <si>
    <t>Primo libro di Samuele (=1 Re)</t>
  </si>
  <si>
    <t>1Sam;1 Sam;1S;ISam;I Sam;IS;I S</t>
  </si>
  <si>
    <t>Liber Primus Regum</t>
  </si>
  <si>
    <t>1 Samuel</t>
  </si>
  <si>
    <t>Secondo libro di Samuele (=2 Re)</t>
  </si>
  <si>
    <t>2Sam;2 Sam;2S;IISam;II Sam;IIS;II S</t>
  </si>
  <si>
    <t>Liber Secundus Regum</t>
  </si>
  <si>
    <t>2 Samuel</t>
  </si>
  <si>
    <t>Primo libro dei Re (=3 Re)</t>
  </si>
  <si>
    <t>1Re;1 Re;1R;1 R;IRe;I Re;IR;I R</t>
  </si>
  <si>
    <t>Liber Tertius Regum</t>
  </si>
  <si>
    <t>3 Re</t>
  </si>
  <si>
    <t>1 Kings</t>
  </si>
  <si>
    <t>1 Kgs</t>
  </si>
  <si>
    <t>Secondo libro dei Re (=4 Re)</t>
  </si>
  <si>
    <t>2Re;2 Re;2R;2 R;IIRe;II Re;IIR;II R</t>
  </si>
  <si>
    <t>Liber Quartus Regum</t>
  </si>
  <si>
    <t>4 Re</t>
  </si>
  <si>
    <t>2 Kings</t>
  </si>
  <si>
    <t>2 Kgs</t>
  </si>
  <si>
    <t>Primo libro delle Cronache (Paralipomeni)</t>
  </si>
  <si>
    <t>1Cr;1 Cr;I Cr;ICr</t>
  </si>
  <si>
    <t>Liber Primus Paralipomenon</t>
  </si>
  <si>
    <t>1Par</t>
  </si>
  <si>
    <t>1 Chronicles</t>
  </si>
  <si>
    <t>1 Chr</t>
  </si>
  <si>
    <t>Secondo libro delle Cronache (Paralipomeni)</t>
  </si>
  <si>
    <t>2Cr;2 Cr;II Cr;IICr</t>
  </si>
  <si>
    <t>Liber Secundus Paralipomenon</t>
  </si>
  <si>
    <t>2Par</t>
  </si>
  <si>
    <t>2 Chronicles</t>
  </si>
  <si>
    <t>2 Chr</t>
  </si>
  <si>
    <t>Esdra (= 1 Esdra)</t>
  </si>
  <si>
    <t>Esd;Ed</t>
  </si>
  <si>
    <t>Liber Esdræ</t>
  </si>
  <si>
    <t>Ezra</t>
  </si>
  <si>
    <t>Neemia (= 2 Esdra)</t>
  </si>
  <si>
    <t>Liber Nehemiæ</t>
  </si>
  <si>
    <t>Neh</t>
  </si>
  <si>
    <t>Nehemiah</t>
  </si>
  <si>
    <t>Tb;Tob;To</t>
  </si>
  <si>
    <t>Liber Tobiæ</t>
  </si>
  <si>
    <t>Tob</t>
  </si>
  <si>
    <t>Tobit</t>
  </si>
  <si>
    <t>Gdt;Giudit</t>
  </si>
  <si>
    <t>Liber Judith</t>
  </si>
  <si>
    <t>Iudt</t>
  </si>
  <si>
    <t>Judith</t>
  </si>
  <si>
    <t>Jdt</t>
  </si>
  <si>
    <t>Est;Et</t>
  </si>
  <si>
    <t>Liber Esther</t>
  </si>
  <si>
    <t>Esth</t>
  </si>
  <si>
    <t>Esther</t>
  </si>
  <si>
    <t>Primo libro dei Maccabei</t>
  </si>
  <si>
    <t>1Mac;1 Mac;1Macc;1 Macc;IMac;I Mac;IMacc;I Macc;1M;1 M;IM;I M</t>
  </si>
  <si>
    <t>Liber I Machabæorum</t>
  </si>
  <si>
    <t>1 Mach</t>
  </si>
  <si>
    <t>1 Maccabees</t>
  </si>
  <si>
    <t>1 Macc</t>
  </si>
  <si>
    <t>Secondo libro dei Maccabei</t>
  </si>
  <si>
    <t>2Mac;2 Mac;2Macc;2 Macc;IIMac;II Mac;IIMacc;II Macc;2M;2 M;IIM;II M</t>
  </si>
  <si>
    <t>Liber II Machabæorum</t>
  </si>
  <si>
    <t>2 Mach</t>
  </si>
  <si>
    <t>2 Maccabees</t>
  </si>
  <si>
    <t>2 Macc</t>
  </si>
  <si>
    <t>Gb;Giob</t>
  </si>
  <si>
    <t>Liber Job</t>
  </si>
  <si>
    <t>Iob</t>
  </si>
  <si>
    <t>Job</t>
  </si>
  <si>
    <t>Sal;Sl</t>
  </si>
  <si>
    <t>Liber Psalmorum</t>
  </si>
  <si>
    <t>Ps</t>
  </si>
  <si>
    <t>Psalms</t>
  </si>
  <si>
    <t>Ps(s)</t>
  </si>
  <si>
    <t>Prv;Prov;P</t>
  </si>
  <si>
    <t>Liber Proverbiorum</t>
  </si>
  <si>
    <t>Prov</t>
  </si>
  <si>
    <t>Proverbs</t>
  </si>
  <si>
    <t>Qoelet (=Ecclesiaste)</t>
  </si>
  <si>
    <t>Qo;Ec;Q</t>
  </si>
  <si>
    <t>Liber Ecclesiastes</t>
  </si>
  <si>
    <t>Eccle</t>
  </si>
  <si>
    <t>Ecclesiastes</t>
  </si>
  <si>
    <t>Eccl</t>
  </si>
  <si>
    <t>Ct;Ca;CC</t>
  </si>
  <si>
    <t>Canticum Canticorum Salomonis</t>
  </si>
  <si>
    <t>Cant</t>
  </si>
  <si>
    <t>Song of Songs</t>
  </si>
  <si>
    <t>Song</t>
  </si>
  <si>
    <t>Liber Sapientiæ</t>
  </si>
  <si>
    <t>Wisdom of Solomon</t>
  </si>
  <si>
    <t>Wis</t>
  </si>
  <si>
    <t>Siracide (= Ecclesiastico)</t>
  </si>
  <si>
    <t>Sir;Si</t>
  </si>
  <si>
    <t>Ecclesiasticus Jesu, filii Sirach</t>
  </si>
  <si>
    <t>Eccli</t>
  </si>
  <si>
    <t>Sirach/ Ecclesiasticus</t>
  </si>
  <si>
    <t>Prophetia Isaiæ</t>
  </si>
  <si>
    <t>Isai;Isa</t>
  </si>
  <si>
    <t>Isaiah</t>
  </si>
  <si>
    <t>Isa</t>
  </si>
  <si>
    <t>Ger;Gr</t>
  </si>
  <si>
    <t>Prophetia Jeremiæ</t>
  </si>
  <si>
    <t>Ier</t>
  </si>
  <si>
    <t>Jeremiah</t>
  </si>
  <si>
    <t>Jer</t>
  </si>
  <si>
    <t>Lam;La</t>
  </si>
  <si>
    <t>Lamentationes Jeremiæ Prophetæ</t>
  </si>
  <si>
    <t>Lamentations</t>
  </si>
  <si>
    <t>Bar;B</t>
  </si>
  <si>
    <t>Prophetia Baruch</t>
  </si>
  <si>
    <t>Baruch</t>
  </si>
  <si>
    <t>Prophetia Ezechielis</t>
  </si>
  <si>
    <t>Ezekiel</t>
  </si>
  <si>
    <t>Ezek</t>
  </si>
  <si>
    <t>Dn;Dan;Da</t>
  </si>
  <si>
    <t>Prophetia Danielis</t>
  </si>
  <si>
    <t>Dan</t>
  </si>
  <si>
    <t>Daniel</t>
  </si>
  <si>
    <t>Os;O</t>
  </si>
  <si>
    <t>Prophetia Osee</t>
  </si>
  <si>
    <t>Hosea</t>
  </si>
  <si>
    <t>Hos</t>
  </si>
  <si>
    <t>Gl;Gioe;Gi</t>
  </si>
  <si>
    <t>Prophetia Joël</t>
  </si>
  <si>
    <t>Ioel</t>
  </si>
  <si>
    <t>Joel</t>
  </si>
  <si>
    <t>Prophetia Amos</t>
  </si>
  <si>
    <t>Abd;Ad</t>
  </si>
  <si>
    <t>Prophetia Abdiæ</t>
  </si>
  <si>
    <t>Obadiah</t>
  </si>
  <si>
    <t>Obad</t>
  </si>
  <si>
    <t>Gio;Gion</t>
  </si>
  <si>
    <t>Prophetia Jonæ</t>
  </si>
  <si>
    <t>Ion</t>
  </si>
  <si>
    <t>Jonah</t>
  </si>
  <si>
    <t>Mi</t>
  </si>
  <si>
    <t>Prophetia Michææ</t>
  </si>
  <si>
    <t>Micah</t>
  </si>
  <si>
    <t>Prophetia Nahum</t>
  </si>
  <si>
    <t>Nah</t>
  </si>
  <si>
    <t>Nahum</t>
  </si>
  <si>
    <t>Ab;Abac;Aba;Ac;H</t>
  </si>
  <si>
    <t>Prophetia Habacuc</t>
  </si>
  <si>
    <t>Hab</t>
  </si>
  <si>
    <t>Habakkuk</t>
  </si>
  <si>
    <t>Sof;So</t>
  </si>
  <si>
    <t>Prophetia Sophoniæ</t>
  </si>
  <si>
    <t>Soph</t>
  </si>
  <si>
    <t>Zephaniah</t>
  </si>
  <si>
    <t>Zeph</t>
  </si>
  <si>
    <t>Ag;Agg</t>
  </si>
  <si>
    <t>Prophetia Aggæi</t>
  </si>
  <si>
    <t>Agg</t>
  </si>
  <si>
    <t>Haggai</t>
  </si>
  <si>
    <t>Hag</t>
  </si>
  <si>
    <t>Zc;Zac;Z</t>
  </si>
  <si>
    <t>Prophetia Zachariæ</t>
  </si>
  <si>
    <t>Zach</t>
  </si>
  <si>
    <t>Zechariah</t>
  </si>
  <si>
    <t>Zech</t>
  </si>
  <si>
    <t>Ml;Mal</t>
  </si>
  <si>
    <t>Prophetia Malachiæ</t>
  </si>
  <si>
    <t>Mal</t>
  </si>
  <si>
    <t>Malachi</t>
  </si>
  <si>
    <t>Mt;Mat</t>
  </si>
  <si>
    <t>Evangelium secundum Matthæum</t>
  </si>
  <si>
    <t>Matthew</t>
  </si>
  <si>
    <t>Matt</t>
  </si>
  <si>
    <t>Mc;Mar;Mr</t>
  </si>
  <si>
    <t>Evangelium secundum Marcum</t>
  </si>
  <si>
    <t>Mark</t>
  </si>
  <si>
    <t>Lc;Lu</t>
  </si>
  <si>
    <t>Evangelium secundum Lucam</t>
  </si>
  <si>
    <t>Luke</t>
  </si>
  <si>
    <t>Gv;Giov</t>
  </si>
  <si>
    <t>Evangelium secundum Joannem</t>
  </si>
  <si>
    <t>Io</t>
  </si>
  <si>
    <t>John</t>
  </si>
  <si>
    <t>Actus Apostolorum</t>
  </si>
  <si>
    <t>Act</t>
  </si>
  <si>
    <t>Acts</t>
  </si>
  <si>
    <t>Lettera di san Paolo Apostolo ai Romani</t>
  </si>
  <si>
    <t>Rm;Ro</t>
  </si>
  <si>
    <t>Epistola B. Pauli Apostoli ad Romanos</t>
  </si>
  <si>
    <t>Rom</t>
  </si>
  <si>
    <t>Romans</t>
  </si>
  <si>
    <t>Prima lettera di san Paolo Apostolo ai Corinzi</t>
  </si>
  <si>
    <t>1Cor;1 Cor;I Cor;ICor;1Co;ICo;1 Co;I Co</t>
  </si>
  <si>
    <t>Epistola B. Pauli Apostoli ad Corinthios Prima</t>
  </si>
  <si>
    <t>1 Corinthians</t>
  </si>
  <si>
    <t>Seconda lettera di san Paolo Apostolo ai Corinzi</t>
  </si>
  <si>
    <t>2Cor;2 Cor;II cor;IICor;2Co;IICo;2 Co;II Co</t>
  </si>
  <si>
    <t>Epistola B. Pauli Apostoli ad Corinthios Secunda</t>
  </si>
  <si>
    <t>2 Corinthians</t>
  </si>
  <si>
    <t>Lettera di san Paolo Apostolo ai Galati</t>
  </si>
  <si>
    <t>Gal;Ga</t>
  </si>
  <si>
    <t>Epistola B. Pauli Apostoli ad Galatas</t>
  </si>
  <si>
    <t>Galatians</t>
  </si>
  <si>
    <t>Lettera di san Paolo Apostolo agli Efesini</t>
  </si>
  <si>
    <t>Epistola B. Pauli Apostoli ad Ephesios</t>
  </si>
  <si>
    <t>Eph</t>
  </si>
  <si>
    <t>Ephesians</t>
  </si>
  <si>
    <t>Lettera di san Paolo Apostolo ai Filippesi</t>
  </si>
  <si>
    <t>Fil;Fili;Fl</t>
  </si>
  <si>
    <t>Epistola B. Pauli Apostoli ad Philippenses</t>
  </si>
  <si>
    <t>Phil</t>
  </si>
  <si>
    <t>Philippians</t>
  </si>
  <si>
    <t>Lettera di san Paolo Apostolo ai Colossesi</t>
  </si>
  <si>
    <t>Col;Cl;Co</t>
  </si>
  <si>
    <t>Epistola B. Pauli Apostoli ad Colossenses</t>
  </si>
  <si>
    <t>Colossians</t>
  </si>
  <si>
    <t>Prima Lettera di san Paolo Apostolo ai Tessalonicesi</t>
  </si>
  <si>
    <t>1Ts;1 Ts;1Te;1 Te;ITs;I Ts;ITe;I Te</t>
  </si>
  <si>
    <t>Epistola B. Pauli Apostoli ad Thessalonicenses Prima</t>
  </si>
  <si>
    <t>1 Thess</t>
  </si>
  <si>
    <t>1 Thessalonians</t>
  </si>
  <si>
    <t>Seconda Lettera di san Paolo Apostolo ai Tessalonicesi</t>
  </si>
  <si>
    <t>2Ts;2 Ts;2Te;2 Te;IITs;II Ts;IITe;II Te</t>
  </si>
  <si>
    <t>Epistola B. Pauli Apostoli ad Thessalonicenses Secunda</t>
  </si>
  <si>
    <t>2 Thess</t>
  </si>
  <si>
    <t>2 Thessalonians</t>
  </si>
  <si>
    <t>Prima Lettera di san Paolo Apostolo a Timoteo</t>
  </si>
  <si>
    <t>1Tm;1 Tm;1Ti;1 Ti;ITm;I Tm;ITi;I Ti</t>
  </si>
  <si>
    <t>Epistola B. Pauli Apostoli ad Timotheum Prima</t>
  </si>
  <si>
    <t>1 Tim</t>
  </si>
  <si>
    <t>1 Timothy</t>
  </si>
  <si>
    <t>Seconda Lettera di san Paolo Apostolo a Timoteo</t>
  </si>
  <si>
    <t>2Tm;2 Tm;2Ti;2 Ti;IITm;II Tm;IITi;II Ti</t>
  </si>
  <si>
    <t>Epistola B. Pauli Apostoli ad Timotheum Secunda</t>
  </si>
  <si>
    <t>2 Tim</t>
  </si>
  <si>
    <t>2 Timothy</t>
  </si>
  <si>
    <t>Lettera di san Paolo Apostolo a Tito</t>
  </si>
  <si>
    <t>Tt;Ti;Tit</t>
  </si>
  <si>
    <t>Epistola B. Pauli Apostoli ad Titum</t>
  </si>
  <si>
    <t>Tit</t>
  </si>
  <si>
    <t>Titus</t>
  </si>
  <si>
    <t>Lettera di san Paolo Apostolo a Filemone</t>
  </si>
  <si>
    <t>Fm;File</t>
  </si>
  <si>
    <t>Epistola B. Pauli Apostoli ad Philemonem</t>
  </si>
  <si>
    <t>Philem</t>
  </si>
  <si>
    <t>Philemon</t>
  </si>
  <si>
    <t>Phlm</t>
  </si>
  <si>
    <t>Epistola B. Pauli Apostoli ad Hebræos</t>
  </si>
  <si>
    <t>Hebr</t>
  </si>
  <si>
    <t>Hebrews</t>
  </si>
  <si>
    <t>Heb</t>
  </si>
  <si>
    <t>Lettera di san Giacomo Apostolo</t>
  </si>
  <si>
    <t>Gc;Giac;Gia;Gm</t>
  </si>
  <si>
    <t>Epistola Catholica B. Jacobi Apostoli</t>
  </si>
  <si>
    <t>Iac</t>
  </si>
  <si>
    <t>James</t>
  </si>
  <si>
    <t>Jas</t>
  </si>
  <si>
    <t>Prima Lettera di san Pietro Apostolo</t>
  </si>
  <si>
    <t>1Pt;1 Pt;1P;1 P;IP;I P</t>
  </si>
  <si>
    <t>Epistola B. Petri Apostoli Prima</t>
  </si>
  <si>
    <t>1 Peter</t>
  </si>
  <si>
    <t>1 Pet</t>
  </si>
  <si>
    <t>Seconda Lettera di san Pietro Apostolo</t>
  </si>
  <si>
    <t>2Pt;2 Pt;2P;2 P;IIP;II P</t>
  </si>
  <si>
    <t>Epistola B. Petri Apostoli Secunda</t>
  </si>
  <si>
    <t>2 Peter</t>
  </si>
  <si>
    <t>2 Pet</t>
  </si>
  <si>
    <t>Prima lettera di san Giovanni Apostolo ed Evangelista</t>
  </si>
  <si>
    <t>1Gv;1 Gv;I Gv;IGv;1G;1 G;IG;I G</t>
  </si>
  <si>
    <t>Epistola B. Joannis Apostoli Prima</t>
  </si>
  <si>
    <t>I Io</t>
  </si>
  <si>
    <t>1 John</t>
  </si>
  <si>
    <t>Seconda lettera di san Giovanni Apostolo ed Evangelista</t>
  </si>
  <si>
    <t>2Gv;2 Gv;II Gv;IIGv;2G;2 G;IIG;II G</t>
  </si>
  <si>
    <t>Epistola B. Joannis Apostoli Secunda</t>
  </si>
  <si>
    <t>II Io</t>
  </si>
  <si>
    <t>2 John</t>
  </si>
  <si>
    <t>Terza lettera di san Giovanni Apostolo ed Evangelista</t>
  </si>
  <si>
    <t>3Gv;3 Gv;III Gv;IIIGv;3G;3 G;IIIG;III G</t>
  </si>
  <si>
    <t>Epistola B. Joannis Apostoli Tertia</t>
  </si>
  <si>
    <t>III Io</t>
  </si>
  <si>
    <t>3 John</t>
  </si>
  <si>
    <t>Lettera di san Giuda Apostolo</t>
  </si>
  <si>
    <t>Gd;Giuda</t>
  </si>
  <si>
    <t>Epistola Catholica B. Judæ Apostoli</t>
  </si>
  <si>
    <t>Iud</t>
  </si>
  <si>
    <t>Jude</t>
  </si>
  <si>
    <t>Apocalisse di san Giovanni Apostolo ed Evangelista</t>
  </si>
  <si>
    <t>Apocalypsis B. Joannis Apostoli</t>
  </si>
  <si>
    <t>Apoc</t>
  </si>
  <si>
    <t>Revelation</t>
  </si>
  <si>
    <t>Rev</t>
  </si>
  <si>
    <t>Vangelo di san Matteo Apostolo ed Evangelista</t>
  </si>
  <si>
    <t>Vangelo di san Marco Evangelista</t>
  </si>
  <si>
    <t>Vangelo di san Luca Evangelista</t>
  </si>
  <si>
    <t>Vangelo di san Giovanni Apostolo ed Evangelista</t>
  </si>
  <si>
    <t>Abbr</t>
  </si>
  <si>
    <t>Versetti</t>
  </si>
  <si>
    <t>Obsidian link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</si>
  <si>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</si>
  <si>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</si>
  <si>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</si>
  <si>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</si>
  <si>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</si>
  <si>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</si>
  <si>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</si>
  <si>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</si>
  <si>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</si>
  <si>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</si>
  <si>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</si>
  <si>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</si>
  <si>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16 versetti</t>
  </si>
  <si>
    <t>Nella Bibbia C.E.I. 1974 ci sono 16 versetti nel capitolo</t>
  </si>
  <si>
    <t>48 versetti</t>
  </si>
  <si>
    <t>Nella Bibbia C.E.I. 1974 ci sono 48 versetti nel capitolo</t>
  </si>
  <si>
    <t>41 versetti</t>
  </si>
  <si>
    <t>Nella Bibbia C.E.I. 1974 ci sono 41 versetti nel capitolo</t>
  </si>
  <si>
    <t>### Lettura in chiave salvifica</t>
  </si>
  <si>
    <t>### Lettura in chiave Lettura storica a difficoltà crescente</t>
  </si>
  <si>
    <t>Totale capitoli Antico Testamento:</t>
  </si>
  <si>
    <t>Totale capitolo Bibbia:</t>
  </si>
  <si>
    <t>Totale capitoli Nuovo Testamento:</t>
  </si>
  <si>
    <t>c1-39</t>
  </si>
  <si>
    <t>c40-55</t>
  </si>
  <si>
    <t>c56-66</t>
  </si>
  <si>
    <t>Progressivo capitolo</t>
  </si>
  <si>
    <t>31 versetti</t>
  </si>
  <si>
    <t>73 versetti</t>
  </si>
  <si>
    <t>32 versetti</t>
  </si>
  <si>
    <t>20 versetti</t>
  </si>
  <si>
    <t>| Messaggio successivo → ]]</t>
  </si>
  <si>
    <t>Punto:</t>
  </si>
  <si>
    <t>Footnote:</t>
  </si>
  <si>
    <t xml:space="preserve">#### </t>
  </si>
  <si>
    <t>Messo già nel file unico Nova Vulgata.md</t>
  </si>
  <si>
    <t>Ok nel file a capitoli. Riportato anche nel file unico</t>
  </si>
  <si>
    <t>Interconfessionale</t>
  </si>
  <si>
    <t>Nuova Diodati</t>
  </si>
  <si>
    <t>Nuova Riveduta</t>
  </si>
  <si>
    <t>Nuova Riveduta 2020</t>
  </si>
  <si>
    <t>Vulgata latina (VL)</t>
  </si>
  <si>
    <t>Riciotti</t>
  </si>
  <si>
    <t>Ok nel file a capitoli. Riportato anche nel file unico. Messe anche le note a piè pagina. COMPLETO</t>
  </si>
  <si>
    <t>Ok nel file a capitoli. Riportato anche nel file unico. Messe anche le note a piè pagina. MANCANO I RIFERIMENTI</t>
  </si>
  <si>
    <t>Ok nel file a capitoli. Riportato anche nel file unico.</t>
  </si>
  <si>
    <t>31 versetti Ok nel file a capitoli. Riportato anche nel file unico.</t>
  </si>
  <si>
    <t>25 versetti Ok nel file a capitoli. Riportato anche nel file unico.</t>
  </si>
  <si>
    <t>https://radiomaria.it/tutti-i-messaggi-in-ordine-cronologico/?search=&amp;yearfilter=</t>
  </si>
  <si>
    <t xml:space="preserve"> - Messaggio alla Parrocchia-Marija</t>
  </si>
  <si>
    <t xml:space="preserve"> - Messaggio al mondo-Mirijana</t>
  </si>
  <si>
    <t xml:space="preserve"> - Messaggio annuale a Mirijana</t>
  </si>
  <si>
    <t xml:space="preserve"> - Messaggio annuale a Ivanka</t>
  </si>
  <si>
    <t xml:space="preserve"> - Messaggio al gruppo di preghiera-Ivan</t>
  </si>
  <si>
    <t xml:space="preserve"> - Messaggio annuale a Jakov</t>
  </si>
  <si>
    <t xml:space="preserve"> | [[Messaggi/</t>
  </si>
  <si>
    <t xml:space="preserve"> [!4colonne]- [[Messaggi/</t>
  </si>
  <si>
    <t>| ← Messaggio precedente]]</t>
  </si>
  <si>
    <t>Jakov</t>
  </si>
  <si>
    <t>Mirijana</t>
  </si>
  <si>
    <t>Marija</t>
  </si>
  <si>
    <t>Ivan</t>
  </si>
  <si>
    <t>Ivanka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</si>
</sst>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0"/>
    <numFmt numFmtId="166" formatCode="[$-410]d\ mmmm\ yyyy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2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8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0" xfId="0" applyFont="1" applyFill="1"/>
    <xf numFmtId="0" fontId="8" fillId="7" borderId="0" xfId="0" applyFont="1" applyFill="1" applyAlignment="1">
      <alignment horizontal="center"/>
    </xf>
    <xf numFmtId="0" fontId="8" fillId="7" borderId="0" xfId="0" applyFont="1" applyFill="1"/>
    <xf numFmtId="0" fontId="8" fillId="4" borderId="0" xfId="0" applyFont="1" applyFill="1"/>
    <xf numFmtId="0" fontId="0" fillId="0" borderId="1" xfId="0" applyBorder="1" applyAlignment="1">
      <alignment horizontal="center"/>
    </xf>
    <xf numFmtId="0" fontId="0" fillId="0" borderId="1" xfId="0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10" fillId="2" borderId="0" xfId="0" applyFont="1" applyFill="1"/>
    <xf numFmtId="0" fontId="10" fillId="0" borderId="1" xfId="0" applyFont="1" applyBorder="1"/>
    <xf numFmtId="0" fontId="10" fillId="2" borderId="0" xfId="0" applyFont="1" applyFill="1" applyAlignment="1">
      <alignment horizontal="center"/>
    </xf>
    <xf numFmtId="0" fontId="10" fillId="2" borderId="1" xfId="0" applyFont="1" applyFill="1" applyBorder="1"/>
    <xf numFmtId="0" fontId="11" fillId="0" borderId="0" xfId="0" applyFont="1" applyAlignment="1">
      <alignment horizontal="center" vertical="center" wrapText="1"/>
    </xf>
    <xf numFmtId="164" fontId="11" fillId="3" borderId="0" xfId="0" applyNumberFormat="1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14" fontId="12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0" fontId="6" fillId="3" borderId="0" xfId="0" applyFont="1" applyFill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0" fillId="0" borderId="0" xfId="0" applyNumberFormat="1"/>
    <xf numFmtId="165" fontId="0" fillId="0" borderId="2" xfId="0" applyNumberFormat="1" applyBorder="1"/>
    <xf numFmtId="1" fontId="0" fillId="0" borderId="2" xfId="0" applyNumberFormat="1" applyBorder="1"/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0" borderId="2" xfId="0" applyBorder="1"/>
    <xf numFmtId="0" fontId="10" fillId="3" borderId="0" xfId="0" applyFont="1" applyFill="1"/>
    <xf numFmtId="0" fontId="10" fillId="3" borderId="1" xfId="0" applyFont="1" applyFill="1" applyBorder="1"/>
    <xf numFmtId="0" fontId="9" fillId="3" borderId="0" xfId="1" applyFont="1" applyFill="1" applyAlignment="1">
      <alignment horizontal="center" vertical="center"/>
    </xf>
    <xf numFmtId="0" fontId="9" fillId="3" borderId="1" xfId="1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0" fillId="8" borderId="0" xfId="0" applyFill="1"/>
    <xf numFmtId="166" fontId="0" fillId="0" borderId="0" xfId="0" applyNumberFormat="1"/>
    <xf numFmtId="0" fontId="9" fillId="0" borderId="0" xfId="1" applyFont="1" applyFill="1" applyBorder="1" applyAlignment="1">
      <alignment horizontal="center" vertical="center" wrapText="1"/>
    </xf>
    <xf numFmtId="0" fontId="9" fillId="0" borderId="1" xfId="1" applyFont="1" applyFill="1" applyBorder="1" applyAlignment="1">
      <alignment horizontal="center" vertical="center" wrapText="1"/>
    </xf>
    <xf numFmtId="0" fontId="9" fillId="0" borderId="0" xfId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1" fillId="0" borderId="0" xfId="1"/>
    <xf numFmtId="0" fontId="3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3" fillId="5" borderId="0" xfId="0" applyFont="1" applyFill="1" applyAlignment="1">
      <alignment horizontal="center"/>
    </xf>
    <xf numFmtId="166" fontId="0" fillId="0" borderId="2" xfId="0" applyNumberFormat="1" applyBorder="1"/>
    <xf numFmtId="0" fontId="0" fillId="8" borderId="2" xfId="0" applyFill="1" applyBorder="1"/>
    <xf numFmtId="0" fontId="0" fillId="2" borderId="2" xfId="0" applyFill="1" applyBorder="1"/>
    <xf numFmtId="0" fontId="0" fillId="0" borderId="0" xfId="0" applyFill="1"/>
    <xf numFmtId="0" fontId="0" fillId="0" borderId="2" xfId="0" applyFill="1" applyBorder="1"/>
    <xf numFmtId="166" fontId="0" fillId="0" borderId="0" xfId="0" applyNumberFormat="1" applyFill="1"/>
    <xf numFmtId="166" fontId="0" fillId="0" borderId="2" xfId="0" applyNumberFormat="1" applyFill="1" applyBorder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mruColors>
      <color rgb="FF00FF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radiomaria.it/tutti-i-messaggi-in-ordine-cronologico/?search=&amp;yearfilter=" TargetMode="External"/><Relationship Id="rId1" Type="http://schemas.openxmlformats.org/officeDocument/2006/relationships/hyperlink" Target="https://radiomaria.it/tutti-i-messaggi-in-ordine-cronologico/?search=&amp;yearfilter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5837-3970-45FB-9D9D-F59D28C70DBA}">
  <sheetPr codeName="Foglio7"/>
  <dimension ref="A1:I51"/>
  <sheetViews>
    <sheetView topLeftCell="A11" workbookViewId="0">
      <selection activeCell="B43" sqref="B43"/>
    </sheetView>
  </sheetViews>
  <sheetFormatPr defaultRowHeight="15" x14ac:dyDescent="0.25"/>
  <cols>
    <col min="1" max="1" width="3" style="10" bestFit="1" customWidth="1"/>
    <col min="2" max="2" width="25.5703125" style="7" bestFit="1" customWidth="1"/>
    <col min="3" max="3" width="12.140625" style="10" bestFit="1" customWidth="1"/>
    <col min="4" max="4" width="6.85546875" style="10" bestFit="1" customWidth="1"/>
    <col min="5" max="5" width="3.42578125" style="10" customWidth="1"/>
    <col min="6" max="6" width="3" style="7" bestFit="1" customWidth="1"/>
    <col min="7" max="7" width="26.85546875" style="7" bestFit="1" customWidth="1"/>
    <col min="8" max="8" width="12.140625" style="7" bestFit="1" customWidth="1"/>
    <col min="9" max="9" width="6.85546875" style="10" bestFit="1" customWidth="1"/>
    <col min="10" max="16384" width="9.140625" style="7"/>
  </cols>
  <sheetData>
    <row r="1" spans="1:9" ht="30.75" customHeight="1" x14ac:dyDescent="0.25">
      <c r="A1" s="60" t="s">
        <v>374</v>
      </c>
      <c r="B1" s="60"/>
      <c r="C1" s="60"/>
      <c r="D1" s="60"/>
      <c r="E1" s="60"/>
      <c r="F1" s="60"/>
      <c r="G1" s="60"/>
      <c r="H1" s="60"/>
      <c r="I1" s="60"/>
    </row>
    <row r="2" spans="1:9" ht="12.75" customHeight="1" x14ac:dyDescent="0.25">
      <c r="A2" s="61" t="s">
        <v>375</v>
      </c>
      <c r="B2" s="61"/>
      <c r="C2" s="61"/>
      <c r="D2" s="61"/>
      <c r="E2" s="8"/>
      <c r="F2" s="61" t="s">
        <v>376</v>
      </c>
      <c r="G2" s="61"/>
      <c r="H2" s="61"/>
      <c r="I2" s="61"/>
    </row>
    <row r="3" spans="1:9" s="10" customFormat="1" x14ac:dyDescent="0.25">
      <c r="A3" s="9" t="s">
        <v>377</v>
      </c>
      <c r="B3" s="9" t="s">
        <v>1</v>
      </c>
      <c r="C3" s="9" t="s">
        <v>378</v>
      </c>
      <c r="D3" s="9" t="s">
        <v>379</v>
      </c>
      <c r="E3" s="8"/>
      <c r="F3" s="9" t="s">
        <v>377</v>
      </c>
      <c r="G3" s="9" t="s">
        <v>1</v>
      </c>
      <c r="H3" s="9" t="s">
        <v>378</v>
      </c>
      <c r="I3" s="9" t="s">
        <v>379</v>
      </c>
    </row>
    <row r="4" spans="1:9" x14ac:dyDescent="0.25">
      <c r="A4" s="11">
        <v>1</v>
      </c>
      <c r="B4" s="12" t="s">
        <v>380</v>
      </c>
      <c r="C4" s="11" t="s">
        <v>381</v>
      </c>
      <c r="D4" s="11">
        <v>50</v>
      </c>
      <c r="E4" s="11"/>
      <c r="F4" s="11">
        <v>47</v>
      </c>
      <c r="G4" s="12" t="s">
        <v>2</v>
      </c>
      <c r="H4" s="11" t="s">
        <v>148</v>
      </c>
      <c r="I4" s="11">
        <v>28</v>
      </c>
    </row>
    <row r="5" spans="1:9" x14ac:dyDescent="0.25">
      <c r="A5" s="13">
        <v>2</v>
      </c>
      <c r="B5" s="14" t="s">
        <v>382</v>
      </c>
      <c r="C5" s="13" t="s">
        <v>383</v>
      </c>
      <c r="D5" s="13">
        <v>40</v>
      </c>
      <c r="E5" s="13"/>
      <c r="F5" s="13">
        <v>48</v>
      </c>
      <c r="G5" s="14" t="s">
        <v>7</v>
      </c>
      <c r="H5" s="13" t="s">
        <v>149</v>
      </c>
      <c r="I5" s="13">
        <v>16</v>
      </c>
    </row>
    <row r="6" spans="1:9" x14ac:dyDescent="0.25">
      <c r="A6" s="11">
        <v>3</v>
      </c>
      <c r="B6" s="12" t="s">
        <v>384</v>
      </c>
      <c r="C6" s="11" t="s">
        <v>385</v>
      </c>
      <c r="D6" s="11">
        <v>27</v>
      </c>
      <c r="E6" s="11"/>
      <c r="F6" s="11">
        <v>49</v>
      </c>
      <c r="G6" s="12" t="s">
        <v>8</v>
      </c>
      <c r="H6" s="11" t="s">
        <v>150</v>
      </c>
      <c r="I6" s="11">
        <v>24</v>
      </c>
    </row>
    <row r="7" spans="1:9" x14ac:dyDescent="0.25">
      <c r="A7" s="13">
        <v>4</v>
      </c>
      <c r="B7" s="14" t="s">
        <v>386</v>
      </c>
      <c r="C7" s="13" t="s">
        <v>387</v>
      </c>
      <c r="D7" s="13">
        <v>36</v>
      </c>
      <c r="E7" s="13"/>
      <c r="F7" s="13">
        <v>50</v>
      </c>
      <c r="G7" s="14" t="s">
        <v>9</v>
      </c>
      <c r="H7" s="13" t="s">
        <v>151</v>
      </c>
      <c r="I7" s="13">
        <v>21</v>
      </c>
    </row>
    <row r="8" spans="1:9" x14ac:dyDescent="0.25">
      <c r="A8" s="11">
        <v>5</v>
      </c>
      <c r="B8" s="12" t="s">
        <v>388</v>
      </c>
      <c r="C8" s="11" t="s">
        <v>389</v>
      </c>
      <c r="D8" s="11">
        <v>34</v>
      </c>
      <c r="E8" s="11"/>
      <c r="F8" s="11">
        <v>51</v>
      </c>
      <c r="G8" s="12" t="s">
        <v>10</v>
      </c>
      <c r="H8" s="11" t="s">
        <v>6</v>
      </c>
      <c r="I8" s="11">
        <v>28</v>
      </c>
    </row>
    <row r="9" spans="1:9" x14ac:dyDescent="0.25">
      <c r="A9" s="13">
        <v>6</v>
      </c>
      <c r="B9" s="14" t="s">
        <v>390</v>
      </c>
      <c r="C9" s="13" t="s">
        <v>391</v>
      </c>
      <c r="D9" s="13">
        <v>24</v>
      </c>
      <c r="E9" s="13"/>
      <c r="F9" s="13">
        <v>52</v>
      </c>
      <c r="G9" s="14" t="s">
        <v>392</v>
      </c>
      <c r="H9" s="13" t="s">
        <v>12</v>
      </c>
      <c r="I9" s="13">
        <v>16</v>
      </c>
    </row>
    <row r="10" spans="1:9" x14ac:dyDescent="0.25">
      <c r="A10" s="11">
        <v>7</v>
      </c>
      <c r="B10" s="12" t="s">
        <v>393</v>
      </c>
      <c r="C10" s="11" t="s">
        <v>394</v>
      </c>
      <c r="D10" s="11">
        <v>21</v>
      </c>
      <c r="E10" s="11"/>
      <c r="F10" s="11">
        <v>53</v>
      </c>
      <c r="G10" s="12" t="s">
        <v>395</v>
      </c>
      <c r="H10" s="11" t="s">
        <v>396</v>
      </c>
      <c r="I10" s="11">
        <v>16</v>
      </c>
    </row>
    <row r="11" spans="1:9" x14ac:dyDescent="0.25">
      <c r="A11" s="13">
        <v>8</v>
      </c>
      <c r="B11" s="14" t="s">
        <v>397</v>
      </c>
      <c r="C11" s="13" t="s">
        <v>398</v>
      </c>
      <c r="D11" s="13">
        <v>4</v>
      </c>
      <c r="E11" s="13"/>
      <c r="F11" s="13">
        <v>54</v>
      </c>
      <c r="G11" s="14" t="s">
        <v>399</v>
      </c>
      <c r="H11" s="13" t="s">
        <v>400</v>
      </c>
      <c r="I11" s="13">
        <v>13</v>
      </c>
    </row>
    <row r="12" spans="1:9" x14ac:dyDescent="0.25">
      <c r="A12" s="11">
        <v>9</v>
      </c>
      <c r="B12" s="12" t="s">
        <v>401</v>
      </c>
      <c r="C12" s="11" t="s">
        <v>402</v>
      </c>
      <c r="D12" s="11">
        <v>31</v>
      </c>
      <c r="E12" s="11"/>
      <c r="F12" s="11">
        <v>55</v>
      </c>
      <c r="G12" s="12" t="s">
        <v>403</v>
      </c>
      <c r="H12" s="11" t="s">
        <v>18</v>
      </c>
      <c r="I12" s="11">
        <v>6</v>
      </c>
    </row>
    <row r="13" spans="1:9" x14ac:dyDescent="0.25">
      <c r="A13" s="13">
        <v>10</v>
      </c>
      <c r="B13" s="14" t="s">
        <v>404</v>
      </c>
      <c r="C13" s="13" t="s">
        <v>405</v>
      </c>
      <c r="D13" s="13">
        <v>24</v>
      </c>
      <c r="E13" s="13"/>
      <c r="F13" s="13">
        <v>56</v>
      </c>
      <c r="G13" s="14" t="s">
        <v>406</v>
      </c>
      <c r="H13" s="13" t="s">
        <v>19</v>
      </c>
      <c r="I13" s="13">
        <v>6</v>
      </c>
    </row>
    <row r="14" spans="1:9" x14ac:dyDescent="0.25">
      <c r="A14" s="11">
        <v>11</v>
      </c>
      <c r="B14" s="12" t="s">
        <v>407</v>
      </c>
      <c r="C14" s="11" t="s">
        <v>407</v>
      </c>
      <c r="D14" s="11">
        <v>22</v>
      </c>
      <c r="E14" s="11"/>
      <c r="F14" s="11">
        <v>57</v>
      </c>
      <c r="G14" s="12" t="s">
        <v>408</v>
      </c>
      <c r="H14" s="11" t="s">
        <v>22</v>
      </c>
      <c r="I14" s="11">
        <v>4</v>
      </c>
    </row>
    <row r="15" spans="1:9" x14ac:dyDescent="0.25">
      <c r="A15" s="13">
        <v>12</v>
      </c>
      <c r="B15" s="14" t="s">
        <v>409</v>
      </c>
      <c r="C15" s="13" t="s">
        <v>409</v>
      </c>
      <c r="D15" s="13">
        <v>25</v>
      </c>
      <c r="E15" s="13"/>
      <c r="F15" s="13">
        <v>58</v>
      </c>
      <c r="G15" s="14" t="s">
        <v>410</v>
      </c>
      <c r="H15" s="13" t="s">
        <v>23</v>
      </c>
      <c r="I15" s="13">
        <v>4</v>
      </c>
    </row>
    <row r="16" spans="1:9" x14ac:dyDescent="0.25">
      <c r="A16" s="11">
        <v>13</v>
      </c>
      <c r="B16" s="12" t="s">
        <v>411</v>
      </c>
      <c r="C16" s="11" t="s">
        <v>412</v>
      </c>
      <c r="D16" s="11">
        <v>29</v>
      </c>
      <c r="E16" s="11"/>
      <c r="F16" s="11">
        <v>59</v>
      </c>
      <c r="G16" s="12" t="s">
        <v>413</v>
      </c>
      <c r="H16" s="11" t="s">
        <v>414</v>
      </c>
      <c r="I16" s="11">
        <v>5</v>
      </c>
    </row>
    <row r="17" spans="1:9" x14ac:dyDescent="0.25">
      <c r="A17" s="13">
        <v>14</v>
      </c>
      <c r="B17" s="14" t="s">
        <v>415</v>
      </c>
      <c r="C17" s="13" t="s">
        <v>416</v>
      </c>
      <c r="D17" s="13">
        <v>36</v>
      </c>
      <c r="E17" s="13"/>
      <c r="F17" s="13">
        <v>60</v>
      </c>
      <c r="G17" s="14" t="s">
        <v>417</v>
      </c>
      <c r="H17" s="13" t="s">
        <v>418</v>
      </c>
      <c r="I17" s="13">
        <v>3</v>
      </c>
    </row>
    <row r="18" spans="1:9" x14ac:dyDescent="0.25">
      <c r="A18" s="11">
        <v>15</v>
      </c>
      <c r="B18" s="12" t="s">
        <v>419</v>
      </c>
      <c r="C18" s="11" t="s">
        <v>420</v>
      </c>
      <c r="D18" s="11">
        <v>10</v>
      </c>
      <c r="E18" s="11"/>
      <c r="F18" s="11">
        <v>61</v>
      </c>
      <c r="G18" s="12" t="s">
        <v>421</v>
      </c>
      <c r="H18" s="11" t="s">
        <v>422</v>
      </c>
      <c r="I18" s="11">
        <v>6</v>
      </c>
    </row>
    <row r="19" spans="1:9" x14ac:dyDescent="0.25">
      <c r="A19" s="13">
        <v>16</v>
      </c>
      <c r="B19" s="14" t="s">
        <v>423</v>
      </c>
      <c r="C19" s="13" t="s">
        <v>424</v>
      </c>
      <c r="D19" s="13">
        <v>13</v>
      </c>
      <c r="E19" s="13"/>
      <c r="F19" s="13">
        <v>62</v>
      </c>
      <c r="G19" s="14" t="s">
        <v>425</v>
      </c>
      <c r="H19" s="13" t="s">
        <v>426</v>
      </c>
      <c r="I19" s="13">
        <v>4</v>
      </c>
    </row>
    <row r="20" spans="1:9" x14ac:dyDescent="0.25">
      <c r="A20" s="11">
        <v>17</v>
      </c>
      <c r="B20" s="12" t="s">
        <v>427</v>
      </c>
      <c r="C20" s="11" t="s">
        <v>428</v>
      </c>
      <c r="D20" s="11">
        <v>14</v>
      </c>
      <c r="E20" s="11"/>
      <c r="F20" s="11">
        <v>63</v>
      </c>
      <c r="G20" s="12" t="s">
        <v>429</v>
      </c>
      <c r="H20" s="11" t="s">
        <v>34</v>
      </c>
      <c r="I20" s="11">
        <v>3</v>
      </c>
    </row>
    <row r="21" spans="1:9" x14ac:dyDescent="0.25">
      <c r="A21" s="13">
        <v>18</v>
      </c>
      <c r="B21" s="14" t="s">
        <v>430</v>
      </c>
      <c r="C21" s="13" t="s">
        <v>431</v>
      </c>
      <c r="D21" s="13">
        <v>16</v>
      </c>
      <c r="E21" s="13"/>
      <c r="F21" s="13">
        <v>64</v>
      </c>
      <c r="G21" s="14" t="s">
        <v>432</v>
      </c>
      <c r="H21" s="13" t="s">
        <v>36</v>
      </c>
      <c r="I21" s="13">
        <v>1</v>
      </c>
    </row>
    <row r="22" spans="1:9" x14ac:dyDescent="0.25">
      <c r="A22" s="11">
        <v>19</v>
      </c>
      <c r="B22" s="12" t="s">
        <v>433</v>
      </c>
      <c r="C22" s="11" t="s">
        <v>434</v>
      </c>
      <c r="D22" s="11">
        <v>10</v>
      </c>
      <c r="E22" s="11"/>
      <c r="F22" s="11">
        <v>65</v>
      </c>
      <c r="G22" s="12" t="s">
        <v>435</v>
      </c>
      <c r="H22" s="11" t="s">
        <v>37</v>
      </c>
      <c r="I22" s="11">
        <v>13</v>
      </c>
    </row>
    <row r="23" spans="1:9" x14ac:dyDescent="0.25">
      <c r="A23" s="13">
        <v>20</v>
      </c>
      <c r="B23" s="14" t="s">
        <v>436</v>
      </c>
      <c r="C23" s="13" t="s">
        <v>437</v>
      </c>
      <c r="D23" s="13">
        <v>16</v>
      </c>
      <c r="E23" s="13"/>
      <c r="F23" s="13">
        <v>66</v>
      </c>
      <c r="G23" s="14" t="s">
        <v>38</v>
      </c>
      <c r="H23" s="13" t="s">
        <v>39</v>
      </c>
      <c r="I23" s="13">
        <v>5</v>
      </c>
    </row>
    <row r="24" spans="1:9" x14ac:dyDescent="0.25">
      <c r="A24" s="11">
        <v>21</v>
      </c>
      <c r="B24" s="12" t="s">
        <v>438</v>
      </c>
      <c r="C24" s="11" t="s">
        <v>439</v>
      </c>
      <c r="D24" s="11">
        <v>15</v>
      </c>
      <c r="E24" s="11"/>
      <c r="F24" s="11">
        <v>67</v>
      </c>
      <c r="G24" s="12" t="s">
        <v>440</v>
      </c>
      <c r="H24" s="11" t="s">
        <v>441</v>
      </c>
      <c r="I24" s="11">
        <v>5</v>
      </c>
    </row>
    <row r="25" spans="1:9" x14ac:dyDescent="0.25">
      <c r="A25" s="13">
        <v>22</v>
      </c>
      <c r="B25" s="14" t="s">
        <v>442</v>
      </c>
      <c r="C25" s="13" t="s">
        <v>443</v>
      </c>
      <c r="D25" s="13">
        <v>42</v>
      </c>
      <c r="E25" s="13"/>
      <c r="F25" s="13">
        <v>68</v>
      </c>
      <c r="G25" s="14" t="s">
        <v>444</v>
      </c>
      <c r="H25" s="13" t="s">
        <v>445</v>
      </c>
      <c r="I25" s="13">
        <v>3</v>
      </c>
    </row>
    <row r="26" spans="1:9" x14ac:dyDescent="0.25">
      <c r="A26" s="11">
        <v>23</v>
      </c>
      <c r="B26" s="12" t="s">
        <v>446</v>
      </c>
      <c r="C26" s="11" t="s">
        <v>447</v>
      </c>
      <c r="D26" s="11">
        <v>150</v>
      </c>
      <c r="E26" s="11"/>
      <c r="F26" s="11">
        <v>69</v>
      </c>
      <c r="G26" s="12" t="s">
        <v>448</v>
      </c>
      <c r="H26" s="11" t="s">
        <v>449</v>
      </c>
      <c r="I26" s="11">
        <v>5</v>
      </c>
    </row>
    <row r="27" spans="1:9" x14ac:dyDescent="0.25">
      <c r="A27" s="13">
        <v>24</v>
      </c>
      <c r="B27" s="14" t="s">
        <v>450</v>
      </c>
      <c r="C27" s="13" t="s">
        <v>451</v>
      </c>
      <c r="D27" s="13">
        <v>31</v>
      </c>
      <c r="E27" s="13"/>
      <c r="F27" s="13">
        <v>70</v>
      </c>
      <c r="G27" s="14" t="s">
        <v>452</v>
      </c>
      <c r="H27" s="13" t="s">
        <v>453</v>
      </c>
      <c r="I27" s="13">
        <v>1</v>
      </c>
    </row>
    <row r="28" spans="1:9" x14ac:dyDescent="0.25">
      <c r="A28" s="11">
        <v>25</v>
      </c>
      <c r="B28" s="12" t="s">
        <v>454</v>
      </c>
      <c r="C28" s="11" t="s">
        <v>455</v>
      </c>
      <c r="D28" s="11">
        <v>12</v>
      </c>
      <c r="E28" s="11"/>
      <c r="F28" s="11">
        <v>71</v>
      </c>
      <c r="G28" s="12" t="s">
        <v>456</v>
      </c>
      <c r="H28" s="11" t="s">
        <v>457</v>
      </c>
      <c r="I28" s="11">
        <v>1</v>
      </c>
    </row>
    <row r="29" spans="1:9" x14ac:dyDescent="0.25">
      <c r="A29" s="13">
        <v>26</v>
      </c>
      <c r="B29" s="14" t="s">
        <v>458</v>
      </c>
      <c r="C29" s="13" t="s">
        <v>459</v>
      </c>
      <c r="D29" s="13">
        <v>8</v>
      </c>
      <c r="E29" s="13"/>
      <c r="F29" s="13">
        <v>72</v>
      </c>
      <c r="G29" s="14" t="s">
        <v>460</v>
      </c>
      <c r="H29" s="13" t="s">
        <v>53</v>
      </c>
      <c r="I29" s="13">
        <v>1</v>
      </c>
    </row>
    <row r="30" spans="1:9" x14ac:dyDescent="0.25">
      <c r="A30" s="11">
        <v>27</v>
      </c>
      <c r="B30" s="12" t="s">
        <v>461</v>
      </c>
      <c r="C30" s="11" t="s">
        <v>462</v>
      </c>
      <c r="D30" s="11">
        <v>19</v>
      </c>
      <c r="E30" s="11"/>
      <c r="F30" s="11">
        <v>73</v>
      </c>
      <c r="G30" s="12" t="s">
        <v>50</v>
      </c>
      <c r="H30" s="11" t="s">
        <v>51</v>
      </c>
      <c r="I30" s="11">
        <v>22</v>
      </c>
    </row>
    <row r="31" spans="1:9" x14ac:dyDescent="0.25">
      <c r="A31" s="13">
        <v>28</v>
      </c>
      <c r="B31" s="14" t="s">
        <v>463</v>
      </c>
      <c r="C31" s="13" t="s">
        <v>464</v>
      </c>
      <c r="D31" s="13">
        <v>51</v>
      </c>
      <c r="E31" s="13"/>
      <c r="F31" s="14"/>
      <c r="G31" s="14"/>
      <c r="H31" s="14"/>
      <c r="I31" s="13"/>
    </row>
    <row r="32" spans="1:9" x14ac:dyDescent="0.25">
      <c r="A32" s="11">
        <v>29</v>
      </c>
      <c r="B32" s="12" t="s">
        <v>465</v>
      </c>
      <c r="C32" s="11" t="s">
        <v>466</v>
      </c>
      <c r="D32" s="11">
        <v>66</v>
      </c>
      <c r="E32" s="11"/>
      <c r="F32" s="12"/>
      <c r="G32" s="12" t="s">
        <v>884</v>
      </c>
      <c r="H32" s="12"/>
      <c r="I32" s="11">
        <f>SUM(I4:I31)</f>
        <v>260</v>
      </c>
    </row>
    <row r="33" spans="1:9" x14ac:dyDescent="0.25">
      <c r="A33" s="13">
        <v>30</v>
      </c>
      <c r="B33" s="14" t="s">
        <v>467</v>
      </c>
      <c r="C33" s="13" t="s">
        <v>468</v>
      </c>
      <c r="D33" s="13">
        <v>52</v>
      </c>
      <c r="E33" s="13"/>
      <c r="F33" s="14"/>
      <c r="G33" s="14"/>
      <c r="H33" s="14"/>
      <c r="I33" s="13"/>
    </row>
    <row r="34" spans="1:9" x14ac:dyDescent="0.25">
      <c r="A34" s="11">
        <v>31</v>
      </c>
      <c r="B34" s="12" t="s">
        <v>469</v>
      </c>
      <c r="C34" s="11" t="s">
        <v>470</v>
      </c>
      <c r="D34" s="11">
        <v>5</v>
      </c>
      <c r="E34" s="11"/>
      <c r="F34" s="12"/>
      <c r="G34" s="12"/>
      <c r="H34" s="12"/>
      <c r="I34" s="11"/>
    </row>
    <row r="35" spans="1:9" x14ac:dyDescent="0.25">
      <c r="A35" s="13">
        <v>32</v>
      </c>
      <c r="B35" s="14" t="s">
        <v>471</v>
      </c>
      <c r="C35" s="13" t="s">
        <v>472</v>
      </c>
      <c r="D35" s="13">
        <v>6</v>
      </c>
      <c r="E35" s="13"/>
      <c r="F35" s="14"/>
      <c r="G35" s="14"/>
      <c r="H35" s="14"/>
      <c r="I35" s="13"/>
    </row>
    <row r="36" spans="1:9" x14ac:dyDescent="0.25">
      <c r="A36" s="11">
        <v>33</v>
      </c>
      <c r="B36" s="12" t="s">
        <v>473</v>
      </c>
      <c r="C36" s="11" t="s">
        <v>474</v>
      </c>
      <c r="D36" s="11">
        <v>48</v>
      </c>
      <c r="E36" s="11"/>
      <c r="F36" s="12"/>
      <c r="G36" s="12"/>
      <c r="H36" s="12"/>
      <c r="I36" s="11"/>
    </row>
    <row r="37" spans="1:9" x14ac:dyDescent="0.25">
      <c r="A37" s="13">
        <v>34</v>
      </c>
      <c r="B37" s="14" t="s">
        <v>475</v>
      </c>
      <c r="C37" s="13" t="s">
        <v>476</v>
      </c>
      <c r="D37" s="13">
        <v>14</v>
      </c>
      <c r="E37" s="13"/>
      <c r="F37" s="14"/>
      <c r="G37" s="14"/>
      <c r="H37" s="14"/>
      <c r="I37" s="13"/>
    </row>
    <row r="38" spans="1:9" x14ac:dyDescent="0.25">
      <c r="A38" s="11">
        <v>35</v>
      </c>
      <c r="B38" s="12" t="s">
        <v>477</v>
      </c>
      <c r="C38" s="11" t="s">
        <v>478</v>
      </c>
      <c r="D38" s="11">
        <v>14</v>
      </c>
      <c r="E38" s="11"/>
      <c r="F38" s="12"/>
      <c r="G38" s="12"/>
      <c r="H38" s="12"/>
      <c r="I38" s="11"/>
    </row>
    <row r="39" spans="1:9" x14ac:dyDescent="0.25">
      <c r="A39" s="13">
        <v>36</v>
      </c>
      <c r="B39" s="14" t="s">
        <v>479</v>
      </c>
      <c r="C39" s="13" t="s">
        <v>480</v>
      </c>
      <c r="D39" s="13">
        <v>4</v>
      </c>
      <c r="E39" s="13"/>
      <c r="F39" s="14"/>
      <c r="G39" s="14"/>
      <c r="H39" s="14"/>
      <c r="I39" s="13"/>
    </row>
    <row r="40" spans="1:9" x14ac:dyDescent="0.25">
      <c r="A40" s="11">
        <v>37</v>
      </c>
      <c r="B40" s="12" t="s">
        <v>481</v>
      </c>
      <c r="C40" s="11" t="s">
        <v>482</v>
      </c>
      <c r="D40" s="11">
        <v>9</v>
      </c>
      <c r="E40" s="11"/>
      <c r="F40" s="12"/>
      <c r="G40" s="12"/>
      <c r="H40" s="12"/>
      <c r="I40" s="11"/>
    </row>
    <row r="41" spans="1:9" x14ac:dyDescent="0.25">
      <c r="A41" s="13">
        <v>38</v>
      </c>
      <c r="B41" s="14" t="s">
        <v>483</v>
      </c>
      <c r="C41" s="13" t="s">
        <v>484</v>
      </c>
      <c r="D41" s="13">
        <v>1</v>
      </c>
      <c r="E41" s="13"/>
      <c r="F41" s="14"/>
      <c r="G41" s="14"/>
      <c r="H41" s="14"/>
      <c r="I41" s="13"/>
    </row>
    <row r="42" spans="1:9" x14ac:dyDescent="0.25">
      <c r="A42" s="11">
        <v>39</v>
      </c>
      <c r="B42" s="12" t="s">
        <v>485</v>
      </c>
      <c r="C42" s="11" t="s">
        <v>486</v>
      </c>
      <c r="D42" s="11">
        <v>4</v>
      </c>
      <c r="E42" s="11"/>
      <c r="F42" s="12"/>
      <c r="G42" s="12"/>
      <c r="H42" s="12"/>
      <c r="I42" s="11"/>
    </row>
    <row r="43" spans="1:9" x14ac:dyDescent="0.25">
      <c r="A43" s="13">
        <v>40</v>
      </c>
      <c r="B43" s="14" t="s">
        <v>487</v>
      </c>
      <c r="C43" s="13" t="s">
        <v>488</v>
      </c>
      <c r="D43" s="13">
        <v>7</v>
      </c>
      <c r="E43" s="13"/>
      <c r="F43" s="14"/>
      <c r="G43" s="14"/>
      <c r="H43" s="14"/>
      <c r="I43" s="13"/>
    </row>
    <row r="44" spans="1:9" x14ac:dyDescent="0.25">
      <c r="A44" s="11">
        <v>41</v>
      </c>
      <c r="B44" s="12" t="s">
        <v>489</v>
      </c>
      <c r="C44" s="11" t="s">
        <v>490</v>
      </c>
      <c r="D44" s="11">
        <v>3</v>
      </c>
      <c r="E44" s="11"/>
      <c r="F44" s="12"/>
      <c r="G44" s="12"/>
      <c r="H44" s="12"/>
      <c r="I44" s="11"/>
    </row>
    <row r="45" spans="1:9" x14ac:dyDescent="0.25">
      <c r="A45" s="13">
        <v>42</v>
      </c>
      <c r="B45" s="14" t="s">
        <v>491</v>
      </c>
      <c r="C45" s="13" t="s">
        <v>492</v>
      </c>
      <c r="D45" s="13">
        <v>3</v>
      </c>
      <c r="E45" s="13"/>
      <c r="F45" s="14"/>
      <c r="G45" s="14"/>
      <c r="H45" s="14"/>
      <c r="I45" s="13"/>
    </row>
    <row r="46" spans="1:9" x14ac:dyDescent="0.25">
      <c r="A46" s="11">
        <v>43</v>
      </c>
      <c r="B46" s="12" t="s">
        <v>493</v>
      </c>
      <c r="C46" s="11" t="s">
        <v>494</v>
      </c>
      <c r="D46" s="11">
        <v>3</v>
      </c>
      <c r="E46" s="11"/>
      <c r="F46" s="12"/>
      <c r="G46" s="12"/>
      <c r="H46" s="12"/>
      <c r="I46" s="11"/>
    </row>
    <row r="47" spans="1:9" x14ac:dyDescent="0.25">
      <c r="A47" s="13">
        <v>44</v>
      </c>
      <c r="B47" s="14" t="s">
        <v>495</v>
      </c>
      <c r="C47" s="13" t="s">
        <v>496</v>
      </c>
      <c r="D47" s="13">
        <v>2</v>
      </c>
      <c r="E47" s="13"/>
      <c r="F47" s="14"/>
      <c r="G47" s="14"/>
      <c r="H47" s="14"/>
      <c r="I47" s="13"/>
    </row>
    <row r="48" spans="1:9" x14ac:dyDescent="0.25">
      <c r="A48" s="11">
        <v>45</v>
      </c>
      <c r="B48" s="12" t="s">
        <v>497</v>
      </c>
      <c r="C48" s="11" t="s">
        <v>498</v>
      </c>
      <c r="D48" s="11">
        <v>14</v>
      </c>
      <c r="E48" s="11"/>
      <c r="F48" s="12"/>
      <c r="G48" s="12"/>
      <c r="H48" s="12"/>
      <c r="I48" s="11"/>
    </row>
    <row r="49" spans="1:9" x14ac:dyDescent="0.25">
      <c r="A49" s="13">
        <v>46</v>
      </c>
      <c r="B49" s="14" t="s">
        <v>499</v>
      </c>
      <c r="C49" s="13" t="s">
        <v>500</v>
      </c>
      <c r="D49" s="13">
        <v>3</v>
      </c>
      <c r="E49" s="13"/>
      <c r="F49" s="14"/>
      <c r="G49" s="14"/>
      <c r="H49" s="14"/>
      <c r="I49" s="13"/>
    </row>
    <row r="50" spans="1:9" x14ac:dyDescent="0.25">
      <c r="A50" s="8"/>
      <c r="B50" s="15"/>
      <c r="C50" s="8"/>
      <c r="D50" s="8"/>
      <c r="E50" s="8"/>
      <c r="F50" s="15"/>
      <c r="G50" s="15"/>
      <c r="H50" s="15"/>
      <c r="I50" s="8"/>
    </row>
    <row r="51" spans="1:9" x14ac:dyDescent="0.25">
      <c r="A51" s="14"/>
      <c r="B51" s="14" t="s">
        <v>882</v>
      </c>
      <c r="C51" s="14"/>
      <c r="D51" s="13">
        <f>SUM(D4:D50)</f>
        <v>1068</v>
      </c>
      <c r="E51" s="8"/>
      <c r="F51" s="14"/>
      <c r="G51" s="14" t="s">
        <v>883</v>
      </c>
      <c r="H51" s="14"/>
      <c r="I51" s="13">
        <f>D51+I32</f>
        <v>1328</v>
      </c>
    </row>
  </sheetData>
  <mergeCells count="3">
    <mergeCell ref="A1:I1"/>
    <mergeCell ref="A2:D2"/>
    <mergeCell ref="F2:I2"/>
  </mergeCells>
  <pageMargins left="0.7" right="0.7" top="0.75" bottom="0.75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628C-4ABA-4113-90AD-1B2ED53C6850}">
  <sheetPr codeName="Foglio5"/>
  <dimension ref="A1:I83"/>
  <sheetViews>
    <sheetView workbookViewId="0">
      <selection activeCell="G4" sqref="G4"/>
    </sheetView>
  </sheetViews>
  <sheetFormatPr defaultRowHeight="15" x14ac:dyDescent="0.25"/>
  <cols>
    <col min="1" max="1" width="3" bestFit="1" customWidth="1"/>
    <col min="2" max="2" width="28.85546875" bestFit="1" customWidth="1"/>
    <col min="3" max="3" width="14" bestFit="1" customWidth="1"/>
    <col min="4" max="4" width="7.85546875" bestFit="1" customWidth="1"/>
    <col min="7" max="7" width="67.42578125" bestFit="1" customWidth="1"/>
    <col min="9" max="9" width="34.7109375" bestFit="1" customWidth="1"/>
  </cols>
  <sheetData>
    <row r="1" spans="1:9" x14ac:dyDescent="0.25">
      <c r="A1" s="63" t="s">
        <v>374</v>
      </c>
      <c r="B1" s="63"/>
      <c r="C1" s="63"/>
      <c r="D1" s="63"/>
    </row>
    <row r="2" spans="1:9" x14ac:dyDescent="0.25">
      <c r="A2" s="62" t="s">
        <v>375</v>
      </c>
      <c r="B2" s="62"/>
      <c r="C2" s="62"/>
      <c r="D2" s="62"/>
    </row>
    <row r="3" spans="1:9" x14ac:dyDescent="0.25">
      <c r="A3" t="s">
        <v>377</v>
      </c>
      <c r="B3" t="s">
        <v>1</v>
      </c>
      <c r="C3" t="s">
        <v>378</v>
      </c>
      <c r="D3" t="s">
        <v>379</v>
      </c>
      <c r="I3" t="s">
        <v>518</v>
      </c>
    </row>
    <row r="4" spans="1:9" x14ac:dyDescent="0.25">
      <c r="A4">
        <v>1</v>
      </c>
      <c r="B4" t="s">
        <v>380</v>
      </c>
      <c r="C4" t="s">
        <v>381</v>
      </c>
      <c r="D4">
        <v>50</v>
      </c>
      <c r="G4" t="str">
        <f>_xlfn.CONCAT("* [[C74 ",B4,"|Il libro della ",B4,"]]")</f>
        <v>* [[C74 Genesi|Il libro della Genesi]]</v>
      </c>
      <c r="H4" t="s">
        <v>502</v>
      </c>
      <c r="I4" t="str">
        <f>_xlfn.CONCAT("&gt;&gt;&gt; [",B4,"]")</f>
        <v>&gt;&gt;&gt; [Genesi]</v>
      </c>
    </row>
    <row r="5" spans="1:9" x14ac:dyDescent="0.25">
      <c r="A5">
        <v>2</v>
      </c>
      <c r="B5" t="s">
        <v>382</v>
      </c>
      <c r="C5" t="s">
        <v>383</v>
      </c>
      <c r="D5">
        <v>40</v>
      </c>
      <c r="G5" t="str">
        <f>_xlfn.CONCAT("* [[C74 ",B5,"|Il libro dell'",B5,"]]")</f>
        <v>* [[C74 Esodo|Il libro dell'Esodo]]</v>
      </c>
      <c r="H5" t="s">
        <v>502</v>
      </c>
      <c r="I5" t="str">
        <f t="shared" ref="I5:I49" si="0">_xlfn.CONCAT("&gt;&gt;&gt; [",B5,"]")</f>
        <v>&gt;&gt;&gt; [Esodo]</v>
      </c>
    </row>
    <row r="6" spans="1:9" x14ac:dyDescent="0.25">
      <c r="A6">
        <v>3</v>
      </c>
      <c r="B6" t="s">
        <v>384</v>
      </c>
      <c r="C6" t="s">
        <v>385</v>
      </c>
      <c r="D6">
        <v>27</v>
      </c>
      <c r="G6" t="str">
        <f>_xlfn.CONCAT("* [[C74 ",B6,"|Il libro del ",B6,"]]")</f>
        <v>* [[C74 Levitico|Il libro del Levitico]]</v>
      </c>
      <c r="H6" t="s">
        <v>502</v>
      </c>
      <c r="I6" t="str">
        <f t="shared" si="0"/>
        <v>&gt;&gt;&gt; [Levitico]</v>
      </c>
    </row>
    <row r="7" spans="1:9" x14ac:dyDescent="0.25">
      <c r="A7">
        <v>4</v>
      </c>
      <c r="B7" t="s">
        <v>386</v>
      </c>
      <c r="C7" t="s">
        <v>387</v>
      </c>
      <c r="D7">
        <v>36</v>
      </c>
      <c r="G7" t="str">
        <f>_xlfn.CONCAT("* [[C74 ",B7,"|Il libro dei ",B7,"]]")</f>
        <v>* [[C74 Numeri|Il libro dei Numeri]]</v>
      </c>
      <c r="H7" t="s">
        <v>502</v>
      </c>
      <c r="I7" t="str">
        <f t="shared" si="0"/>
        <v>&gt;&gt;&gt; [Numeri]</v>
      </c>
    </row>
    <row r="8" spans="1:9" x14ac:dyDescent="0.25">
      <c r="A8">
        <v>5</v>
      </c>
      <c r="B8" t="s">
        <v>388</v>
      </c>
      <c r="C8" t="s">
        <v>389</v>
      </c>
      <c r="D8">
        <v>34</v>
      </c>
      <c r="G8" t="str">
        <f>_xlfn.CONCAT("* [[C74 ",B8,"|Il libro del ",B8,"]]")</f>
        <v>* [[C74 Deuteronomo|Il libro del Deuteronomo]]</v>
      </c>
      <c r="H8" t="s">
        <v>502</v>
      </c>
      <c r="I8" t="str">
        <f t="shared" si="0"/>
        <v>&gt;&gt;&gt; [Deuteronomo]</v>
      </c>
    </row>
    <row r="9" spans="1:9" x14ac:dyDescent="0.25">
      <c r="A9">
        <v>6</v>
      </c>
      <c r="B9" t="s">
        <v>390</v>
      </c>
      <c r="C9" t="s">
        <v>391</v>
      </c>
      <c r="D9">
        <v>24</v>
      </c>
      <c r="G9" t="str">
        <f>_xlfn.CONCAT("* [[C74 ",B9,"|",B9,"]]")</f>
        <v>* [[C74 Giosuè|Giosuè]]</v>
      </c>
      <c r="I9" t="str">
        <f t="shared" si="0"/>
        <v>&gt;&gt;&gt; [Giosuè]</v>
      </c>
    </row>
    <row r="10" spans="1:9" x14ac:dyDescent="0.25">
      <c r="A10">
        <v>7</v>
      </c>
      <c r="B10" t="s">
        <v>393</v>
      </c>
      <c r="C10" t="s">
        <v>394</v>
      </c>
      <c r="D10">
        <v>21</v>
      </c>
      <c r="G10" t="str">
        <f t="shared" ref="G10:G49" si="1">_xlfn.CONCAT("* [[C74 ",B10,"|",B10,"]]")</f>
        <v>* [[C74 Giudici|Giudici]]</v>
      </c>
      <c r="I10" t="str">
        <f t="shared" si="0"/>
        <v>&gt;&gt;&gt; [Giudici]</v>
      </c>
    </row>
    <row r="11" spans="1:9" x14ac:dyDescent="0.25">
      <c r="A11">
        <v>8</v>
      </c>
      <c r="B11" t="s">
        <v>397</v>
      </c>
      <c r="C11" t="s">
        <v>398</v>
      </c>
      <c r="D11">
        <v>4</v>
      </c>
      <c r="G11" t="str">
        <f t="shared" si="1"/>
        <v>* [[C74 Rut|Rut]]</v>
      </c>
      <c r="I11" t="str">
        <f t="shared" si="0"/>
        <v>&gt;&gt;&gt; [Rut]</v>
      </c>
    </row>
    <row r="12" spans="1:9" x14ac:dyDescent="0.25">
      <c r="A12">
        <v>9</v>
      </c>
      <c r="B12" t="s">
        <v>401</v>
      </c>
      <c r="C12" t="s">
        <v>402</v>
      </c>
      <c r="D12">
        <v>31</v>
      </c>
      <c r="G12" t="str">
        <f t="shared" si="1"/>
        <v>* [[C74 1 Samuele|1 Samuele]]</v>
      </c>
      <c r="I12" t="str">
        <f t="shared" si="0"/>
        <v>&gt;&gt;&gt; [1 Samuele]</v>
      </c>
    </row>
    <row r="13" spans="1:9" x14ac:dyDescent="0.25">
      <c r="A13">
        <v>10</v>
      </c>
      <c r="B13" t="s">
        <v>404</v>
      </c>
      <c r="C13" t="s">
        <v>405</v>
      </c>
      <c r="D13">
        <v>24</v>
      </c>
      <c r="G13" t="str">
        <f t="shared" si="1"/>
        <v>* [[C74 2 Samuele|2 Samuele]]</v>
      </c>
      <c r="I13" t="str">
        <f t="shared" si="0"/>
        <v>&gt;&gt;&gt; [2 Samuele]</v>
      </c>
    </row>
    <row r="14" spans="1:9" x14ac:dyDescent="0.25">
      <c r="A14">
        <v>11</v>
      </c>
      <c r="B14" t="s">
        <v>407</v>
      </c>
      <c r="C14" t="s">
        <v>407</v>
      </c>
      <c r="D14">
        <v>22</v>
      </c>
      <c r="G14" t="str">
        <f t="shared" si="1"/>
        <v>* [[C74 1 Re|1 Re]]</v>
      </c>
      <c r="I14" t="str">
        <f t="shared" si="0"/>
        <v>&gt;&gt;&gt; [1 Re]</v>
      </c>
    </row>
    <row r="15" spans="1:9" x14ac:dyDescent="0.25">
      <c r="A15">
        <v>12</v>
      </c>
      <c r="B15" t="s">
        <v>409</v>
      </c>
      <c r="C15" t="s">
        <v>409</v>
      </c>
      <c r="D15">
        <v>25</v>
      </c>
      <c r="G15" t="str">
        <f t="shared" si="1"/>
        <v>* [[C74 2 Re|2 Re]]</v>
      </c>
      <c r="I15" t="str">
        <f t="shared" si="0"/>
        <v>&gt;&gt;&gt; [2 Re]</v>
      </c>
    </row>
    <row r="16" spans="1:9" x14ac:dyDescent="0.25">
      <c r="A16">
        <v>13</v>
      </c>
      <c r="B16" t="s">
        <v>411</v>
      </c>
      <c r="C16" t="s">
        <v>412</v>
      </c>
      <c r="D16">
        <v>29</v>
      </c>
      <c r="G16" t="str">
        <f t="shared" si="1"/>
        <v>* [[C74 1 Cronache|1 Cronache]]</v>
      </c>
      <c r="I16" t="str">
        <f t="shared" si="0"/>
        <v>&gt;&gt;&gt; [1 Cronache]</v>
      </c>
    </row>
    <row r="17" spans="1:9" x14ac:dyDescent="0.25">
      <c r="A17">
        <v>14</v>
      </c>
      <c r="B17" t="s">
        <v>415</v>
      </c>
      <c r="C17" t="s">
        <v>416</v>
      </c>
      <c r="D17">
        <v>36</v>
      </c>
      <c r="G17" t="str">
        <f t="shared" si="1"/>
        <v>* [[C74 2 Cronache|2 Cronache]]</v>
      </c>
      <c r="I17" t="str">
        <f t="shared" si="0"/>
        <v>&gt;&gt;&gt; [2 Cronache]</v>
      </c>
    </row>
    <row r="18" spans="1:9" x14ac:dyDescent="0.25">
      <c r="A18">
        <v>15</v>
      </c>
      <c r="B18" t="s">
        <v>419</v>
      </c>
      <c r="C18" t="s">
        <v>420</v>
      </c>
      <c r="D18">
        <v>10</v>
      </c>
      <c r="G18" t="str">
        <f t="shared" si="1"/>
        <v>* [[C74 Esdra|Esdra]]</v>
      </c>
      <c r="I18" t="str">
        <f t="shared" si="0"/>
        <v>&gt;&gt;&gt; [Esdra]</v>
      </c>
    </row>
    <row r="19" spans="1:9" x14ac:dyDescent="0.25">
      <c r="A19">
        <v>16</v>
      </c>
      <c r="B19" t="s">
        <v>423</v>
      </c>
      <c r="C19" t="s">
        <v>424</v>
      </c>
      <c r="D19">
        <v>13</v>
      </c>
      <c r="G19" t="str">
        <f t="shared" si="1"/>
        <v>* [[C74 Neemia|Neemia]]</v>
      </c>
      <c r="I19" t="str">
        <f t="shared" si="0"/>
        <v>&gt;&gt;&gt; [Neemia]</v>
      </c>
    </row>
    <row r="20" spans="1:9" x14ac:dyDescent="0.25">
      <c r="A20">
        <v>17</v>
      </c>
      <c r="B20" t="s">
        <v>427</v>
      </c>
      <c r="C20" t="s">
        <v>428</v>
      </c>
      <c r="D20">
        <v>14</v>
      </c>
      <c r="G20" t="str">
        <f t="shared" si="1"/>
        <v>* [[C74 Tobia|Tobia]]</v>
      </c>
      <c r="I20" t="str">
        <f t="shared" si="0"/>
        <v>&gt;&gt;&gt; [Tobia]</v>
      </c>
    </row>
    <row r="21" spans="1:9" x14ac:dyDescent="0.25">
      <c r="A21">
        <v>18</v>
      </c>
      <c r="B21" t="s">
        <v>430</v>
      </c>
      <c r="C21" t="s">
        <v>431</v>
      </c>
      <c r="D21">
        <v>16</v>
      </c>
      <c r="G21" t="str">
        <f t="shared" si="1"/>
        <v>* [[C74 Giuditta|Giuditta]]</v>
      </c>
      <c r="I21" t="str">
        <f t="shared" si="0"/>
        <v>&gt;&gt;&gt; [Giuditta]</v>
      </c>
    </row>
    <row r="22" spans="1:9" x14ac:dyDescent="0.25">
      <c r="A22">
        <v>19</v>
      </c>
      <c r="B22" t="s">
        <v>433</v>
      </c>
      <c r="C22" t="s">
        <v>434</v>
      </c>
      <c r="D22">
        <v>10</v>
      </c>
      <c r="G22" t="str">
        <f t="shared" si="1"/>
        <v>* [[C74 Ester|Ester]]</v>
      </c>
      <c r="I22" t="str">
        <f t="shared" si="0"/>
        <v>&gt;&gt;&gt; [Ester]</v>
      </c>
    </row>
    <row r="23" spans="1:9" x14ac:dyDescent="0.25">
      <c r="A23">
        <v>20</v>
      </c>
      <c r="B23" t="s">
        <v>436</v>
      </c>
      <c r="C23" t="s">
        <v>437</v>
      </c>
      <c r="D23">
        <v>16</v>
      </c>
      <c r="G23" t="str">
        <f t="shared" si="1"/>
        <v>* [[C74 1 Maccabei|1 Maccabei]]</v>
      </c>
      <c r="I23" t="str">
        <f t="shared" si="0"/>
        <v>&gt;&gt;&gt; [1 Maccabei]</v>
      </c>
    </row>
    <row r="24" spans="1:9" x14ac:dyDescent="0.25">
      <c r="A24">
        <v>21</v>
      </c>
      <c r="B24" t="s">
        <v>438</v>
      </c>
      <c r="C24" t="s">
        <v>439</v>
      </c>
      <c r="D24">
        <v>15</v>
      </c>
      <c r="G24" t="str">
        <f t="shared" si="1"/>
        <v>* [[C74 2 Maccabei|2 Maccabei]]</v>
      </c>
      <c r="I24" t="str">
        <f t="shared" si="0"/>
        <v>&gt;&gt;&gt; [2 Maccabei]</v>
      </c>
    </row>
    <row r="25" spans="1:9" x14ac:dyDescent="0.25">
      <c r="A25">
        <v>22</v>
      </c>
      <c r="B25" t="s">
        <v>442</v>
      </c>
      <c r="C25" t="s">
        <v>443</v>
      </c>
      <c r="D25">
        <v>42</v>
      </c>
      <c r="G25" t="str">
        <f t="shared" si="1"/>
        <v>* [[C74 Giobbe|Giobbe]]</v>
      </c>
      <c r="I25" t="str">
        <f t="shared" si="0"/>
        <v>&gt;&gt;&gt; [Giobbe]</v>
      </c>
    </row>
    <row r="26" spans="1:9" x14ac:dyDescent="0.25">
      <c r="A26">
        <v>23</v>
      </c>
      <c r="B26" t="s">
        <v>446</v>
      </c>
      <c r="C26" t="s">
        <v>447</v>
      </c>
      <c r="D26">
        <v>150</v>
      </c>
      <c r="G26" t="str">
        <f t="shared" si="1"/>
        <v>* [[C74 Salmi|Salmi]]</v>
      </c>
      <c r="I26" t="str">
        <f t="shared" si="0"/>
        <v>&gt;&gt;&gt; [Salmi]</v>
      </c>
    </row>
    <row r="27" spans="1:9" x14ac:dyDescent="0.25">
      <c r="A27">
        <v>24</v>
      </c>
      <c r="B27" t="s">
        <v>450</v>
      </c>
      <c r="C27" t="s">
        <v>451</v>
      </c>
      <c r="D27">
        <v>31</v>
      </c>
      <c r="G27" t="str">
        <f t="shared" si="1"/>
        <v>* [[C74 Proverbi|Proverbi]]</v>
      </c>
      <c r="I27" t="str">
        <f t="shared" si="0"/>
        <v>&gt;&gt;&gt; [Proverbi]</v>
      </c>
    </row>
    <row r="28" spans="1:9" x14ac:dyDescent="0.25">
      <c r="A28">
        <v>25</v>
      </c>
      <c r="B28" t="s">
        <v>454</v>
      </c>
      <c r="C28" t="s">
        <v>455</v>
      </c>
      <c r="D28">
        <v>12</v>
      </c>
      <c r="G28" t="str">
        <f t="shared" si="1"/>
        <v>* [[C74 Qoelet|Qoelet]]</v>
      </c>
      <c r="I28" t="str">
        <f t="shared" si="0"/>
        <v>&gt;&gt;&gt; [Qoelet]</v>
      </c>
    </row>
    <row r="29" spans="1:9" x14ac:dyDescent="0.25">
      <c r="A29">
        <v>26</v>
      </c>
      <c r="B29" t="s">
        <v>458</v>
      </c>
      <c r="C29" t="s">
        <v>459</v>
      </c>
      <c r="D29">
        <v>8</v>
      </c>
      <c r="G29" t="str">
        <f t="shared" si="1"/>
        <v>* [[C74 Cantico|Cantico]]</v>
      </c>
      <c r="I29" t="str">
        <f t="shared" si="0"/>
        <v>&gt;&gt;&gt; [Cantico]</v>
      </c>
    </row>
    <row r="30" spans="1:9" x14ac:dyDescent="0.25">
      <c r="A30">
        <v>27</v>
      </c>
      <c r="B30" t="s">
        <v>461</v>
      </c>
      <c r="C30" t="s">
        <v>462</v>
      </c>
      <c r="D30">
        <v>19</v>
      </c>
      <c r="G30" t="str">
        <f t="shared" si="1"/>
        <v>* [[C74 Sapienza|Sapienza]]</v>
      </c>
      <c r="I30" t="str">
        <f t="shared" si="0"/>
        <v>&gt;&gt;&gt; [Sapienza]</v>
      </c>
    </row>
    <row r="31" spans="1:9" x14ac:dyDescent="0.25">
      <c r="A31">
        <v>28</v>
      </c>
      <c r="B31" t="s">
        <v>463</v>
      </c>
      <c r="C31" t="s">
        <v>464</v>
      </c>
      <c r="D31">
        <v>51</v>
      </c>
      <c r="G31" t="str">
        <f t="shared" si="1"/>
        <v>* [[C74 Siracide|Siracide]]</v>
      </c>
      <c r="I31" t="str">
        <f t="shared" si="0"/>
        <v>&gt;&gt;&gt; [Siracide]</v>
      </c>
    </row>
    <row r="32" spans="1:9" x14ac:dyDescent="0.25">
      <c r="A32">
        <v>29</v>
      </c>
      <c r="B32" t="s">
        <v>465</v>
      </c>
      <c r="C32" t="s">
        <v>466</v>
      </c>
      <c r="D32">
        <v>66</v>
      </c>
      <c r="G32" t="str">
        <f t="shared" si="1"/>
        <v>* [[C74 Isaia|Isaia]]</v>
      </c>
      <c r="I32" t="str">
        <f t="shared" si="0"/>
        <v>&gt;&gt;&gt; [Isaia]</v>
      </c>
    </row>
    <row r="33" spans="1:9" x14ac:dyDescent="0.25">
      <c r="A33">
        <v>30</v>
      </c>
      <c r="B33" t="s">
        <v>467</v>
      </c>
      <c r="C33" t="s">
        <v>468</v>
      </c>
      <c r="D33">
        <v>52</v>
      </c>
      <c r="G33" t="str">
        <f t="shared" si="1"/>
        <v>* [[C74 Geremia|Geremia]]</v>
      </c>
      <c r="I33" t="str">
        <f t="shared" si="0"/>
        <v>&gt;&gt;&gt; [Geremia]</v>
      </c>
    </row>
    <row r="34" spans="1:9" x14ac:dyDescent="0.25">
      <c r="A34">
        <v>31</v>
      </c>
      <c r="B34" t="s">
        <v>469</v>
      </c>
      <c r="C34" t="s">
        <v>470</v>
      </c>
      <c r="D34">
        <v>5</v>
      </c>
      <c r="G34" t="str">
        <f t="shared" si="1"/>
        <v>* [[C74 Lamentazioni|Lamentazioni]]</v>
      </c>
      <c r="I34" t="str">
        <f t="shared" si="0"/>
        <v>&gt;&gt;&gt; [Lamentazioni]</v>
      </c>
    </row>
    <row r="35" spans="1:9" x14ac:dyDescent="0.25">
      <c r="A35">
        <v>32</v>
      </c>
      <c r="B35" t="s">
        <v>471</v>
      </c>
      <c r="C35" t="s">
        <v>472</v>
      </c>
      <c r="D35">
        <v>6</v>
      </c>
      <c r="G35" t="str">
        <f t="shared" si="1"/>
        <v>* [[C74 Baruc|Baruc]]</v>
      </c>
      <c r="I35" t="str">
        <f t="shared" si="0"/>
        <v>&gt;&gt;&gt; [Baruc]</v>
      </c>
    </row>
    <row r="36" spans="1:9" x14ac:dyDescent="0.25">
      <c r="A36">
        <v>33</v>
      </c>
      <c r="B36" t="s">
        <v>473</v>
      </c>
      <c r="C36" t="s">
        <v>474</v>
      </c>
      <c r="D36">
        <v>48</v>
      </c>
      <c r="G36" t="str">
        <f t="shared" si="1"/>
        <v>* [[C74 Ezechiele|Ezechiele]]</v>
      </c>
      <c r="I36" t="str">
        <f t="shared" si="0"/>
        <v>&gt;&gt;&gt; [Ezechiele]</v>
      </c>
    </row>
    <row r="37" spans="1:9" x14ac:dyDescent="0.25">
      <c r="A37">
        <v>34</v>
      </c>
      <c r="B37" t="s">
        <v>475</v>
      </c>
      <c r="C37" t="s">
        <v>476</v>
      </c>
      <c r="D37">
        <v>14</v>
      </c>
      <c r="G37" t="str">
        <f t="shared" si="1"/>
        <v>* [[C74 Daniele|Daniele]]</v>
      </c>
      <c r="I37" t="str">
        <f t="shared" si="0"/>
        <v>&gt;&gt;&gt; [Daniele]</v>
      </c>
    </row>
    <row r="38" spans="1:9" x14ac:dyDescent="0.25">
      <c r="A38">
        <v>35</v>
      </c>
      <c r="B38" t="s">
        <v>477</v>
      </c>
      <c r="C38" t="s">
        <v>478</v>
      </c>
      <c r="D38">
        <v>14</v>
      </c>
      <c r="G38" t="str">
        <f t="shared" si="1"/>
        <v>* [[C74 Osea|Osea]]</v>
      </c>
      <c r="I38" t="str">
        <f t="shared" si="0"/>
        <v>&gt;&gt;&gt; [Osea]</v>
      </c>
    </row>
    <row r="39" spans="1:9" x14ac:dyDescent="0.25">
      <c r="A39">
        <v>36</v>
      </c>
      <c r="B39" t="s">
        <v>479</v>
      </c>
      <c r="C39" t="s">
        <v>480</v>
      </c>
      <c r="D39">
        <v>4</v>
      </c>
      <c r="G39" t="str">
        <f t="shared" si="1"/>
        <v>* [[C74 Gioele|Gioele]]</v>
      </c>
      <c r="I39" t="str">
        <f t="shared" si="0"/>
        <v>&gt;&gt;&gt; [Gioele]</v>
      </c>
    </row>
    <row r="40" spans="1:9" x14ac:dyDescent="0.25">
      <c r="A40">
        <v>37</v>
      </c>
      <c r="B40" t="s">
        <v>481</v>
      </c>
      <c r="C40" t="s">
        <v>482</v>
      </c>
      <c r="D40">
        <v>9</v>
      </c>
      <c r="G40" t="str">
        <f t="shared" si="1"/>
        <v>* [[C74 Amos|Amos]]</v>
      </c>
      <c r="I40" t="str">
        <f t="shared" si="0"/>
        <v>&gt;&gt;&gt; [Amos]</v>
      </c>
    </row>
    <row r="41" spans="1:9" x14ac:dyDescent="0.25">
      <c r="A41">
        <v>38</v>
      </c>
      <c r="B41" t="s">
        <v>483</v>
      </c>
      <c r="C41" t="s">
        <v>484</v>
      </c>
      <c r="D41">
        <v>1</v>
      </c>
      <c r="G41" t="str">
        <f t="shared" si="1"/>
        <v>* [[C74 Abdia|Abdia]]</v>
      </c>
      <c r="I41" t="str">
        <f t="shared" si="0"/>
        <v>&gt;&gt;&gt; [Abdia]</v>
      </c>
    </row>
    <row r="42" spans="1:9" x14ac:dyDescent="0.25">
      <c r="A42">
        <v>39</v>
      </c>
      <c r="B42" t="s">
        <v>485</v>
      </c>
      <c r="C42" t="s">
        <v>486</v>
      </c>
      <c r="D42">
        <v>4</v>
      </c>
      <c r="G42" t="str">
        <f t="shared" si="1"/>
        <v>* [[C74 Giona|Giona]]</v>
      </c>
      <c r="I42" t="str">
        <f t="shared" si="0"/>
        <v>&gt;&gt;&gt; [Giona]</v>
      </c>
    </row>
    <row r="43" spans="1:9" x14ac:dyDescent="0.25">
      <c r="A43">
        <v>40</v>
      </c>
      <c r="B43" t="s">
        <v>487</v>
      </c>
      <c r="C43" t="s">
        <v>488</v>
      </c>
      <c r="D43">
        <v>7</v>
      </c>
      <c r="G43" t="str">
        <f t="shared" si="1"/>
        <v>* [[C74 Michea|Michea]]</v>
      </c>
      <c r="I43" t="str">
        <f t="shared" si="0"/>
        <v>&gt;&gt;&gt; [Michea]</v>
      </c>
    </row>
    <row r="44" spans="1:9" x14ac:dyDescent="0.25">
      <c r="A44">
        <v>41</v>
      </c>
      <c r="B44" t="s">
        <v>489</v>
      </c>
      <c r="C44" t="s">
        <v>490</v>
      </c>
      <c r="D44">
        <v>3</v>
      </c>
      <c r="G44" t="str">
        <f t="shared" si="1"/>
        <v>* [[C74 Naum|Naum]]</v>
      </c>
      <c r="I44" t="str">
        <f t="shared" si="0"/>
        <v>&gt;&gt;&gt; [Naum]</v>
      </c>
    </row>
    <row r="45" spans="1:9" x14ac:dyDescent="0.25">
      <c r="A45">
        <v>42</v>
      </c>
      <c r="B45" t="s">
        <v>491</v>
      </c>
      <c r="C45" t="s">
        <v>492</v>
      </c>
      <c r="D45">
        <v>3</v>
      </c>
      <c r="G45" t="str">
        <f t="shared" si="1"/>
        <v>* [[C74 Abacuc|Abacuc]]</v>
      </c>
      <c r="I45" t="str">
        <f t="shared" si="0"/>
        <v>&gt;&gt;&gt; [Abacuc]</v>
      </c>
    </row>
    <row r="46" spans="1:9" x14ac:dyDescent="0.25">
      <c r="A46">
        <v>43</v>
      </c>
      <c r="B46" t="s">
        <v>493</v>
      </c>
      <c r="C46" t="s">
        <v>494</v>
      </c>
      <c r="D46">
        <v>3</v>
      </c>
      <c r="G46" t="str">
        <f t="shared" si="1"/>
        <v>* [[C74 Sofonia|Sofonia]]</v>
      </c>
      <c r="I46" t="str">
        <f t="shared" si="0"/>
        <v>&gt;&gt;&gt; [Sofonia]</v>
      </c>
    </row>
    <row r="47" spans="1:9" x14ac:dyDescent="0.25">
      <c r="A47">
        <v>44</v>
      </c>
      <c r="B47" t="s">
        <v>495</v>
      </c>
      <c r="C47" t="s">
        <v>496</v>
      </c>
      <c r="D47">
        <v>2</v>
      </c>
      <c r="G47" t="str">
        <f t="shared" si="1"/>
        <v>* [[C74 Aggeo|Aggeo]]</v>
      </c>
      <c r="I47" t="str">
        <f t="shared" si="0"/>
        <v>&gt;&gt;&gt; [Aggeo]</v>
      </c>
    </row>
    <row r="48" spans="1:9" x14ac:dyDescent="0.25">
      <c r="A48">
        <v>45</v>
      </c>
      <c r="B48" t="s">
        <v>497</v>
      </c>
      <c r="C48" t="s">
        <v>498</v>
      </c>
      <c r="D48">
        <v>14</v>
      </c>
      <c r="G48" t="str">
        <f t="shared" si="1"/>
        <v>* [[C74 Zaccaria|Zaccaria]]</v>
      </c>
      <c r="I48" t="str">
        <f t="shared" si="0"/>
        <v>&gt;&gt;&gt; [Zaccaria]</v>
      </c>
    </row>
    <row r="49" spans="1:9" x14ac:dyDescent="0.25">
      <c r="A49">
        <v>46</v>
      </c>
      <c r="B49" t="s">
        <v>499</v>
      </c>
      <c r="C49" t="s">
        <v>500</v>
      </c>
      <c r="D49">
        <v>3</v>
      </c>
      <c r="G49" t="str">
        <f t="shared" si="1"/>
        <v>* [[C74 Malachia|Malachia]]</v>
      </c>
      <c r="I49" t="str">
        <f t="shared" si="0"/>
        <v>&gt;&gt;&gt; [Malachia]</v>
      </c>
    </row>
    <row r="51" spans="1:9" x14ac:dyDescent="0.25">
      <c r="B51" t="s">
        <v>501</v>
      </c>
      <c r="D51">
        <v>1068</v>
      </c>
    </row>
    <row r="53" spans="1:9" x14ac:dyDescent="0.25">
      <c r="A53" s="62" t="s">
        <v>376</v>
      </c>
      <c r="B53" s="62"/>
      <c r="C53" s="62"/>
      <c r="D53" s="62"/>
    </row>
    <row r="54" spans="1:9" x14ac:dyDescent="0.25">
      <c r="A54" t="s">
        <v>377</v>
      </c>
      <c r="B54" t="s">
        <v>1</v>
      </c>
      <c r="C54" t="s">
        <v>378</v>
      </c>
      <c r="D54" t="s">
        <v>379</v>
      </c>
    </row>
    <row r="55" spans="1:9" x14ac:dyDescent="0.25">
      <c r="A55">
        <v>47</v>
      </c>
      <c r="B55" t="s">
        <v>2</v>
      </c>
      <c r="C55" t="s">
        <v>148</v>
      </c>
      <c r="D55">
        <v>28</v>
      </c>
      <c r="G55" t="str">
        <f>_xlfn.CONCAT("* [[C74 ",B55,"|Vangelo secondo San ",B55,"]]")</f>
        <v>* [[C74 Matteo|Vangelo secondo San Matteo]]</v>
      </c>
      <c r="I55" t="str">
        <f t="shared" ref="I55:I81" si="2">_xlfn.CONCAT("&gt;&gt;&gt; [",B55,"]")</f>
        <v>&gt;&gt;&gt; [Matteo]</v>
      </c>
    </row>
    <row r="56" spans="1:9" x14ac:dyDescent="0.25">
      <c r="A56">
        <v>48</v>
      </c>
      <c r="B56" t="s">
        <v>7</v>
      </c>
      <c r="C56" t="s">
        <v>149</v>
      </c>
      <c r="D56">
        <v>16</v>
      </c>
      <c r="G56" t="str">
        <f t="shared" ref="G56:G58" si="3">_xlfn.CONCAT("* [[C74 ",B56,"|Vangelo secondo San ",B56,"]]")</f>
        <v>* [[C74 Marco|Vangelo secondo San Marco]]</v>
      </c>
      <c r="I56" t="str">
        <f t="shared" si="2"/>
        <v>&gt;&gt;&gt; [Marco]</v>
      </c>
    </row>
    <row r="57" spans="1:9" x14ac:dyDescent="0.25">
      <c r="A57">
        <v>49</v>
      </c>
      <c r="B57" t="s">
        <v>8</v>
      </c>
      <c r="C57" t="s">
        <v>150</v>
      </c>
      <c r="D57">
        <v>24</v>
      </c>
      <c r="G57" t="str">
        <f t="shared" si="3"/>
        <v>* [[C74 Luca|Vangelo secondo San Luca]]</v>
      </c>
      <c r="I57" t="str">
        <f t="shared" si="2"/>
        <v>&gt;&gt;&gt; [Luca]</v>
      </c>
    </row>
    <row r="58" spans="1:9" x14ac:dyDescent="0.25">
      <c r="A58">
        <v>50</v>
      </c>
      <c r="B58" t="s">
        <v>9</v>
      </c>
      <c r="C58" t="s">
        <v>151</v>
      </c>
      <c r="D58">
        <v>21</v>
      </c>
      <c r="G58" t="str">
        <f t="shared" si="3"/>
        <v>* [[C74 Giovanni|Vangelo secondo San Giovanni]]</v>
      </c>
      <c r="I58" t="str">
        <f t="shared" si="2"/>
        <v>&gt;&gt;&gt; [Giovanni]</v>
      </c>
    </row>
    <row r="59" spans="1:9" x14ac:dyDescent="0.25">
      <c r="A59">
        <v>51</v>
      </c>
      <c r="B59" t="s">
        <v>10</v>
      </c>
      <c r="C59" t="s">
        <v>6</v>
      </c>
      <c r="D59">
        <v>28</v>
      </c>
      <c r="G59" t="str">
        <f>_xlfn.CONCAT("* [[C74 ",B59,"|",B59,"]]")</f>
        <v>* [[C74 Atti degli Apostoli|Atti degli Apostoli]]</v>
      </c>
      <c r="I59" t="str">
        <f t="shared" si="2"/>
        <v>&gt;&gt;&gt; [Atti degli Apostoli]</v>
      </c>
    </row>
    <row r="60" spans="1:9" x14ac:dyDescent="0.25">
      <c r="A60">
        <v>52</v>
      </c>
      <c r="B60" t="s">
        <v>392</v>
      </c>
      <c r="C60" t="s">
        <v>12</v>
      </c>
      <c r="D60">
        <v>16</v>
      </c>
      <c r="G60" t="str">
        <f t="shared" ref="G60:G81" si="4">_xlfn.CONCAT("* [[C74 ",B60,"|",B60,"]]")</f>
        <v>* [[C74 Lettera ai Romani|Lettera ai Romani]]</v>
      </c>
      <c r="I60" t="str">
        <f t="shared" si="2"/>
        <v>&gt;&gt;&gt; [Lettera ai Romani]</v>
      </c>
    </row>
    <row r="61" spans="1:9" x14ac:dyDescent="0.25">
      <c r="A61">
        <v>53</v>
      </c>
      <c r="B61" t="s">
        <v>395</v>
      </c>
      <c r="C61" t="s">
        <v>396</v>
      </c>
      <c r="D61">
        <v>16</v>
      </c>
      <c r="G61" t="str">
        <f t="shared" si="4"/>
        <v>* [[C74 Prima lettera ai Corinzi|Prima lettera ai Corinzi]]</v>
      </c>
      <c r="I61" t="str">
        <f t="shared" si="2"/>
        <v>&gt;&gt;&gt; [Prima lettera ai Corinzi]</v>
      </c>
    </row>
    <row r="62" spans="1:9" x14ac:dyDescent="0.25">
      <c r="A62">
        <v>54</v>
      </c>
      <c r="B62" t="s">
        <v>399</v>
      </c>
      <c r="C62" t="s">
        <v>400</v>
      </c>
      <c r="D62">
        <v>13</v>
      </c>
      <c r="G62" t="str">
        <f t="shared" si="4"/>
        <v>* [[C74 Seconda lettera ai Corinzi|Seconda lettera ai Corinzi]]</v>
      </c>
      <c r="I62" t="str">
        <f t="shared" si="2"/>
        <v>&gt;&gt;&gt; [Seconda lettera ai Corinzi]</v>
      </c>
    </row>
    <row r="63" spans="1:9" x14ac:dyDescent="0.25">
      <c r="A63">
        <v>55</v>
      </c>
      <c r="B63" t="s">
        <v>403</v>
      </c>
      <c r="C63" t="s">
        <v>18</v>
      </c>
      <c r="D63">
        <v>6</v>
      </c>
      <c r="G63" t="str">
        <f t="shared" si="4"/>
        <v>* [[C74 Lettera ai Galati|Lettera ai Galati]]</v>
      </c>
      <c r="I63" t="str">
        <f t="shared" si="2"/>
        <v>&gt;&gt;&gt; [Lettera ai Galati]</v>
      </c>
    </row>
    <row r="64" spans="1:9" x14ac:dyDescent="0.25">
      <c r="A64">
        <v>56</v>
      </c>
      <c r="B64" t="s">
        <v>406</v>
      </c>
      <c r="C64" t="s">
        <v>19</v>
      </c>
      <c r="D64">
        <v>6</v>
      </c>
      <c r="G64" t="str">
        <f t="shared" si="4"/>
        <v>* [[C74 Lettera agli Efesini|Lettera agli Efesini]]</v>
      </c>
      <c r="I64" t="str">
        <f t="shared" si="2"/>
        <v>&gt;&gt;&gt; [Lettera agli Efesini]</v>
      </c>
    </row>
    <row r="65" spans="1:9" x14ac:dyDescent="0.25">
      <c r="A65">
        <v>57</v>
      </c>
      <c r="B65" t="s">
        <v>408</v>
      </c>
      <c r="C65" t="s">
        <v>22</v>
      </c>
      <c r="D65">
        <v>4</v>
      </c>
      <c r="G65" t="str">
        <f t="shared" si="4"/>
        <v>* [[C74 Lettera ai Filippesi|Lettera ai Filippesi]]</v>
      </c>
      <c r="I65" t="str">
        <f t="shared" si="2"/>
        <v>&gt;&gt;&gt; [Lettera ai Filippesi]</v>
      </c>
    </row>
    <row r="66" spans="1:9" x14ac:dyDescent="0.25">
      <c r="A66">
        <v>58</v>
      </c>
      <c r="B66" t="s">
        <v>410</v>
      </c>
      <c r="C66" t="s">
        <v>23</v>
      </c>
      <c r="D66">
        <v>4</v>
      </c>
      <c r="G66" t="str">
        <f t="shared" si="4"/>
        <v>* [[C74 Lettera ai Colossesi|Lettera ai Colossesi]]</v>
      </c>
      <c r="I66" t="str">
        <f t="shared" si="2"/>
        <v>&gt;&gt;&gt; [Lettera ai Colossesi]</v>
      </c>
    </row>
    <row r="67" spans="1:9" x14ac:dyDescent="0.25">
      <c r="A67">
        <v>59</v>
      </c>
      <c r="B67" t="s">
        <v>413</v>
      </c>
      <c r="C67" t="s">
        <v>414</v>
      </c>
      <c r="D67">
        <v>5</v>
      </c>
      <c r="G67" t="str">
        <f t="shared" si="4"/>
        <v>* [[C74 Prima lettera ai Tessalonicesi|Prima lettera ai Tessalonicesi]]</v>
      </c>
      <c r="I67" t="str">
        <f t="shared" si="2"/>
        <v>&gt;&gt;&gt; [Prima lettera ai Tessalonicesi]</v>
      </c>
    </row>
    <row r="68" spans="1:9" x14ac:dyDescent="0.25">
      <c r="A68">
        <v>60</v>
      </c>
      <c r="B68" t="s">
        <v>417</v>
      </c>
      <c r="C68" t="s">
        <v>418</v>
      </c>
      <c r="D68">
        <v>3</v>
      </c>
      <c r="G68" t="str">
        <f t="shared" si="4"/>
        <v>* [[C74 Seconda lettera ai Tessalonicesi|Seconda lettera ai Tessalonicesi]]</v>
      </c>
      <c r="I68" t="str">
        <f t="shared" si="2"/>
        <v>&gt;&gt;&gt; [Seconda lettera ai Tessalonicesi]</v>
      </c>
    </row>
    <row r="69" spans="1:9" x14ac:dyDescent="0.25">
      <c r="A69">
        <v>61</v>
      </c>
      <c r="B69" t="s">
        <v>421</v>
      </c>
      <c r="C69" t="s">
        <v>422</v>
      </c>
      <c r="D69">
        <v>6</v>
      </c>
      <c r="G69" t="str">
        <f t="shared" si="4"/>
        <v>* [[C74 Prima lettera a Timoteo|Prima lettera a Timoteo]]</v>
      </c>
      <c r="I69" t="str">
        <f t="shared" si="2"/>
        <v>&gt;&gt;&gt; [Prima lettera a Timoteo]</v>
      </c>
    </row>
    <row r="70" spans="1:9" x14ac:dyDescent="0.25">
      <c r="A70">
        <v>62</v>
      </c>
      <c r="B70" t="s">
        <v>425</v>
      </c>
      <c r="C70" t="s">
        <v>426</v>
      </c>
      <c r="D70">
        <v>4</v>
      </c>
      <c r="G70" t="str">
        <f t="shared" si="4"/>
        <v>* [[C74 Seconda lettera a Timoteo|Seconda lettera a Timoteo]]</v>
      </c>
      <c r="I70" t="str">
        <f t="shared" si="2"/>
        <v>&gt;&gt;&gt; [Seconda lettera a Timoteo]</v>
      </c>
    </row>
    <row r="71" spans="1:9" x14ac:dyDescent="0.25">
      <c r="A71">
        <v>63</v>
      </c>
      <c r="B71" t="s">
        <v>429</v>
      </c>
      <c r="C71" t="s">
        <v>34</v>
      </c>
      <c r="D71">
        <v>3</v>
      </c>
      <c r="G71" t="str">
        <f t="shared" si="4"/>
        <v>* [[C74 Lettera a Tito|Lettera a Tito]]</v>
      </c>
      <c r="I71" t="str">
        <f t="shared" si="2"/>
        <v>&gt;&gt;&gt; [Lettera a Tito]</v>
      </c>
    </row>
    <row r="72" spans="1:9" x14ac:dyDescent="0.25">
      <c r="A72">
        <v>64</v>
      </c>
      <c r="B72" t="s">
        <v>432</v>
      </c>
      <c r="C72" t="s">
        <v>36</v>
      </c>
      <c r="D72">
        <v>1</v>
      </c>
      <c r="G72" t="str">
        <f t="shared" si="4"/>
        <v>* [[C74 Lettera a Filemone|Lettera a Filemone]]</v>
      </c>
      <c r="I72" t="str">
        <f t="shared" si="2"/>
        <v>&gt;&gt;&gt; [Lettera a Filemone]</v>
      </c>
    </row>
    <row r="73" spans="1:9" x14ac:dyDescent="0.25">
      <c r="A73">
        <v>65</v>
      </c>
      <c r="B73" t="s">
        <v>435</v>
      </c>
      <c r="C73" t="s">
        <v>37</v>
      </c>
      <c r="D73">
        <v>13</v>
      </c>
      <c r="G73" t="str">
        <f t="shared" si="4"/>
        <v>* [[C74 Lettera agli Ebrei|Lettera agli Ebrei]]</v>
      </c>
      <c r="I73" t="str">
        <f t="shared" si="2"/>
        <v>&gt;&gt;&gt; [Lettera agli Ebrei]</v>
      </c>
    </row>
    <row r="74" spans="1:9" x14ac:dyDescent="0.25">
      <c r="A74">
        <v>66</v>
      </c>
      <c r="B74" t="s">
        <v>38</v>
      </c>
      <c r="C74" t="s">
        <v>39</v>
      </c>
      <c r="D74">
        <v>5</v>
      </c>
      <c r="G74" t="str">
        <f t="shared" si="4"/>
        <v>* [[C74 Lettera di Giacomo|Lettera di Giacomo]]</v>
      </c>
      <c r="I74" t="str">
        <f t="shared" si="2"/>
        <v>&gt;&gt;&gt; [Lettera di Giacomo]</v>
      </c>
    </row>
    <row r="75" spans="1:9" x14ac:dyDescent="0.25">
      <c r="A75">
        <v>67</v>
      </c>
      <c r="B75" t="s">
        <v>440</v>
      </c>
      <c r="C75" t="s">
        <v>441</v>
      </c>
      <c r="D75">
        <v>5</v>
      </c>
      <c r="G75" t="str">
        <f t="shared" si="4"/>
        <v>* [[C74 Prima lettera di Pietro|Prima lettera di Pietro]]</v>
      </c>
      <c r="I75" t="str">
        <f t="shared" si="2"/>
        <v>&gt;&gt;&gt; [Prima lettera di Pietro]</v>
      </c>
    </row>
    <row r="76" spans="1:9" x14ac:dyDescent="0.25">
      <c r="A76">
        <v>68</v>
      </c>
      <c r="B76" t="s">
        <v>444</v>
      </c>
      <c r="C76" t="s">
        <v>445</v>
      </c>
      <c r="D76">
        <v>3</v>
      </c>
      <c r="G76" t="str">
        <f t="shared" si="4"/>
        <v>* [[C74 Seconda lettera di Pietro|Seconda lettera di Pietro]]</v>
      </c>
      <c r="I76" t="str">
        <f t="shared" si="2"/>
        <v>&gt;&gt;&gt; [Seconda lettera di Pietro]</v>
      </c>
    </row>
    <row r="77" spans="1:9" x14ac:dyDescent="0.25">
      <c r="A77">
        <v>69</v>
      </c>
      <c r="B77" t="s">
        <v>448</v>
      </c>
      <c r="C77" t="s">
        <v>449</v>
      </c>
      <c r="D77">
        <v>5</v>
      </c>
      <c r="G77" t="str">
        <f t="shared" si="4"/>
        <v>* [[C74 Prima lettera di Giovanni|Prima lettera di Giovanni]]</v>
      </c>
      <c r="I77" t="str">
        <f t="shared" si="2"/>
        <v>&gt;&gt;&gt; [Prima lettera di Giovanni]</v>
      </c>
    </row>
    <row r="78" spans="1:9" x14ac:dyDescent="0.25">
      <c r="A78">
        <v>70</v>
      </c>
      <c r="B78" t="s">
        <v>452</v>
      </c>
      <c r="C78" t="s">
        <v>453</v>
      </c>
      <c r="D78">
        <v>1</v>
      </c>
      <c r="G78" t="str">
        <f t="shared" si="4"/>
        <v>* [[C74 Seconda lettera di Giovanni|Seconda lettera di Giovanni]]</v>
      </c>
      <c r="I78" t="str">
        <f t="shared" si="2"/>
        <v>&gt;&gt;&gt; [Seconda lettera di Giovanni]</v>
      </c>
    </row>
    <row r="79" spans="1:9" x14ac:dyDescent="0.25">
      <c r="A79">
        <v>71</v>
      </c>
      <c r="B79" t="s">
        <v>456</v>
      </c>
      <c r="C79" t="s">
        <v>457</v>
      </c>
      <c r="D79">
        <v>1</v>
      </c>
      <c r="G79" t="str">
        <f t="shared" si="4"/>
        <v>* [[C74 Terza lettera di Giovanni|Terza lettera di Giovanni]]</v>
      </c>
      <c r="I79" t="str">
        <f t="shared" si="2"/>
        <v>&gt;&gt;&gt; [Terza lettera di Giovanni]</v>
      </c>
    </row>
    <row r="80" spans="1:9" x14ac:dyDescent="0.25">
      <c r="A80">
        <v>72</v>
      </c>
      <c r="B80" t="s">
        <v>460</v>
      </c>
      <c r="C80" t="s">
        <v>53</v>
      </c>
      <c r="D80">
        <v>1</v>
      </c>
      <c r="G80" t="str">
        <f t="shared" si="4"/>
        <v>* [[C74 Lettera di Giuda|Lettera di Giuda]]</v>
      </c>
      <c r="I80" t="str">
        <f t="shared" si="2"/>
        <v>&gt;&gt;&gt; [Lettera di Giuda]</v>
      </c>
    </row>
    <row r="81" spans="1:9" x14ac:dyDescent="0.25">
      <c r="A81">
        <v>73</v>
      </c>
      <c r="B81" t="s">
        <v>50</v>
      </c>
      <c r="C81" t="s">
        <v>51</v>
      </c>
      <c r="D81">
        <v>22</v>
      </c>
      <c r="G81" t="str">
        <f t="shared" si="4"/>
        <v>* [[C74 Apocalisse|Apocalisse]]</v>
      </c>
      <c r="I81" t="str">
        <f t="shared" si="2"/>
        <v>&gt;&gt;&gt; [Apocalisse]</v>
      </c>
    </row>
    <row r="83" spans="1:9" x14ac:dyDescent="0.25">
      <c r="B83" t="s">
        <v>884</v>
      </c>
      <c r="D83">
        <v>260</v>
      </c>
    </row>
  </sheetData>
  <mergeCells count="3">
    <mergeCell ref="A2:D2"/>
    <mergeCell ref="A1:D1"/>
    <mergeCell ref="A53:D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FA6D-68D2-4306-B99C-3F1FD790BF65}">
  <sheetPr codeName="Foglio6"/>
  <dimension ref="A1:V1330"/>
  <sheetViews>
    <sheetView workbookViewId="0">
      <pane ySplit="1" topLeftCell="A2" activePane="bottomLeft" state="frozen"/>
      <selection pane="bottomLeft" activeCell="K12" sqref="K12"/>
    </sheetView>
  </sheetViews>
  <sheetFormatPr defaultColWidth="232.7109375" defaultRowHeight="15.75" x14ac:dyDescent="0.25"/>
  <cols>
    <col min="1" max="1" width="9.5703125" style="18" customWidth="1"/>
    <col min="2" max="2" width="12.42578125" style="18" customWidth="1"/>
    <col min="3" max="3" width="17.5703125" style="18" customWidth="1"/>
    <col min="4" max="4" width="24.140625" style="18" customWidth="1"/>
    <col min="5" max="5" width="11" style="18" bestFit="1" customWidth="1"/>
    <col min="6" max="6" width="9.140625" style="19" bestFit="1" customWidth="1"/>
    <col min="7" max="7" width="9.7109375" style="19" bestFit="1" customWidth="1"/>
    <col min="8" max="8" width="13.140625" style="19" bestFit="1" customWidth="1"/>
    <col min="9" max="9" width="13" style="19" bestFit="1" customWidth="1"/>
    <col min="10" max="10" width="13.5703125" style="19" bestFit="1" customWidth="1"/>
    <col min="11" max="14" width="95.28515625" style="19" bestFit="1" customWidth="1"/>
    <col min="15" max="15" width="109" style="19" bestFit="1" customWidth="1"/>
    <col min="16" max="18" width="10" style="19" customWidth="1"/>
    <col min="19" max="19" width="8.85546875" style="19" customWidth="1"/>
    <col min="20" max="20" width="12.5703125" style="19" customWidth="1"/>
    <col min="21" max="21" width="9.42578125" style="19" customWidth="1"/>
    <col min="22" max="22" width="12" style="19" customWidth="1"/>
    <col min="23" max="16384" width="232.7109375" style="19"/>
  </cols>
  <sheetData>
    <row r="1" spans="1:22" s="24" customFormat="1" ht="70.5" customHeight="1" x14ac:dyDescent="0.2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56</v>
      </c>
      <c r="K1" s="26" t="s">
        <v>903</v>
      </c>
      <c r="L1" s="26" t="s">
        <v>5</v>
      </c>
      <c r="M1" s="26" t="s">
        <v>3</v>
      </c>
      <c r="N1" s="26" t="s">
        <v>4</v>
      </c>
      <c r="O1" s="26" t="s">
        <v>899</v>
      </c>
      <c r="P1" s="26" t="s">
        <v>366</v>
      </c>
      <c r="Q1" s="26" t="s">
        <v>904</v>
      </c>
      <c r="R1" s="26" t="s">
        <v>368</v>
      </c>
      <c r="S1" s="26" t="s">
        <v>900</v>
      </c>
      <c r="T1" s="26" t="s">
        <v>370</v>
      </c>
      <c r="U1" s="26" t="s">
        <v>901</v>
      </c>
      <c r="V1" s="26" t="s">
        <v>902</v>
      </c>
    </row>
    <row r="2" spans="1:22" s="49" customFormat="1" x14ac:dyDescent="0.25">
      <c r="A2" s="48">
        <v>1</v>
      </c>
      <c r="B2" s="48" t="s">
        <v>505</v>
      </c>
      <c r="C2" s="48" t="s">
        <v>508</v>
      </c>
      <c r="D2" s="48" t="s">
        <v>380</v>
      </c>
      <c r="E2" s="48" t="s">
        <v>381</v>
      </c>
      <c r="F2" s="49">
        <v>1</v>
      </c>
      <c r="G2" s="49">
        <v>31</v>
      </c>
      <c r="J2" s="49">
        <v>1</v>
      </c>
      <c r="K2" s="57" t="s">
        <v>907</v>
      </c>
      <c r="L2" s="57" t="s">
        <v>905</v>
      </c>
      <c r="M2" s="57" t="s">
        <v>905</v>
      </c>
      <c r="N2" s="57" t="s">
        <v>905</v>
      </c>
      <c r="O2" s="57" t="s">
        <v>906</v>
      </c>
    </row>
    <row r="3" spans="1:22" s="49" customFormat="1" x14ac:dyDescent="0.25">
      <c r="A3" s="48">
        <v>1</v>
      </c>
      <c r="B3" s="48" t="s">
        <v>505</v>
      </c>
      <c r="C3" s="48" t="s">
        <v>508</v>
      </c>
      <c r="D3" s="48" t="s">
        <v>380</v>
      </c>
      <c r="E3" s="48" t="s">
        <v>381</v>
      </c>
      <c r="F3" s="49">
        <v>2</v>
      </c>
      <c r="G3" s="49">
        <v>25</v>
      </c>
      <c r="J3" s="49">
        <v>2</v>
      </c>
      <c r="K3" s="57" t="s">
        <v>907</v>
      </c>
    </row>
    <row r="4" spans="1:22" s="49" customFormat="1" x14ac:dyDescent="0.25">
      <c r="A4" s="48">
        <v>1</v>
      </c>
      <c r="B4" s="48" t="s">
        <v>505</v>
      </c>
      <c r="C4" s="48" t="s">
        <v>508</v>
      </c>
      <c r="D4" s="48" t="s">
        <v>380</v>
      </c>
      <c r="E4" s="48" t="s">
        <v>381</v>
      </c>
      <c r="F4" s="49">
        <v>3</v>
      </c>
      <c r="G4" s="49">
        <v>24</v>
      </c>
      <c r="J4" s="49">
        <v>3</v>
      </c>
      <c r="K4" s="57" t="s">
        <v>907</v>
      </c>
    </row>
    <row r="5" spans="1:22" s="49" customFormat="1" x14ac:dyDescent="0.25">
      <c r="A5" s="48">
        <v>1</v>
      </c>
      <c r="B5" s="48" t="s">
        <v>505</v>
      </c>
      <c r="C5" s="48" t="s">
        <v>508</v>
      </c>
      <c r="D5" s="48" t="s">
        <v>380</v>
      </c>
      <c r="E5" s="48" t="s">
        <v>381</v>
      </c>
      <c r="F5" s="49">
        <v>4</v>
      </c>
      <c r="G5" s="49">
        <v>26</v>
      </c>
      <c r="J5" s="49">
        <v>4</v>
      </c>
      <c r="K5" s="57" t="s">
        <v>907</v>
      </c>
    </row>
    <row r="6" spans="1:22" s="49" customFormat="1" ht="15" x14ac:dyDescent="0.25">
      <c r="A6" s="48">
        <v>1</v>
      </c>
      <c r="B6" s="48" t="s">
        <v>505</v>
      </c>
      <c r="C6" s="48" t="s">
        <v>508</v>
      </c>
      <c r="D6" s="48" t="s">
        <v>380</v>
      </c>
      <c r="E6" s="48" t="s">
        <v>381</v>
      </c>
      <c r="F6" s="49">
        <v>5</v>
      </c>
      <c r="G6" s="49">
        <v>32</v>
      </c>
      <c r="J6" s="49">
        <v>5</v>
      </c>
      <c r="K6" s="58" t="s">
        <v>908</v>
      </c>
    </row>
    <row r="7" spans="1:22" s="49" customFormat="1" x14ac:dyDescent="0.25">
      <c r="A7" s="48">
        <v>1</v>
      </c>
      <c r="B7" s="48" t="s">
        <v>505</v>
      </c>
      <c r="C7" s="48" t="s">
        <v>508</v>
      </c>
      <c r="D7" s="48" t="s">
        <v>380</v>
      </c>
      <c r="E7" s="48" t="s">
        <v>381</v>
      </c>
      <c r="F7" s="49">
        <v>6</v>
      </c>
      <c r="G7" s="49">
        <v>22</v>
      </c>
      <c r="J7" s="49">
        <v>6</v>
      </c>
      <c r="K7" s="57" t="s">
        <v>907</v>
      </c>
    </row>
    <row r="8" spans="1:22" s="49" customFormat="1" x14ac:dyDescent="0.25">
      <c r="A8" s="48">
        <v>1</v>
      </c>
      <c r="B8" s="48" t="s">
        <v>505</v>
      </c>
      <c r="C8" s="48" t="s">
        <v>508</v>
      </c>
      <c r="D8" s="48" t="s">
        <v>380</v>
      </c>
      <c r="E8" s="48" t="s">
        <v>381</v>
      </c>
      <c r="F8" s="49">
        <v>7</v>
      </c>
      <c r="G8" s="49">
        <v>24</v>
      </c>
      <c r="J8" s="49">
        <v>7</v>
      </c>
      <c r="K8" s="57" t="s">
        <v>907</v>
      </c>
    </row>
    <row r="9" spans="1:22" s="49" customFormat="1" x14ac:dyDescent="0.25">
      <c r="A9" s="48">
        <v>1</v>
      </c>
      <c r="B9" s="48" t="s">
        <v>505</v>
      </c>
      <c r="C9" s="48" t="s">
        <v>508</v>
      </c>
      <c r="D9" s="48" t="s">
        <v>380</v>
      </c>
      <c r="E9" s="48" t="s">
        <v>381</v>
      </c>
      <c r="F9" s="49">
        <v>8</v>
      </c>
      <c r="G9" s="49">
        <v>22</v>
      </c>
      <c r="J9" s="49">
        <v>8</v>
      </c>
      <c r="K9" s="57" t="s">
        <v>907</v>
      </c>
    </row>
    <row r="10" spans="1:22" s="49" customFormat="1" x14ac:dyDescent="0.25">
      <c r="A10" s="48">
        <v>1</v>
      </c>
      <c r="B10" s="48" t="s">
        <v>505</v>
      </c>
      <c r="C10" s="48" t="s">
        <v>508</v>
      </c>
      <c r="D10" s="48" t="s">
        <v>380</v>
      </c>
      <c r="E10" s="48" t="s">
        <v>381</v>
      </c>
      <c r="F10" s="49">
        <v>9</v>
      </c>
      <c r="G10" s="49">
        <v>29</v>
      </c>
      <c r="J10" s="49">
        <v>9</v>
      </c>
      <c r="K10" s="57" t="s">
        <v>907</v>
      </c>
    </row>
    <row r="11" spans="1:22" s="49" customFormat="1" x14ac:dyDescent="0.25">
      <c r="A11" s="48">
        <v>1</v>
      </c>
      <c r="B11" s="48" t="s">
        <v>505</v>
      </c>
      <c r="C11" s="48" t="s">
        <v>508</v>
      </c>
      <c r="D11" s="48" t="s">
        <v>380</v>
      </c>
      <c r="E11" s="48" t="s">
        <v>381</v>
      </c>
      <c r="F11" s="49">
        <v>10</v>
      </c>
      <c r="G11" s="49">
        <v>32</v>
      </c>
      <c r="J11" s="49">
        <v>10</v>
      </c>
      <c r="K11" s="57" t="s">
        <v>907</v>
      </c>
    </row>
    <row r="12" spans="1:22" s="49" customFormat="1" x14ac:dyDescent="0.25">
      <c r="A12" s="48">
        <v>1</v>
      </c>
      <c r="B12" s="48" t="s">
        <v>505</v>
      </c>
      <c r="C12" s="48" t="s">
        <v>508</v>
      </c>
      <c r="D12" s="48" t="s">
        <v>380</v>
      </c>
      <c r="E12" s="48" t="s">
        <v>381</v>
      </c>
      <c r="F12" s="49">
        <v>11</v>
      </c>
      <c r="G12" s="49">
        <v>32</v>
      </c>
      <c r="J12" s="49">
        <v>11</v>
      </c>
      <c r="K12" s="57" t="s">
        <v>907</v>
      </c>
    </row>
    <row r="13" spans="1:22" s="49" customFormat="1" ht="15" x14ac:dyDescent="0.25">
      <c r="A13" s="48">
        <v>1</v>
      </c>
      <c r="B13" s="48" t="s">
        <v>505</v>
      </c>
      <c r="C13" s="48" t="s">
        <v>508</v>
      </c>
      <c r="D13" s="48" t="s">
        <v>380</v>
      </c>
      <c r="E13" s="48" t="s">
        <v>381</v>
      </c>
      <c r="F13" s="49">
        <v>12</v>
      </c>
      <c r="G13" s="49">
        <v>20</v>
      </c>
      <c r="J13" s="49">
        <v>12</v>
      </c>
    </row>
    <row r="14" spans="1:22" s="49" customFormat="1" ht="15" x14ac:dyDescent="0.25">
      <c r="A14" s="48">
        <v>1</v>
      </c>
      <c r="B14" s="48" t="s">
        <v>505</v>
      </c>
      <c r="C14" s="48" t="s">
        <v>508</v>
      </c>
      <c r="D14" s="48" t="s">
        <v>380</v>
      </c>
      <c r="E14" s="48" t="s">
        <v>381</v>
      </c>
      <c r="F14" s="49">
        <v>13</v>
      </c>
      <c r="G14" s="49">
        <v>18</v>
      </c>
      <c r="J14" s="49">
        <v>13</v>
      </c>
    </row>
    <row r="15" spans="1:22" s="49" customFormat="1" ht="15" x14ac:dyDescent="0.25">
      <c r="A15" s="48">
        <v>1</v>
      </c>
      <c r="B15" s="48" t="s">
        <v>505</v>
      </c>
      <c r="C15" s="48" t="s">
        <v>508</v>
      </c>
      <c r="D15" s="48" t="s">
        <v>380</v>
      </c>
      <c r="E15" s="48" t="s">
        <v>381</v>
      </c>
      <c r="F15" s="49">
        <v>14</v>
      </c>
      <c r="G15" s="49">
        <v>24</v>
      </c>
      <c r="J15" s="49">
        <v>14</v>
      </c>
    </row>
    <row r="16" spans="1:22" s="49" customFormat="1" ht="15" x14ac:dyDescent="0.25">
      <c r="A16" s="48">
        <v>1</v>
      </c>
      <c r="B16" s="48" t="s">
        <v>505</v>
      </c>
      <c r="C16" s="48" t="s">
        <v>508</v>
      </c>
      <c r="D16" s="48" t="s">
        <v>380</v>
      </c>
      <c r="E16" s="48" t="s">
        <v>381</v>
      </c>
      <c r="F16" s="49">
        <v>15</v>
      </c>
      <c r="G16" s="49">
        <v>21</v>
      </c>
      <c r="J16" s="49">
        <v>15</v>
      </c>
    </row>
    <row r="17" spans="1:10" s="49" customFormat="1" ht="15" x14ac:dyDescent="0.25">
      <c r="A17" s="48">
        <v>1</v>
      </c>
      <c r="B17" s="48" t="s">
        <v>505</v>
      </c>
      <c r="C17" s="48" t="s">
        <v>508</v>
      </c>
      <c r="D17" s="48" t="s">
        <v>380</v>
      </c>
      <c r="E17" s="48" t="s">
        <v>381</v>
      </c>
      <c r="F17" s="49">
        <v>16</v>
      </c>
      <c r="G17" s="49">
        <v>16</v>
      </c>
      <c r="J17" s="49">
        <v>16</v>
      </c>
    </row>
    <row r="18" spans="1:10" s="49" customFormat="1" ht="15" x14ac:dyDescent="0.25">
      <c r="A18" s="48">
        <v>1</v>
      </c>
      <c r="B18" s="48" t="s">
        <v>505</v>
      </c>
      <c r="C18" s="48" t="s">
        <v>508</v>
      </c>
      <c r="D18" s="48" t="s">
        <v>380</v>
      </c>
      <c r="E18" s="48" t="s">
        <v>381</v>
      </c>
      <c r="F18" s="49">
        <v>17</v>
      </c>
      <c r="G18" s="49">
        <v>27</v>
      </c>
      <c r="J18" s="49">
        <v>17</v>
      </c>
    </row>
    <row r="19" spans="1:10" s="49" customFormat="1" ht="15" x14ac:dyDescent="0.25">
      <c r="A19" s="48">
        <v>1</v>
      </c>
      <c r="B19" s="48" t="s">
        <v>505</v>
      </c>
      <c r="C19" s="48" t="s">
        <v>508</v>
      </c>
      <c r="D19" s="48" t="s">
        <v>380</v>
      </c>
      <c r="E19" s="48" t="s">
        <v>381</v>
      </c>
      <c r="F19" s="49">
        <v>18</v>
      </c>
      <c r="G19" s="49">
        <v>33</v>
      </c>
      <c r="J19" s="49">
        <v>18</v>
      </c>
    </row>
    <row r="20" spans="1:10" s="49" customFormat="1" ht="15" x14ac:dyDescent="0.25">
      <c r="A20" s="48">
        <v>1</v>
      </c>
      <c r="B20" s="48" t="s">
        <v>505</v>
      </c>
      <c r="C20" s="48" t="s">
        <v>508</v>
      </c>
      <c r="D20" s="48" t="s">
        <v>380</v>
      </c>
      <c r="E20" s="48" t="s">
        <v>381</v>
      </c>
      <c r="F20" s="49">
        <v>19</v>
      </c>
      <c r="G20" s="49">
        <v>38</v>
      </c>
      <c r="J20" s="49">
        <v>19</v>
      </c>
    </row>
    <row r="21" spans="1:10" s="49" customFormat="1" ht="15" x14ac:dyDescent="0.25">
      <c r="A21" s="48">
        <v>1</v>
      </c>
      <c r="B21" s="48" t="s">
        <v>505</v>
      </c>
      <c r="C21" s="48" t="s">
        <v>508</v>
      </c>
      <c r="D21" s="48" t="s">
        <v>380</v>
      </c>
      <c r="E21" s="48" t="s">
        <v>381</v>
      </c>
      <c r="F21" s="49">
        <v>20</v>
      </c>
      <c r="G21" s="49">
        <v>18</v>
      </c>
      <c r="J21" s="49">
        <v>20</v>
      </c>
    </row>
    <row r="22" spans="1:10" s="49" customFormat="1" ht="15" x14ac:dyDescent="0.25">
      <c r="A22" s="48">
        <v>1</v>
      </c>
      <c r="B22" s="48" t="s">
        <v>505</v>
      </c>
      <c r="C22" s="48" t="s">
        <v>508</v>
      </c>
      <c r="D22" s="48" t="s">
        <v>380</v>
      </c>
      <c r="E22" s="48" t="s">
        <v>381</v>
      </c>
      <c r="F22" s="49">
        <v>21</v>
      </c>
      <c r="G22" s="49">
        <v>34</v>
      </c>
      <c r="J22" s="49">
        <v>21</v>
      </c>
    </row>
    <row r="23" spans="1:10" s="49" customFormat="1" ht="15" x14ac:dyDescent="0.25">
      <c r="A23" s="48">
        <v>1</v>
      </c>
      <c r="B23" s="48" t="s">
        <v>505</v>
      </c>
      <c r="C23" s="48" t="s">
        <v>508</v>
      </c>
      <c r="D23" s="48" t="s">
        <v>380</v>
      </c>
      <c r="E23" s="48" t="s">
        <v>381</v>
      </c>
      <c r="F23" s="49">
        <v>22</v>
      </c>
      <c r="G23" s="49">
        <v>24</v>
      </c>
      <c r="J23" s="49">
        <v>22</v>
      </c>
    </row>
    <row r="24" spans="1:10" s="49" customFormat="1" ht="15" x14ac:dyDescent="0.25">
      <c r="A24" s="48">
        <v>1</v>
      </c>
      <c r="B24" s="48" t="s">
        <v>505</v>
      </c>
      <c r="C24" s="48" t="s">
        <v>508</v>
      </c>
      <c r="D24" s="48" t="s">
        <v>380</v>
      </c>
      <c r="E24" s="48" t="s">
        <v>381</v>
      </c>
      <c r="F24" s="49">
        <v>23</v>
      </c>
      <c r="G24" s="49">
        <v>20</v>
      </c>
      <c r="J24" s="49">
        <v>23</v>
      </c>
    </row>
    <row r="25" spans="1:10" s="49" customFormat="1" ht="15" x14ac:dyDescent="0.25">
      <c r="A25" s="48">
        <v>1</v>
      </c>
      <c r="B25" s="48" t="s">
        <v>505</v>
      </c>
      <c r="C25" s="48" t="s">
        <v>508</v>
      </c>
      <c r="D25" s="48" t="s">
        <v>380</v>
      </c>
      <c r="E25" s="48" t="s">
        <v>381</v>
      </c>
      <c r="F25" s="49">
        <v>24</v>
      </c>
      <c r="G25" s="49">
        <v>67</v>
      </c>
      <c r="J25" s="49">
        <v>24</v>
      </c>
    </row>
    <row r="26" spans="1:10" s="49" customFormat="1" ht="15" x14ac:dyDescent="0.25">
      <c r="A26" s="48">
        <v>1</v>
      </c>
      <c r="B26" s="48" t="s">
        <v>505</v>
      </c>
      <c r="C26" s="48" t="s">
        <v>508</v>
      </c>
      <c r="D26" s="48" t="s">
        <v>380</v>
      </c>
      <c r="E26" s="48" t="s">
        <v>381</v>
      </c>
      <c r="F26" s="49">
        <v>25</v>
      </c>
      <c r="G26" s="49">
        <v>34</v>
      </c>
      <c r="J26" s="49">
        <v>25</v>
      </c>
    </row>
    <row r="27" spans="1:10" s="49" customFormat="1" ht="15" x14ac:dyDescent="0.25">
      <c r="A27" s="48">
        <v>1</v>
      </c>
      <c r="B27" s="48" t="s">
        <v>505</v>
      </c>
      <c r="C27" s="48" t="s">
        <v>508</v>
      </c>
      <c r="D27" s="48" t="s">
        <v>380</v>
      </c>
      <c r="E27" s="48" t="s">
        <v>381</v>
      </c>
      <c r="F27" s="49">
        <v>26</v>
      </c>
      <c r="G27" s="49">
        <v>35</v>
      </c>
      <c r="J27" s="49">
        <v>26</v>
      </c>
    </row>
    <row r="28" spans="1:10" s="49" customFormat="1" ht="15" x14ac:dyDescent="0.25">
      <c r="A28" s="48">
        <v>1</v>
      </c>
      <c r="B28" s="48" t="s">
        <v>505</v>
      </c>
      <c r="C28" s="48" t="s">
        <v>508</v>
      </c>
      <c r="D28" s="48" t="s">
        <v>380</v>
      </c>
      <c r="E28" s="48" t="s">
        <v>381</v>
      </c>
      <c r="F28" s="49">
        <v>27</v>
      </c>
      <c r="G28" s="49">
        <v>46</v>
      </c>
      <c r="J28" s="49">
        <v>27</v>
      </c>
    </row>
    <row r="29" spans="1:10" s="49" customFormat="1" ht="15" x14ac:dyDescent="0.25">
      <c r="A29" s="48">
        <v>1</v>
      </c>
      <c r="B29" s="48" t="s">
        <v>505</v>
      </c>
      <c r="C29" s="48" t="s">
        <v>508</v>
      </c>
      <c r="D29" s="48" t="s">
        <v>380</v>
      </c>
      <c r="E29" s="48" t="s">
        <v>381</v>
      </c>
      <c r="F29" s="49">
        <v>28</v>
      </c>
      <c r="G29" s="49">
        <v>22</v>
      </c>
      <c r="J29" s="49">
        <v>28</v>
      </c>
    </row>
    <row r="30" spans="1:10" s="49" customFormat="1" ht="15" x14ac:dyDescent="0.25">
      <c r="A30" s="48">
        <v>1</v>
      </c>
      <c r="B30" s="48" t="s">
        <v>505</v>
      </c>
      <c r="C30" s="48" t="s">
        <v>508</v>
      </c>
      <c r="D30" s="48" t="s">
        <v>380</v>
      </c>
      <c r="E30" s="48" t="s">
        <v>381</v>
      </c>
      <c r="F30" s="49">
        <v>29</v>
      </c>
      <c r="G30" s="49">
        <v>35</v>
      </c>
      <c r="J30" s="49">
        <v>29</v>
      </c>
    </row>
    <row r="31" spans="1:10" s="49" customFormat="1" ht="15" x14ac:dyDescent="0.25">
      <c r="A31" s="48">
        <v>1</v>
      </c>
      <c r="B31" s="48" t="s">
        <v>505</v>
      </c>
      <c r="C31" s="48" t="s">
        <v>508</v>
      </c>
      <c r="D31" s="48" t="s">
        <v>380</v>
      </c>
      <c r="E31" s="48" t="s">
        <v>381</v>
      </c>
      <c r="F31" s="49">
        <v>30</v>
      </c>
      <c r="G31" s="49">
        <v>43</v>
      </c>
      <c r="J31" s="49">
        <v>30</v>
      </c>
    </row>
    <row r="32" spans="1:10" s="49" customFormat="1" ht="15" x14ac:dyDescent="0.25">
      <c r="A32" s="48">
        <v>1</v>
      </c>
      <c r="B32" s="48" t="s">
        <v>505</v>
      </c>
      <c r="C32" s="48" t="s">
        <v>508</v>
      </c>
      <c r="D32" s="48" t="s">
        <v>380</v>
      </c>
      <c r="E32" s="48" t="s">
        <v>381</v>
      </c>
      <c r="F32" s="49">
        <v>31</v>
      </c>
      <c r="G32" s="49">
        <v>54</v>
      </c>
      <c r="J32" s="49">
        <v>31</v>
      </c>
    </row>
    <row r="33" spans="1:10" s="49" customFormat="1" ht="15" x14ac:dyDescent="0.25">
      <c r="A33" s="48">
        <v>1</v>
      </c>
      <c r="B33" s="48" t="s">
        <v>505</v>
      </c>
      <c r="C33" s="48" t="s">
        <v>508</v>
      </c>
      <c r="D33" s="48" t="s">
        <v>380</v>
      </c>
      <c r="E33" s="48" t="s">
        <v>381</v>
      </c>
      <c r="F33" s="49">
        <v>32</v>
      </c>
      <c r="G33" s="49">
        <v>33</v>
      </c>
      <c r="J33" s="49">
        <v>32</v>
      </c>
    </row>
    <row r="34" spans="1:10" s="49" customFormat="1" ht="15" x14ac:dyDescent="0.25">
      <c r="A34" s="48">
        <v>1</v>
      </c>
      <c r="B34" s="48" t="s">
        <v>505</v>
      </c>
      <c r="C34" s="48" t="s">
        <v>508</v>
      </c>
      <c r="D34" s="48" t="s">
        <v>380</v>
      </c>
      <c r="E34" s="48" t="s">
        <v>381</v>
      </c>
      <c r="F34" s="49">
        <v>33</v>
      </c>
      <c r="G34" s="49">
        <v>20</v>
      </c>
      <c r="J34" s="49">
        <v>33</v>
      </c>
    </row>
    <row r="35" spans="1:10" s="49" customFormat="1" ht="15" x14ac:dyDescent="0.25">
      <c r="A35" s="48">
        <v>1</v>
      </c>
      <c r="B35" s="48" t="s">
        <v>505</v>
      </c>
      <c r="C35" s="48" t="s">
        <v>508</v>
      </c>
      <c r="D35" s="48" t="s">
        <v>380</v>
      </c>
      <c r="E35" s="48" t="s">
        <v>381</v>
      </c>
      <c r="F35" s="49">
        <v>34</v>
      </c>
      <c r="G35" s="49">
        <v>31</v>
      </c>
      <c r="J35" s="49">
        <v>34</v>
      </c>
    </row>
    <row r="36" spans="1:10" s="49" customFormat="1" ht="15" x14ac:dyDescent="0.25">
      <c r="A36" s="48">
        <v>1</v>
      </c>
      <c r="B36" s="48" t="s">
        <v>505</v>
      </c>
      <c r="C36" s="48" t="s">
        <v>508</v>
      </c>
      <c r="D36" s="48" t="s">
        <v>380</v>
      </c>
      <c r="E36" s="48" t="s">
        <v>381</v>
      </c>
      <c r="F36" s="49">
        <v>35</v>
      </c>
      <c r="G36" s="49">
        <v>29</v>
      </c>
      <c r="J36" s="49">
        <v>35</v>
      </c>
    </row>
    <row r="37" spans="1:10" s="49" customFormat="1" ht="15" x14ac:dyDescent="0.25">
      <c r="A37" s="48">
        <v>1</v>
      </c>
      <c r="B37" s="48" t="s">
        <v>505</v>
      </c>
      <c r="C37" s="48" t="s">
        <v>508</v>
      </c>
      <c r="D37" s="48" t="s">
        <v>380</v>
      </c>
      <c r="E37" s="48" t="s">
        <v>381</v>
      </c>
      <c r="F37" s="49">
        <v>36</v>
      </c>
      <c r="G37" s="49">
        <v>43</v>
      </c>
      <c r="J37" s="49">
        <v>36</v>
      </c>
    </row>
    <row r="38" spans="1:10" s="49" customFormat="1" ht="15" x14ac:dyDescent="0.25">
      <c r="A38" s="48">
        <v>1</v>
      </c>
      <c r="B38" s="48" t="s">
        <v>505</v>
      </c>
      <c r="C38" s="48" t="s">
        <v>508</v>
      </c>
      <c r="D38" s="48" t="s">
        <v>380</v>
      </c>
      <c r="E38" s="48" t="s">
        <v>381</v>
      </c>
      <c r="F38" s="49">
        <v>37</v>
      </c>
      <c r="G38" s="49">
        <v>36</v>
      </c>
      <c r="J38" s="49">
        <v>37</v>
      </c>
    </row>
    <row r="39" spans="1:10" s="49" customFormat="1" ht="15" x14ac:dyDescent="0.25">
      <c r="A39" s="48">
        <v>1</v>
      </c>
      <c r="B39" s="48" t="s">
        <v>505</v>
      </c>
      <c r="C39" s="48" t="s">
        <v>508</v>
      </c>
      <c r="D39" s="48" t="s">
        <v>380</v>
      </c>
      <c r="E39" s="48" t="s">
        <v>381</v>
      </c>
      <c r="F39" s="49">
        <v>38</v>
      </c>
      <c r="G39" s="49">
        <v>30</v>
      </c>
      <c r="J39" s="49">
        <v>38</v>
      </c>
    </row>
    <row r="40" spans="1:10" s="49" customFormat="1" ht="15" x14ac:dyDescent="0.25">
      <c r="A40" s="48">
        <v>1</v>
      </c>
      <c r="B40" s="48" t="s">
        <v>505</v>
      </c>
      <c r="C40" s="48" t="s">
        <v>508</v>
      </c>
      <c r="D40" s="48" t="s">
        <v>380</v>
      </c>
      <c r="E40" s="48" t="s">
        <v>381</v>
      </c>
      <c r="F40" s="49">
        <v>39</v>
      </c>
      <c r="G40" s="49">
        <v>23</v>
      </c>
      <c r="J40" s="49">
        <v>39</v>
      </c>
    </row>
    <row r="41" spans="1:10" s="49" customFormat="1" ht="15" x14ac:dyDescent="0.25">
      <c r="A41" s="48">
        <v>1</v>
      </c>
      <c r="B41" s="48" t="s">
        <v>505</v>
      </c>
      <c r="C41" s="48" t="s">
        <v>508</v>
      </c>
      <c r="D41" s="48" t="s">
        <v>380</v>
      </c>
      <c r="E41" s="48" t="s">
        <v>381</v>
      </c>
      <c r="F41" s="49">
        <v>40</v>
      </c>
      <c r="G41" s="49">
        <v>23</v>
      </c>
      <c r="J41" s="49">
        <v>40</v>
      </c>
    </row>
    <row r="42" spans="1:10" s="49" customFormat="1" ht="15" x14ac:dyDescent="0.25">
      <c r="A42" s="48">
        <v>1</v>
      </c>
      <c r="B42" s="48" t="s">
        <v>505</v>
      </c>
      <c r="C42" s="48" t="s">
        <v>508</v>
      </c>
      <c r="D42" s="48" t="s">
        <v>380</v>
      </c>
      <c r="E42" s="48" t="s">
        <v>381</v>
      </c>
      <c r="F42" s="49">
        <v>41</v>
      </c>
      <c r="G42" s="49">
        <v>57</v>
      </c>
      <c r="J42" s="49">
        <v>41</v>
      </c>
    </row>
    <row r="43" spans="1:10" s="49" customFormat="1" ht="15" x14ac:dyDescent="0.25">
      <c r="A43" s="48">
        <v>1</v>
      </c>
      <c r="B43" s="48" t="s">
        <v>505</v>
      </c>
      <c r="C43" s="48" t="s">
        <v>508</v>
      </c>
      <c r="D43" s="48" t="s">
        <v>380</v>
      </c>
      <c r="E43" s="48" t="s">
        <v>381</v>
      </c>
      <c r="F43" s="49">
        <v>42</v>
      </c>
      <c r="G43" s="49">
        <v>38</v>
      </c>
      <c r="J43" s="49">
        <v>42</v>
      </c>
    </row>
    <row r="44" spans="1:10" s="49" customFormat="1" ht="15" x14ac:dyDescent="0.25">
      <c r="A44" s="48">
        <v>1</v>
      </c>
      <c r="B44" s="48" t="s">
        <v>505</v>
      </c>
      <c r="C44" s="48" t="s">
        <v>508</v>
      </c>
      <c r="D44" s="48" t="s">
        <v>380</v>
      </c>
      <c r="E44" s="48" t="s">
        <v>381</v>
      </c>
      <c r="F44" s="49">
        <v>43</v>
      </c>
      <c r="G44" s="49">
        <v>34</v>
      </c>
      <c r="J44" s="49">
        <v>43</v>
      </c>
    </row>
    <row r="45" spans="1:10" s="49" customFormat="1" ht="15" x14ac:dyDescent="0.25">
      <c r="A45" s="48">
        <v>1</v>
      </c>
      <c r="B45" s="48" t="s">
        <v>505</v>
      </c>
      <c r="C45" s="48" t="s">
        <v>508</v>
      </c>
      <c r="D45" s="48" t="s">
        <v>380</v>
      </c>
      <c r="E45" s="48" t="s">
        <v>381</v>
      </c>
      <c r="F45" s="49">
        <v>44</v>
      </c>
      <c r="G45" s="49">
        <v>34</v>
      </c>
      <c r="J45" s="49">
        <v>44</v>
      </c>
    </row>
    <row r="46" spans="1:10" s="49" customFormat="1" ht="15" x14ac:dyDescent="0.25">
      <c r="A46" s="48">
        <v>1</v>
      </c>
      <c r="B46" s="48" t="s">
        <v>505</v>
      </c>
      <c r="C46" s="48" t="s">
        <v>508</v>
      </c>
      <c r="D46" s="48" t="s">
        <v>380</v>
      </c>
      <c r="E46" s="48" t="s">
        <v>381</v>
      </c>
      <c r="F46" s="49">
        <v>45</v>
      </c>
      <c r="G46" s="49">
        <v>28</v>
      </c>
      <c r="J46" s="49">
        <v>45</v>
      </c>
    </row>
    <row r="47" spans="1:10" s="49" customFormat="1" ht="15" x14ac:dyDescent="0.25">
      <c r="A47" s="48">
        <v>1</v>
      </c>
      <c r="B47" s="48" t="s">
        <v>505</v>
      </c>
      <c r="C47" s="48" t="s">
        <v>508</v>
      </c>
      <c r="D47" s="48" t="s">
        <v>380</v>
      </c>
      <c r="E47" s="48" t="s">
        <v>381</v>
      </c>
      <c r="F47" s="49">
        <v>46</v>
      </c>
      <c r="G47" s="49">
        <v>34</v>
      </c>
      <c r="J47" s="49">
        <v>46</v>
      </c>
    </row>
    <row r="48" spans="1:10" s="49" customFormat="1" ht="15" x14ac:dyDescent="0.25">
      <c r="A48" s="48">
        <v>1</v>
      </c>
      <c r="B48" s="48" t="s">
        <v>505</v>
      </c>
      <c r="C48" s="48" t="s">
        <v>508</v>
      </c>
      <c r="D48" s="48" t="s">
        <v>380</v>
      </c>
      <c r="E48" s="48" t="s">
        <v>381</v>
      </c>
      <c r="F48" s="49">
        <v>47</v>
      </c>
      <c r="G48" s="49">
        <v>31</v>
      </c>
      <c r="J48" s="49">
        <v>47</v>
      </c>
    </row>
    <row r="49" spans="1:11" s="49" customFormat="1" ht="15" x14ac:dyDescent="0.25">
      <c r="A49" s="48">
        <v>1</v>
      </c>
      <c r="B49" s="48" t="s">
        <v>505</v>
      </c>
      <c r="C49" s="48" t="s">
        <v>508</v>
      </c>
      <c r="D49" s="48" t="s">
        <v>380</v>
      </c>
      <c r="E49" s="48" t="s">
        <v>381</v>
      </c>
      <c r="F49" s="49">
        <v>48</v>
      </c>
      <c r="G49" s="49">
        <v>22</v>
      </c>
      <c r="J49" s="49">
        <v>48</v>
      </c>
    </row>
    <row r="50" spans="1:11" s="49" customFormat="1" ht="15" x14ac:dyDescent="0.25">
      <c r="A50" s="48">
        <v>1</v>
      </c>
      <c r="B50" s="48" t="s">
        <v>505</v>
      </c>
      <c r="C50" s="48" t="s">
        <v>508</v>
      </c>
      <c r="D50" s="48" t="s">
        <v>380</v>
      </c>
      <c r="E50" s="48" t="s">
        <v>381</v>
      </c>
      <c r="F50" s="49">
        <v>49</v>
      </c>
      <c r="G50" s="49">
        <v>33</v>
      </c>
      <c r="J50" s="49">
        <v>49</v>
      </c>
    </row>
    <row r="51" spans="1:11" s="49" customFormat="1" thickBot="1" x14ac:dyDescent="0.3">
      <c r="A51" s="48">
        <v>1</v>
      </c>
      <c r="B51" s="48" t="s">
        <v>505</v>
      </c>
      <c r="C51" s="48" t="s">
        <v>508</v>
      </c>
      <c r="D51" s="51" t="s">
        <v>380</v>
      </c>
      <c r="E51" s="51" t="s">
        <v>381</v>
      </c>
      <c r="F51" s="52">
        <v>50</v>
      </c>
      <c r="G51" s="52">
        <v>26</v>
      </c>
      <c r="H51" s="52">
        <v>1533</v>
      </c>
      <c r="I51" s="52">
        <v>50</v>
      </c>
      <c r="J51" s="49">
        <v>50</v>
      </c>
      <c r="K51" s="58" t="s">
        <v>909</v>
      </c>
    </row>
    <row r="52" spans="1:11" s="49" customFormat="1" thickTop="1" x14ac:dyDescent="0.25">
      <c r="A52" s="48">
        <v>2</v>
      </c>
      <c r="B52" s="48" t="s">
        <v>505</v>
      </c>
      <c r="C52" s="48" t="s">
        <v>508</v>
      </c>
      <c r="D52" s="48" t="s">
        <v>382</v>
      </c>
      <c r="E52" s="48" t="s">
        <v>383</v>
      </c>
      <c r="F52" s="49">
        <v>1</v>
      </c>
      <c r="G52" s="49">
        <v>22</v>
      </c>
      <c r="J52" s="49">
        <v>51</v>
      </c>
    </row>
    <row r="53" spans="1:11" s="49" customFormat="1" ht="15" x14ac:dyDescent="0.25">
      <c r="A53" s="48">
        <v>2</v>
      </c>
      <c r="B53" s="48" t="s">
        <v>505</v>
      </c>
      <c r="C53" s="48" t="s">
        <v>508</v>
      </c>
      <c r="D53" s="48" t="s">
        <v>382</v>
      </c>
      <c r="E53" s="48" t="s">
        <v>383</v>
      </c>
      <c r="F53" s="49">
        <v>2</v>
      </c>
      <c r="G53" s="49">
        <v>25</v>
      </c>
      <c r="J53" s="49">
        <v>52</v>
      </c>
    </row>
    <row r="54" spans="1:11" s="49" customFormat="1" ht="15" x14ac:dyDescent="0.25">
      <c r="A54" s="48">
        <v>2</v>
      </c>
      <c r="B54" s="48" t="s">
        <v>505</v>
      </c>
      <c r="C54" s="48" t="s">
        <v>508</v>
      </c>
      <c r="D54" s="48" t="s">
        <v>382</v>
      </c>
      <c r="E54" s="48" t="s">
        <v>383</v>
      </c>
      <c r="F54" s="49">
        <v>3</v>
      </c>
      <c r="G54" s="49">
        <v>22</v>
      </c>
      <c r="J54" s="49">
        <v>53</v>
      </c>
    </row>
    <row r="55" spans="1:11" s="49" customFormat="1" ht="15" x14ac:dyDescent="0.25">
      <c r="A55" s="48">
        <v>2</v>
      </c>
      <c r="B55" s="48" t="s">
        <v>505</v>
      </c>
      <c r="C55" s="48" t="s">
        <v>508</v>
      </c>
      <c r="D55" s="48" t="s">
        <v>382</v>
      </c>
      <c r="E55" s="48" t="s">
        <v>383</v>
      </c>
      <c r="F55" s="49">
        <v>4</v>
      </c>
      <c r="G55" s="49">
        <v>31</v>
      </c>
      <c r="J55" s="49">
        <v>54</v>
      </c>
    </row>
    <row r="56" spans="1:11" s="49" customFormat="1" ht="15" x14ac:dyDescent="0.25">
      <c r="A56" s="48">
        <v>2</v>
      </c>
      <c r="B56" s="48" t="s">
        <v>505</v>
      </c>
      <c r="C56" s="48" t="s">
        <v>508</v>
      </c>
      <c r="D56" s="48" t="s">
        <v>382</v>
      </c>
      <c r="E56" s="48" t="s">
        <v>383</v>
      </c>
      <c r="F56" s="49">
        <v>5</v>
      </c>
      <c r="G56" s="49">
        <v>23</v>
      </c>
      <c r="J56" s="49">
        <v>55</v>
      </c>
    </row>
    <row r="57" spans="1:11" s="49" customFormat="1" ht="15" x14ac:dyDescent="0.25">
      <c r="A57" s="48">
        <v>2</v>
      </c>
      <c r="B57" s="48" t="s">
        <v>505</v>
      </c>
      <c r="C57" s="48" t="s">
        <v>508</v>
      </c>
      <c r="D57" s="48" t="s">
        <v>382</v>
      </c>
      <c r="E57" s="48" t="s">
        <v>383</v>
      </c>
      <c r="F57" s="49">
        <v>6</v>
      </c>
      <c r="G57" s="49">
        <v>30</v>
      </c>
      <c r="J57" s="49">
        <v>56</v>
      </c>
    </row>
    <row r="58" spans="1:11" s="49" customFormat="1" ht="15" x14ac:dyDescent="0.25">
      <c r="A58" s="48">
        <v>2</v>
      </c>
      <c r="B58" s="48" t="s">
        <v>505</v>
      </c>
      <c r="C58" s="48" t="s">
        <v>508</v>
      </c>
      <c r="D58" s="48" t="s">
        <v>382</v>
      </c>
      <c r="E58" s="48" t="s">
        <v>383</v>
      </c>
      <c r="F58" s="49">
        <v>7</v>
      </c>
      <c r="G58" s="49">
        <v>29</v>
      </c>
      <c r="J58" s="49">
        <v>57</v>
      </c>
    </row>
    <row r="59" spans="1:11" s="49" customFormat="1" ht="15" x14ac:dyDescent="0.25">
      <c r="A59" s="48">
        <v>2</v>
      </c>
      <c r="B59" s="48" t="s">
        <v>505</v>
      </c>
      <c r="C59" s="48" t="s">
        <v>508</v>
      </c>
      <c r="D59" s="48" t="s">
        <v>382</v>
      </c>
      <c r="E59" s="48" t="s">
        <v>383</v>
      </c>
      <c r="F59" s="49">
        <v>8</v>
      </c>
      <c r="G59" s="49">
        <v>28</v>
      </c>
      <c r="J59" s="49">
        <v>58</v>
      </c>
    </row>
    <row r="60" spans="1:11" s="49" customFormat="1" ht="15" x14ac:dyDescent="0.25">
      <c r="A60" s="48">
        <v>2</v>
      </c>
      <c r="B60" s="48" t="s">
        <v>505</v>
      </c>
      <c r="C60" s="48" t="s">
        <v>508</v>
      </c>
      <c r="D60" s="48" t="s">
        <v>382</v>
      </c>
      <c r="E60" s="48" t="s">
        <v>383</v>
      </c>
      <c r="F60" s="49">
        <v>9</v>
      </c>
      <c r="G60" s="49">
        <v>35</v>
      </c>
      <c r="J60" s="49">
        <v>59</v>
      </c>
    </row>
    <row r="61" spans="1:11" s="49" customFormat="1" ht="15" x14ac:dyDescent="0.25">
      <c r="A61" s="48">
        <v>2</v>
      </c>
      <c r="B61" s="48" t="s">
        <v>505</v>
      </c>
      <c r="C61" s="48" t="s">
        <v>508</v>
      </c>
      <c r="D61" s="48" t="s">
        <v>382</v>
      </c>
      <c r="E61" s="48" t="s">
        <v>383</v>
      </c>
      <c r="F61" s="49">
        <v>10</v>
      </c>
      <c r="G61" s="49">
        <v>29</v>
      </c>
      <c r="J61" s="49">
        <v>60</v>
      </c>
    </row>
    <row r="62" spans="1:11" s="49" customFormat="1" ht="15" x14ac:dyDescent="0.25">
      <c r="A62" s="48">
        <v>2</v>
      </c>
      <c r="B62" s="48" t="s">
        <v>505</v>
      </c>
      <c r="C62" s="48" t="s">
        <v>508</v>
      </c>
      <c r="D62" s="48" t="s">
        <v>382</v>
      </c>
      <c r="E62" s="48" t="s">
        <v>383</v>
      </c>
      <c r="F62" s="49">
        <v>11</v>
      </c>
      <c r="G62" s="49">
        <v>10</v>
      </c>
      <c r="J62" s="49">
        <v>61</v>
      </c>
    </row>
    <row r="63" spans="1:11" s="49" customFormat="1" ht="15" x14ac:dyDescent="0.25">
      <c r="A63" s="48">
        <v>2</v>
      </c>
      <c r="B63" s="48" t="s">
        <v>505</v>
      </c>
      <c r="C63" s="48" t="s">
        <v>508</v>
      </c>
      <c r="D63" s="48" t="s">
        <v>382</v>
      </c>
      <c r="E63" s="48" t="s">
        <v>383</v>
      </c>
      <c r="F63" s="49">
        <v>12</v>
      </c>
      <c r="G63" s="49">
        <v>51</v>
      </c>
      <c r="J63" s="49">
        <v>62</v>
      </c>
    </row>
    <row r="64" spans="1:11" s="49" customFormat="1" ht="15" x14ac:dyDescent="0.25">
      <c r="A64" s="48">
        <v>2</v>
      </c>
      <c r="B64" s="48" t="s">
        <v>505</v>
      </c>
      <c r="C64" s="48" t="s">
        <v>508</v>
      </c>
      <c r="D64" s="48" t="s">
        <v>382</v>
      </c>
      <c r="E64" s="48" t="s">
        <v>383</v>
      </c>
      <c r="F64" s="49">
        <v>13</v>
      </c>
      <c r="G64" s="49">
        <v>22</v>
      </c>
      <c r="J64" s="49">
        <v>63</v>
      </c>
    </row>
    <row r="65" spans="1:10" s="49" customFormat="1" ht="15" x14ac:dyDescent="0.25">
      <c r="A65" s="48">
        <v>2</v>
      </c>
      <c r="B65" s="48" t="s">
        <v>505</v>
      </c>
      <c r="C65" s="48" t="s">
        <v>508</v>
      </c>
      <c r="D65" s="48" t="s">
        <v>382</v>
      </c>
      <c r="E65" s="48" t="s">
        <v>383</v>
      </c>
      <c r="F65" s="49">
        <v>14</v>
      </c>
      <c r="G65" s="49">
        <v>31</v>
      </c>
      <c r="J65" s="49">
        <v>64</v>
      </c>
    </row>
    <row r="66" spans="1:10" s="49" customFormat="1" ht="15" x14ac:dyDescent="0.25">
      <c r="A66" s="48">
        <v>2</v>
      </c>
      <c r="B66" s="48" t="s">
        <v>505</v>
      </c>
      <c r="C66" s="48" t="s">
        <v>508</v>
      </c>
      <c r="D66" s="48" t="s">
        <v>382</v>
      </c>
      <c r="E66" s="48" t="s">
        <v>383</v>
      </c>
      <c r="F66" s="49">
        <v>15</v>
      </c>
      <c r="G66" s="49">
        <v>27</v>
      </c>
      <c r="J66" s="49">
        <v>65</v>
      </c>
    </row>
    <row r="67" spans="1:10" s="49" customFormat="1" ht="15" x14ac:dyDescent="0.25">
      <c r="A67" s="48">
        <v>2</v>
      </c>
      <c r="B67" s="48" t="s">
        <v>505</v>
      </c>
      <c r="C67" s="48" t="s">
        <v>508</v>
      </c>
      <c r="D67" s="48" t="s">
        <v>382</v>
      </c>
      <c r="E67" s="48" t="s">
        <v>383</v>
      </c>
      <c r="F67" s="49">
        <v>16</v>
      </c>
      <c r="G67" s="49">
        <v>36</v>
      </c>
      <c r="J67" s="49">
        <v>66</v>
      </c>
    </row>
    <row r="68" spans="1:10" s="49" customFormat="1" ht="15" x14ac:dyDescent="0.25">
      <c r="A68" s="48">
        <v>2</v>
      </c>
      <c r="B68" s="48" t="s">
        <v>505</v>
      </c>
      <c r="C68" s="48" t="s">
        <v>508</v>
      </c>
      <c r="D68" s="48" t="s">
        <v>382</v>
      </c>
      <c r="E68" s="48" t="s">
        <v>383</v>
      </c>
      <c r="F68" s="49">
        <v>17</v>
      </c>
      <c r="G68" s="49">
        <v>16</v>
      </c>
      <c r="J68" s="49">
        <v>67</v>
      </c>
    </row>
    <row r="69" spans="1:10" s="49" customFormat="1" ht="15" x14ac:dyDescent="0.25">
      <c r="A69" s="48">
        <v>2</v>
      </c>
      <c r="B69" s="48" t="s">
        <v>505</v>
      </c>
      <c r="C69" s="48" t="s">
        <v>508</v>
      </c>
      <c r="D69" s="48" t="s">
        <v>382</v>
      </c>
      <c r="E69" s="48" t="s">
        <v>383</v>
      </c>
      <c r="F69" s="49">
        <v>18</v>
      </c>
      <c r="G69" s="49">
        <v>27</v>
      </c>
      <c r="J69" s="49">
        <v>68</v>
      </c>
    </row>
    <row r="70" spans="1:10" s="49" customFormat="1" ht="15" x14ac:dyDescent="0.25">
      <c r="A70" s="48">
        <v>2</v>
      </c>
      <c r="B70" s="48" t="s">
        <v>505</v>
      </c>
      <c r="C70" s="48" t="s">
        <v>508</v>
      </c>
      <c r="D70" s="48" t="s">
        <v>382</v>
      </c>
      <c r="E70" s="48" t="s">
        <v>383</v>
      </c>
      <c r="F70" s="49">
        <v>19</v>
      </c>
      <c r="G70" s="49">
        <v>25</v>
      </c>
      <c r="J70" s="49">
        <v>69</v>
      </c>
    </row>
    <row r="71" spans="1:10" s="49" customFormat="1" ht="15" x14ac:dyDescent="0.25">
      <c r="A71" s="48">
        <v>2</v>
      </c>
      <c r="B71" s="48" t="s">
        <v>505</v>
      </c>
      <c r="C71" s="48" t="s">
        <v>508</v>
      </c>
      <c r="D71" s="48" t="s">
        <v>382</v>
      </c>
      <c r="E71" s="48" t="s">
        <v>383</v>
      </c>
      <c r="F71" s="49">
        <v>20</v>
      </c>
      <c r="G71" s="49">
        <v>26</v>
      </c>
      <c r="J71" s="49">
        <v>70</v>
      </c>
    </row>
    <row r="72" spans="1:10" s="49" customFormat="1" ht="15" x14ac:dyDescent="0.25">
      <c r="A72" s="48">
        <v>2</v>
      </c>
      <c r="B72" s="48" t="s">
        <v>505</v>
      </c>
      <c r="C72" s="48" t="s">
        <v>508</v>
      </c>
      <c r="D72" s="48" t="s">
        <v>382</v>
      </c>
      <c r="E72" s="48" t="s">
        <v>383</v>
      </c>
      <c r="F72" s="49">
        <v>21</v>
      </c>
      <c r="G72" s="49">
        <v>37</v>
      </c>
      <c r="J72" s="49">
        <v>71</v>
      </c>
    </row>
    <row r="73" spans="1:10" s="49" customFormat="1" ht="15" x14ac:dyDescent="0.25">
      <c r="A73" s="48">
        <v>2</v>
      </c>
      <c r="B73" s="48" t="s">
        <v>505</v>
      </c>
      <c r="C73" s="48" t="s">
        <v>508</v>
      </c>
      <c r="D73" s="48" t="s">
        <v>382</v>
      </c>
      <c r="E73" s="48" t="s">
        <v>383</v>
      </c>
      <c r="F73" s="49">
        <v>22</v>
      </c>
      <c r="G73" s="49">
        <v>30</v>
      </c>
      <c r="J73" s="49">
        <v>72</v>
      </c>
    </row>
    <row r="74" spans="1:10" s="49" customFormat="1" ht="15" x14ac:dyDescent="0.25">
      <c r="A74" s="48">
        <v>2</v>
      </c>
      <c r="B74" s="48" t="s">
        <v>505</v>
      </c>
      <c r="C74" s="48" t="s">
        <v>508</v>
      </c>
      <c r="D74" s="48" t="s">
        <v>382</v>
      </c>
      <c r="E74" s="48" t="s">
        <v>383</v>
      </c>
      <c r="F74" s="49">
        <v>23</v>
      </c>
      <c r="G74" s="49">
        <v>33</v>
      </c>
      <c r="J74" s="49">
        <v>73</v>
      </c>
    </row>
    <row r="75" spans="1:10" s="49" customFormat="1" ht="15" x14ac:dyDescent="0.25">
      <c r="A75" s="48">
        <v>2</v>
      </c>
      <c r="B75" s="48" t="s">
        <v>505</v>
      </c>
      <c r="C75" s="48" t="s">
        <v>508</v>
      </c>
      <c r="D75" s="48" t="s">
        <v>382</v>
      </c>
      <c r="E75" s="48" t="s">
        <v>383</v>
      </c>
      <c r="F75" s="49">
        <v>24</v>
      </c>
      <c r="G75" s="49">
        <v>18</v>
      </c>
      <c r="J75" s="49">
        <v>74</v>
      </c>
    </row>
    <row r="76" spans="1:10" s="49" customFormat="1" ht="15" x14ac:dyDescent="0.25">
      <c r="A76" s="48">
        <v>2</v>
      </c>
      <c r="B76" s="48" t="s">
        <v>505</v>
      </c>
      <c r="C76" s="48" t="s">
        <v>508</v>
      </c>
      <c r="D76" s="48" t="s">
        <v>382</v>
      </c>
      <c r="E76" s="48" t="s">
        <v>383</v>
      </c>
      <c r="F76" s="49">
        <v>25</v>
      </c>
      <c r="G76" s="49">
        <v>40</v>
      </c>
      <c r="J76" s="49">
        <v>75</v>
      </c>
    </row>
    <row r="77" spans="1:10" s="49" customFormat="1" ht="15" x14ac:dyDescent="0.25">
      <c r="A77" s="48">
        <v>2</v>
      </c>
      <c r="B77" s="48" t="s">
        <v>505</v>
      </c>
      <c r="C77" s="48" t="s">
        <v>508</v>
      </c>
      <c r="D77" s="48" t="s">
        <v>382</v>
      </c>
      <c r="E77" s="48" t="s">
        <v>383</v>
      </c>
      <c r="F77" s="49">
        <v>26</v>
      </c>
      <c r="G77" s="49">
        <v>37</v>
      </c>
      <c r="J77" s="49">
        <v>76</v>
      </c>
    </row>
    <row r="78" spans="1:10" s="49" customFormat="1" ht="15" x14ac:dyDescent="0.25">
      <c r="A78" s="48">
        <v>2</v>
      </c>
      <c r="B78" s="48" t="s">
        <v>505</v>
      </c>
      <c r="C78" s="48" t="s">
        <v>508</v>
      </c>
      <c r="D78" s="48" t="s">
        <v>382</v>
      </c>
      <c r="E78" s="48" t="s">
        <v>383</v>
      </c>
      <c r="F78" s="49">
        <v>27</v>
      </c>
      <c r="G78" s="49">
        <v>21</v>
      </c>
      <c r="J78" s="49">
        <v>77</v>
      </c>
    </row>
    <row r="79" spans="1:10" s="49" customFormat="1" ht="15" x14ac:dyDescent="0.25">
      <c r="A79" s="48">
        <v>2</v>
      </c>
      <c r="B79" s="48" t="s">
        <v>505</v>
      </c>
      <c r="C79" s="48" t="s">
        <v>508</v>
      </c>
      <c r="D79" s="48" t="s">
        <v>382</v>
      </c>
      <c r="E79" s="48" t="s">
        <v>383</v>
      </c>
      <c r="F79" s="49">
        <v>28</v>
      </c>
      <c r="G79" s="49">
        <v>43</v>
      </c>
      <c r="J79" s="49">
        <v>78</v>
      </c>
    </row>
    <row r="80" spans="1:10" s="49" customFormat="1" ht="15" x14ac:dyDescent="0.25">
      <c r="A80" s="48">
        <v>2</v>
      </c>
      <c r="B80" s="48" t="s">
        <v>505</v>
      </c>
      <c r="C80" s="48" t="s">
        <v>508</v>
      </c>
      <c r="D80" s="48" t="s">
        <v>382</v>
      </c>
      <c r="E80" s="48" t="s">
        <v>383</v>
      </c>
      <c r="F80" s="49">
        <v>29</v>
      </c>
      <c r="G80" s="49">
        <v>46</v>
      </c>
      <c r="J80" s="49">
        <v>79</v>
      </c>
    </row>
    <row r="81" spans="1:10" s="49" customFormat="1" ht="15" x14ac:dyDescent="0.25">
      <c r="A81" s="48">
        <v>2</v>
      </c>
      <c r="B81" s="48" t="s">
        <v>505</v>
      </c>
      <c r="C81" s="48" t="s">
        <v>508</v>
      </c>
      <c r="D81" s="48" t="s">
        <v>382</v>
      </c>
      <c r="E81" s="48" t="s">
        <v>383</v>
      </c>
      <c r="F81" s="49">
        <v>30</v>
      </c>
      <c r="G81" s="49">
        <v>38</v>
      </c>
      <c r="J81" s="49">
        <v>80</v>
      </c>
    </row>
    <row r="82" spans="1:10" s="49" customFormat="1" ht="15" x14ac:dyDescent="0.25">
      <c r="A82" s="48">
        <v>2</v>
      </c>
      <c r="B82" s="48" t="s">
        <v>505</v>
      </c>
      <c r="C82" s="48" t="s">
        <v>508</v>
      </c>
      <c r="D82" s="48" t="s">
        <v>382</v>
      </c>
      <c r="E82" s="48" t="s">
        <v>383</v>
      </c>
      <c r="F82" s="49">
        <v>31</v>
      </c>
      <c r="G82" s="49">
        <v>18</v>
      </c>
      <c r="J82" s="49">
        <v>81</v>
      </c>
    </row>
    <row r="83" spans="1:10" s="49" customFormat="1" ht="15" x14ac:dyDescent="0.25">
      <c r="A83" s="48">
        <v>2</v>
      </c>
      <c r="B83" s="48" t="s">
        <v>505</v>
      </c>
      <c r="C83" s="48" t="s">
        <v>508</v>
      </c>
      <c r="D83" s="48" t="s">
        <v>382</v>
      </c>
      <c r="E83" s="48" t="s">
        <v>383</v>
      </c>
      <c r="F83" s="49">
        <v>32</v>
      </c>
      <c r="G83" s="49">
        <v>35</v>
      </c>
      <c r="J83" s="49">
        <v>82</v>
      </c>
    </row>
    <row r="84" spans="1:10" s="49" customFormat="1" ht="15" x14ac:dyDescent="0.25">
      <c r="A84" s="48">
        <v>2</v>
      </c>
      <c r="B84" s="48" t="s">
        <v>505</v>
      </c>
      <c r="C84" s="48" t="s">
        <v>508</v>
      </c>
      <c r="D84" s="48" t="s">
        <v>382</v>
      </c>
      <c r="E84" s="48" t="s">
        <v>383</v>
      </c>
      <c r="F84" s="49">
        <v>33</v>
      </c>
      <c r="G84" s="49">
        <v>23</v>
      </c>
      <c r="J84" s="49">
        <v>83</v>
      </c>
    </row>
    <row r="85" spans="1:10" s="49" customFormat="1" ht="15" x14ac:dyDescent="0.25">
      <c r="A85" s="48">
        <v>2</v>
      </c>
      <c r="B85" s="48" t="s">
        <v>505</v>
      </c>
      <c r="C85" s="48" t="s">
        <v>508</v>
      </c>
      <c r="D85" s="48" t="s">
        <v>382</v>
      </c>
      <c r="E85" s="48" t="s">
        <v>383</v>
      </c>
      <c r="F85" s="49">
        <v>34</v>
      </c>
      <c r="G85" s="49">
        <v>35</v>
      </c>
      <c r="J85" s="49">
        <v>84</v>
      </c>
    </row>
    <row r="86" spans="1:10" s="49" customFormat="1" ht="15" x14ac:dyDescent="0.25">
      <c r="A86" s="48">
        <v>2</v>
      </c>
      <c r="B86" s="48" t="s">
        <v>505</v>
      </c>
      <c r="C86" s="48" t="s">
        <v>508</v>
      </c>
      <c r="D86" s="48" t="s">
        <v>382</v>
      </c>
      <c r="E86" s="48" t="s">
        <v>383</v>
      </c>
      <c r="F86" s="49">
        <v>35</v>
      </c>
      <c r="G86" s="49">
        <v>35</v>
      </c>
      <c r="J86" s="49">
        <v>85</v>
      </c>
    </row>
    <row r="87" spans="1:10" s="49" customFormat="1" ht="15" x14ac:dyDescent="0.25">
      <c r="A87" s="48">
        <v>2</v>
      </c>
      <c r="B87" s="48" t="s">
        <v>505</v>
      </c>
      <c r="C87" s="48" t="s">
        <v>508</v>
      </c>
      <c r="D87" s="48" t="s">
        <v>382</v>
      </c>
      <c r="E87" s="48" t="s">
        <v>383</v>
      </c>
      <c r="F87" s="49">
        <v>36</v>
      </c>
      <c r="G87" s="49">
        <v>38</v>
      </c>
      <c r="J87" s="49">
        <v>86</v>
      </c>
    </row>
    <row r="88" spans="1:10" s="49" customFormat="1" ht="15" x14ac:dyDescent="0.25">
      <c r="A88" s="48">
        <v>2</v>
      </c>
      <c r="B88" s="48" t="s">
        <v>505</v>
      </c>
      <c r="C88" s="48" t="s">
        <v>508</v>
      </c>
      <c r="D88" s="48" t="s">
        <v>382</v>
      </c>
      <c r="E88" s="48" t="s">
        <v>383</v>
      </c>
      <c r="F88" s="49">
        <v>37</v>
      </c>
      <c r="G88" s="49">
        <v>29</v>
      </c>
      <c r="J88" s="49">
        <v>87</v>
      </c>
    </row>
    <row r="89" spans="1:10" s="49" customFormat="1" ht="15" x14ac:dyDescent="0.25">
      <c r="A89" s="48">
        <v>2</v>
      </c>
      <c r="B89" s="48" t="s">
        <v>505</v>
      </c>
      <c r="C89" s="48" t="s">
        <v>508</v>
      </c>
      <c r="D89" s="48" t="s">
        <v>382</v>
      </c>
      <c r="E89" s="48" t="s">
        <v>383</v>
      </c>
      <c r="F89" s="49">
        <v>38</v>
      </c>
      <c r="G89" s="49">
        <v>31</v>
      </c>
      <c r="J89" s="49">
        <v>88</v>
      </c>
    </row>
    <row r="90" spans="1:10" s="49" customFormat="1" ht="15" x14ac:dyDescent="0.25">
      <c r="A90" s="48">
        <v>2</v>
      </c>
      <c r="B90" s="48" t="s">
        <v>505</v>
      </c>
      <c r="C90" s="48" t="s">
        <v>508</v>
      </c>
      <c r="D90" s="48" t="s">
        <v>382</v>
      </c>
      <c r="E90" s="48" t="s">
        <v>383</v>
      </c>
      <c r="F90" s="49">
        <v>39</v>
      </c>
      <c r="G90" s="49">
        <v>43</v>
      </c>
      <c r="J90" s="49">
        <v>89</v>
      </c>
    </row>
    <row r="91" spans="1:10" s="49" customFormat="1" thickBot="1" x14ac:dyDescent="0.3">
      <c r="A91" s="48">
        <v>2</v>
      </c>
      <c r="B91" s="48" t="s">
        <v>505</v>
      </c>
      <c r="C91" s="48" t="s">
        <v>508</v>
      </c>
      <c r="D91" s="51" t="s">
        <v>382</v>
      </c>
      <c r="E91" s="51" t="s">
        <v>383</v>
      </c>
      <c r="F91" s="52">
        <v>40</v>
      </c>
      <c r="G91" s="52">
        <v>38</v>
      </c>
      <c r="H91" s="52">
        <v>1213</v>
      </c>
      <c r="I91" s="52">
        <v>40</v>
      </c>
      <c r="J91" s="49">
        <v>90</v>
      </c>
    </row>
    <row r="92" spans="1:10" s="49" customFormat="1" thickTop="1" x14ac:dyDescent="0.25">
      <c r="A92" s="48">
        <v>3</v>
      </c>
      <c r="B92" s="48" t="s">
        <v>505</v>
      </c>
      <c r="C92" s="48" t="s">
        <v>508</v>
      </c>
      <c r="D92" s="48" t="s">
        <v>384</v>
      </c>
      <c r="E92" s="48" t="s">
        <v>385</v>
      </c>
      <c r="F92" s="49">
        <v>1</v>
      </c>
      <c r="G92" s="49">
        <v>17</v>
      </c>
      <c r="J92" s="49">
        <v>91</v>
      </c>
    </row>
    <row r="93" spans="1:10" s="49" customFormat="1" ht="15" x14ac:dyDescent="0.25">
      <c r="A93" s="48">
        <v>3</v>
      </c>
      <c r="B93" s="48" t="s">
        <v>505</v>
      </c>
      <c r="C93" s="48" t="s">
        <v>508</v>
      </c>
      <c r="D93" s="48" t="s">
        <v>384</v>
      </c>
      <c r="E93" s="48" t="s">
        <v>385</v>
      </c>
      <c r="F93" s="49">
        <v>2</v>
      </c>
      <c r="G93" s="49">
        <v>16</v>
      </c>
      <c r="J93" s="49">
        <v>92</v>
      </c>
    </row>
    <row r="94" spans="1:10" s="49" customFormat="1" ht="15" x14ac:dyDescent="0.25">
      <c r="A94" s="48">
        <v>3</v>
      </c>
      <c r="B94" s="48" t="s">
        <v>505</v>
      </c>
      <c r="C94" s="48" t="s">
        <v>508</v>
      </c>
      <c r="D94" s="48" t="s">
        <v>384</v>
      </c>
      <c r="E94" s="48" t="s">
        <v>385</v>
      </c>
      <c r="F94" s="49">
        <v>3</v>
      </c>
      <c r="G94" s="49">
        <v>17</v>
      </c>
      <c r="J94" s="49">
        <v>93</v>
      </c>
    </row>
    <row r="95" spans="1:10" s="49" customFormat="1" ht="15" x14ac:dyDescent="0.25">
      <c r="A95" s="48">
        <v>3</v>
      </c>
      <c r="B95" s="48" t="s">
        <v>505</v>
      </c>
      <c r="C95" s="48" t="s">
        <v>508</v>
      </c>
      <c r="D95" s="48" t="s">
        <v>384</v>
      </c>
      <c r="E95" s="48" t="s">
        <v>385</v>
      </c>
      <c r="F95" s="49">
        <v>4</v>
      </c>
      <c r="G95" s="49">
        <v>35</v>
      </c>
      <c r="J95" s="49">
        <v>94</v>
      </c>
    </row>
    <row r="96" spans="1:10" s="49" customFormat="1" ht="15" x14ac:dyDescent="0.25">
      <c r="A96" s="48">
        <v>3</v>
      </c>
      <c r="B96" s="48" t="s">
        <v>505</v>
      </c>
      <c r="C96" s="48" t="s">
        <v>508</v>
      </c>
      <c r="D96" s="48" t="s">
        <v>384</v>
      </c>
      <c r="E96" s="48" t="s">
        <v>385</v>
      </c>
      <c r="F96" s="49">
        <v>5</v>
      </c>
      <c r="G96" s="49">
        <v>26</v>
      </c>
      <c r="J96" s="49">
        <v>95</v>
      </c>
    </row>
    <row r="97" spans="1:10" s="49" customFormat="1" ht="15" x14ac:dyDescent="0.25">
      <c r="A97" s="48">
        <v>3</v>
      </c>
      <c r="B97" s="48" t="s">
        <v>505</v>
      </c>
      <c r="C97" s="48" t="s">
        <v>508</v>
      </c>
      <c r="D97" s="48" t="s">
        <v>384</v>
      </c>
      <c r="E97" s="48" t="s">
        <v>385</v>
      </c>
      <c r="F97" s="49">
        <v>6</v>
      </c>
      <c r="G97" s="49">
        <v>23</v>
      </c>
      <c r="J97" s="49">
        <v>96</v>
      </c>
    </row>
    <row r="98" spans="1:10" s="49" customFormat="1" ht="15" x14ac:dyDescent="0.25">
      <c r="A98" s="48">
        <v>3</v>
      </c>
      <c r="B98" s="48" t="s">
        <v>505</v>
      </c>
      <c r="C98" s="48" t="s">
        <v>508</v>
      </c>
      <c r="D98" s="48" t="s">
        <v>384</v>
      </c>
      <c r="E98" s="48" t="s">
        <v>385</v>
      </c>
      <c r="F98" s="49">
        <v>7</v>
      </c>
      <c r="G98" s="49">
        <v>37</v>
      </c>
      <c r="J98" s="49">
        <v>97</v>
      </c>
    </row>
    <row r="99" spans="1:10" s="49" customFormat="1" ht="15" x14ac:dyDescent="0.25">
      <c r="A99" s="48">
        <v>3</v>
      </c>
      <c r="B99" s="48" t="s">
        <v>505</v>
      </c>
      <c r="C99" s="48" t="s">
        <v>508</v>
      </c>
      <c r="D99" s="48" t="s">
        <v>384</v>
      </c>
      <c r="E99" s="48" t="s">
        <v>385</v>
      </c>
      <c r="F99" s="49">
        <v>8</v>
      </c>
      <c r="G99" s="49">
        <v>36</v>
      </c>
      <c r="J99" s="49">
        <v>98</v>
      </c>
    </row>
    <row r="100" spans="1:10" s="49" customFormat="1" ht="15" x14ac:dyDescent="0.25">
      <c r="A100" s="48">
        <v>3</v>
      </c>
      <c r="B100" s="48" t="s">
        <v>505</v>
      </c>
      <c r="C100" s="48" t="s">
        <v>508</v>
      </c>
      <c r="D100" s="48" t="s">
        <v>384</v>
      </c>
      <c r="E100" s="48" t="s">
        <v>385</v>
      </c>
      <c r="F100" s="49">
        <v>9</v>
      </c>
      <c r="G100" s="49">
        <v>24</v>
      </c>
      <c r="J100" s="49">
        <v>99</v>
      </c>
    </row>
    <row r="101" spans="1:10" s="49" customFormat="1" ht="15" x14ac:dyDescent="0.25">
      <c r="A101" s="48">
        <v>3</v>
      </c>
      <c r="B101" s="48" t="s">
        <v>505</v>
      </c>
      <c r="C101" s="48" t="s">
        <v>508</v>
      </c>
      <c r="D101" s="48" t="s">
        <v>384</v>
      </c>
      <c r="E101" s="48" t="s">
        <v>385</v>
      </c>
      <c r="F101" s="49">
        <v>10</v>
      </c>
      <c r="G101" s="49">
        <v>20</v>
      </c>
      <c r="J101" s="49">
        <v>100</v>
      </c>
    </row>
    <row r="102" spans="1:10" s="49" customFormat="1" ht="15" x14ac:dyDescent="0.25">
      <c r="A102" s="48">
        <v>3</v>
      </c>
      <c r="B102" s="48" t="s">
        <v>505</v>
      </c>
      <c r="C102" s="48" t="s">
        <v>508</v>
      </c>
      <c r="D102" s="48" t="s">
        <v>384</v>
      </c>
      <c r="E102" s="48" t="s">
        <v>385</v>
      </c>
      <c r="F102" s="49">
        <v>11</v>
      </c>
      <c r="G102" s="49">
        <v>47</v>
      </c>
      <c r="J102" s="49">
        <v>101</v>
      </c>
    </row>
    <row r="103" spans="1:10" s="49" customFormat="1" ht="15" x14ac:dyDescent="0.25">
      <c r="A103" s="48">
        <v>3</v>
      </c>
      <c r="B103" s="48" t="s">
        <v>505</v>
      </c>
      <c r="C103" s="48" t="s">
        <v>508</v>
      </c>
      <c r="D103" s="48" t="s">
        <v>384</v>
      </c>
      <c r="E103" s="48" t="s">
        <v>385</v>
      </c>
      <c r="F103" s="49">
        <v>12</v>
      </c>
      <c r="G103" s="49">
        <v>8</v>
      </c>
      <c r="J103" s="49">
        <v>102</v>
      </c>
    </row>
    <row r="104" spans="1:10" s="49" customFormat="1" ht="15" x14ac:dyDescent="0.25">
      <c r="A104" s="48">
        <v>3</v>
      </c>
      <c r="B104" s="48" t="s">
        <v>505</v>
      </c>
      <c r="C104" s="48" t="s">
        <v>508</v>
      </c>
      <c r="D104" s="48" t="s">
        <v>384</v>
      </c>
      <c r="E104" s="48" t="s">
        <v>385</v>
      </c>
      <c r="F104" s="49">
        <v>13</v>
      </c>
      <c r="G104" s="49">
        <v>59</v>
      </c>
      <c r="J104" s="49">
        <v>103</v>
      </c>
    </row>
    <row r="105" spans="1:10" s="49" customFormat="1" ht="15" x14ac:dyDescent="0.25">
      <c r="A105" s="48">
        <v>3</v>
      </c>
      <c r="B105" s="48" t="s">
        <v>505</v>
      </c>
      <c r="C105" s="48" t="s">
        <v>508</v>
      </c>
      <c r="D105" s="48" t="s">
        <v>384</v>
      </c>
      <c r="E105" s="48" t="s">
        <v>385</v>
      </c>
      <c r="F105" s="49">
        <v>14</v>
      </c>
      <c r="G105" s="49">
        <v>57</v>
      </c>
      <c r="J105" s="49">
        <v>104</v>
      </c>
    </row>
    <row r="106" spans="1:10" s="49" customFormat="1" ht="15" x14ac:dyDescent="0.25">
      <c r="A106" s="48">
        <v>3</v>
      </c>
      <c r="B106" s="48" t="s">
        <v>505</v>
      </c>
      <c r="C106" s="48" t="s">
        <v>508</v>
      </c>
      <c r="D106" s="48" t="s">
        <v>384</v>
      </c>
      <c r="E106" s="48" t="s">
        <v>385</v>
      </c>
      <c r="F106" s="49">
        <v>15</v>
      </c>
      <c r="G106" s="49">
        <v>33</v>
      </c>
      <c r="J106" s="49">
        <v>105</v>
      </c>
    </row>
    <row r="107" spans="1:10" s="49" customFormat="1" ht="15" x14ac:dyDescent="0.25">
      <c r="A107" s="48">
        <v>3</v>
      </c>
      <c r="B107" s="48" t="s">
        <v>505</v>
      </c>
      <c r="C107" s="48" t="s">
        <v>508</v>
      </c>
      <c r="D107" s="48" t="s">
        <v>384</v>
      </c>
      <c r="E107" s="48" t="s">
        <v>385</v>
      </c>
      <c r="F107" s="49">
        <v>16</v>
      </c>
      <c r="G107" s="49">
        <v>34</v>
      </c>
      <c r="J107" s="49">
        <v>106</v>
      </c>
    </row>
    <row r="108" spans="1:10" s="49" customFormat="1" ht="15" x14ac:dyDescent="0.25">
      <c r="A108" s="48">
        <v>3</v>
      </c>
      <c r="B108" s="48" t="s">
        <v>505</v>
      </c>
      <c r="C108" s="48" t="s">
        <v>508</v>
      </c>
      <c r="D108" s="48" t="s">
        <v>384</v>
      </c>
      <c r="E108" s="48" t="s">
        <v>385</v>
      </c>
      <c r="F108" s="49">
        <v>17</v>
      </c>
      <c r="G108" s="49">
        <v>16</v>
      </c>
      <c r="J108" s="49">
        <v>107</v>
      </c>
    </row>
    <row r="109" spans="1:10" s="49" customFormat="1" ht="15" x14ac:dyDescent="0.25">
      <c r="A109" s="48">
        <v>3</v>
      </c>
      <c r="B109" s="48" t="s">
        <v>505</v>
      </c>
      <c r="C109" s="48" t="s">
        <v>508</v>
      </c>
      <c r="D109" s="48" t="s">
        <v>384</v>
      </c>
      <c r="E109" s="48" t="s">
        <v>385</v>
      </c>
      <c r="F109" s="49">
        <v>18</v>
      </c>
      <c r="G109" s="49">
        <v>30</v>
      </c>
      <c r="J109" s="49">
        <v>108</v>
      </c>
    </row>
    <row r="110" spans="1:10" s="49" customFormat="1" ht="15" x14ac:dyDescent="0.25">
      <c r="A110" s="48">
        <v>3</v>
      </c>
      <c r="B110" s="48" t="s">
        <v>505</v>
      </c>
      <c r="C110" s="48" t="s">
        <v>508</v>
      </c>
      <c r="D110" s="48" t="s">
        <v>384</v>
      </c>
      <c r="E110" s="48" t="s">
        <v>385</v>
      </c>
      <c r="F110" s="49">
        <v>19</v>
      </c>
      <c r="G110" s="49">
        <v>37</v>
      </c>
      <c r="J110" s="49">
        <v>109</v>
      </c>
    </row>
    <row r="111" spans="1:10" s="49" customFormat="1" ht="15" x14ac:dyDescent="0.25">
      <c r="A111" s="48">
        <v>3</v>
      </c>
      <c r="B111" s="48" t="s">
        <v>505</v>
      </c>
      <c r="C111" s="48" t="s">
        <v>508</v>
      </c>
      <c r="D111" s="48" t="s">
        <v>384</v>
      </c>
      <c r="E111" s="48" t="s">
        <v>385</v>
      </c>
      <c r="F111" s="49">
        <v>20</v>
      </c>
      <c r="G111" s="49">
        <v>27</v>
      </c>
      <c r="J111" s="49">
        <v>110</v>
      </c>
    </row>
    <row r="112" spans="1:10" s="49" customFormat="1" ht="15" x14ac:dyDescent="0.25">
      <c r="A112" s="48">
        <v>3</v>
      </c>
      <c r="B112" s="48" t="s">
        <v>505</v>
      </c>
      <c r="C112" s="48" t="s">
        <v>508</v>
      </c>
      <c r="D112" s="48" t="s">
        <v>384</v>
      </c>
      <c r="E112" s="48" t="s">
        <v>385</v>
      </c>
      <c r="F112" s="49">
        <v>21</v>
      </c>
      <c r="G112" s="49">
        <v>24</v>
      </c>
      <c r="J112" s="49">
        <v>111</v>
      </c>
    </row>
    <row r="113" spans="1:10" s="49" customFormat="1" ht="15" x14ac:dyDescent="0.25">
      <c r="A113" s="48">
        <v>3</v>
      </c>
      <c r="B113" s="48" t="s">
        <v>505</v>
      </c>
      <c r="C113" s="48" t="s">
        <v>508</v>
      </c>
      <c r="D113" s="48" t="s">
        <v>384</v>
      </c>
      <c r="E113" s="48" t="s">
        <v>385</v>
      </c>
      <c r="F113" s="49">
        <v>22</v>
      </c>
      <c r="G113" s="49">
        <v>33</v>
      </c>
      <c r="J113" s="49">
        <v>112</v>
      </c>
    </row>
    <row r="114" spans="1:10" s="49" customFormat="1" ht="15" x14ac:dyDescent="0.25">
      <c r="A114" s="48">
        <v>3</v>
      </c>
      <c r="B114" s="48" t="s">
        <v>505</v>
      </c>
      <c r="C114" s="48" t="s">
        <v>508</v>
      </c>
      <c r="D114" s="48" t="s">
        <v>384</v>
      </c>
      <c r="E114" s="48" t="s">
        <v>385</v>
      </c>
      <c r="F114" s="49">
        <v>23</v>
      </c>
      <c r="G114" s="49">
        <v>44</v>
      </c>
      <c r="J114" s="49">
        <v>113</v>
      </c>
    </row>
    <row r="115" spans="1:10" s="49" customFormat="1" ht="15" x14ac:dyDescent="0.25">
      <c r="A115" s="48">
        <v>3</v>
      </c>
      <c r="B115" s="48" t="s">
        <v>505</v>
      </c>
      <c r="C115" s="48" t="s">
        <v>508</v>
      </c>
      <c r="D115" s="48" t="s">
        <v>384</v>
      </c>
      <c r="E115" s="48" t="s">
        <v>385</v>
      </c>
      <c r="F115" s="49">
        <v>24</v>
      </c>
      <c r="G115" s="49">
        <v>23</v>
      </c>
      <c r="J115" s="49">
        <v>114</v>
      </c>
    </row>
    <row r="116" spans="1:10" s="49" customFormat="1" ht="15" x14ac:dyDescent="0.25">
      <c r="A116" s="48">
        <v>3</v>
      </c>
      <c r="B116" s="48" t="s">
        <v>505</v>
      </c>
      <c r="C116" s="48" t="s">
        <v>508</v>
      </c>
      <c r="D116" s="48" t="s">
        <v>384</v>
      </c>
      <c r="E116" s="48" t="s">
        <v>385</v>
      </c>
      <c r="F116" s="49">
        <v>25</v>
      </c>
      <c r="G116" s="49">
        <v>55</v>
      </c>
      <c r="J116" s="49">
        <v>115</v>
      </c>
    </row>
    <row r="117" spans="1:10" s="49" customFormat="1" ht="15" x14ac:dyDescent="0.25">
      <c r="A117" s="48">
        <v>3</v>
      </c>
      <c r="B117" s="48" t="s">
        <v>505</v>
      </c>
      <c r="C117" s="48" t="s">
        <v>508</v>
      </c>
      <c r="D117" s="48" t="s">
        <v>384</v>
      </c>
      <c r="E117" s="48" t="s">
        <v>385</v>
      </c>
      <c r="F117" s="49">
        <v>26</v>
      </c>
      <c r="G117" s="49">
        <v>46</v>
      </c>
      <c r="J117" s="49">
        <v>116</v>
      </c>
    </row>
    <row r="118" spans="1:10" s="49" customFormat="1" thickBot="1" x14ac:dyDescent="0.3">
      <c r="A118" s="48">
        <v>3</v>
      </c>
      <c r="B118" s="48" t="s">
        <v>505</v>
      </c>
      <c r="C118" s="48" t="s">
        <v>508</v>
      </c>
      <c r="D118" s="51" t="s">
        <v>384</v>
      </c>
      <c r="E118" s="51" t="s">
        <v>385</v>
      </c>
      <c r="F118" s="52">
        <v>27</v>
      </c>
      <c r="G118" s="52">
        <v>34</v>
      </c>
      <c r="H118" s="52">
        <v>858</v>
      </c>
      <c r="I118" s="52">
        <v>27</v>
      </c>
      <c r="J118" s="49">
        <v>117</v>
      </c>
    </row>
    <row r="119" spans="1:10" s="49" customFormat="1" thickTop="1" x14ac:dyDescent="0.25">
      <c r="A119" s="48">
        <v>4</v>
      </c>
      <c r="B119" s="48" t="s">
        <v>505</v>
      </c>
      <c r="C119" s="48" t="s">
        <v>508</v>
      </c>
      <c r="D119" s="48" t="s">
        <v>386</v>
      </c>
      <c r="E119" s="48" t="s">
        <v>387</v>
      </c>
      <c r="F119" s="49">
        <v>1</v>
      </c>
      <c r="G119" s="49">
        <v>54</v>
      </c>
      <c r="J119" s="49">
        <v>118</v>
      </c>
    </row>
    <row r="120" spans="1:10" s="49" customFormat="1" ht="15" x14ac:dyDescent="0.25">
      <c r="A120" s="48">
        <v>4</v>
      </c>
      <c r="B120" s="48" t="s">
        <v>505</v>
      </c>
      <c r="C120" s="48" t="s">
        <v>508</v>
      </c>
      <c r="D120" s="48" t="s">
        <v>386</v>
      </c>
      <c r="E120" s="48" t="s">
        <v>387</v>
      </c>
      <c r="F120" s="49">
        <v>2</v>
      </c>
      <c r="G120" s="49">
        <v>34</v>
      </c>
      <c r="J120" s="49">
        <v>119</v>
      </c>
    </row>
    <row r="121" spans="1:10" s="49" customFormat="1" ht="15" x14ac:dyDescent="0.25">
      <c r="A121" s="48">
        <v>4</v>
      </c>
      <c r="B121" s="48" t="s">
        <v>505</v>
      </c>
      <c r="C121" s="48" t="s">
        <v>508</v>
      </c>
      <c r="D121" s="48" t="s">
        <v>386</v>
      </c>
      <c r="E121" s="48" t="s">
        <v>387</v>
      </c>
      <c r="F121" s="49">
        <v>3</v>
      </c>
      <c r="G121" s="49">
        <v>51</v>
      </c>
      <c r="J121" s="49">
        <v>120</v>
      </c>
    </row>
    <row r="122" spans="1:10" s="49" customFormat="1" ht="15" x14ac:dyDescent="0.25">
      <c r="A122" s="48">
        <v>4</v>
      </c>
      <c r="B122" s="48" t="s">
        <v>505</v>
      </c>
      <c r="C122" s="48" t="s">
        <v>508</v>
      </c>
      <c r="D122" s="48" t="s">
        <v>386</v>
      </c>
      <c r="E122" s="48" t="s">
        <v>387</v>
      </c>
      <c r="F122" s="49">
        <v>4</v>
      </c>
      <c r="G122" s="49">
        <v>49</v>
      </c>
      <c r="J122" s="49">
        <v>121</v>
      </c>
    </row>
    <row r="123" spans="1:10" s="49" customFormat="1" ht="15" x14ac:dyDescent="0.25">
      <c r="A123" s="48">
        <v>4</v>
      </c>
      <c r="B123" s="48" t="s">
        <v>505</v>
      </c>
      <c r="C123" s="48" t="s">
        <v>508</v>
      </c>
      <c r="D123" s="48" t="s">
        <v>386</v>
      </c>
      <c r="E123" s="48" t="s">
        <v>387</v>
      </c>
      <c r="F123" s="49">
        <v>5</v>
      </c>
      <c r="G123" s="49">
        <v>31</v>
      </c>
      <c r="J123" s="49">
        <v>122</v>
      </c>
    </row>
    <row r="124" spans="1:10" s="49" customFormat="1" ht="15" x14ac:dyDescent="0.25">
      <c r="A124" s="48">
        <v>4</v>
      </c>
      <c r="B124" s="48" t="s">
        <v>505</v>
      </c>
      <c r="C124" s="48" t="s">
        <v>508</v>
      </c>
      <c r="D124" s="48" t="s">
        <v>386</v>
      </c>
      <c r="E124" s="48" t="s">
        <v>387</v>
      </c>
      <c r="F124" s="49">
        <v>6</v>
      </c>
      <c r="G124" s="49">
        <v>27</v>
      </c>
      <c r="J124" s="49">
        <v>123</v>
      </c>
    </row>
    <row r="125" spans="1:10" s="49" customFormat="1" ht="15" x14ac:dyDescent="0.25">
      <c r="A125" s="48">
        <v>4</v>
      </c>
      <c r="B125" s="48" t="s">
        <v>505</v>
      </c>
      <c r="C125" s="48" t="s">
        <v>508</v>
      </c>
      <c r="D125" s="48" t="s">
        <v>386</v>
      </c>
      <c r="E125" s="48" t="s">
        <v>387</v>
      </c>
      <c r="F125" s="49">
        <v>7</v>
      </c>
      <c r="G125" s="49">
        <v>89</v>
      </c>
      <c r="J125" s="49">
        <v>124</v>
      </c>
    </row>
    <row r="126" spans="1:10" s="49" customFormat="1" ht="15" x14ac:dyDescent="0.25">
      <c r="A126" s="48">
        <v>4</v>
      </c>
      <c r="B126" s="48" t="s">
        <v>505</v>
      </c>
      <c r="C126" s="48" t="s">
        <v>508</v>
      </c>
      <c r="D126" s="48" t="s">
        <v>386</v>
      </c>
      <c r="E126" s="48" t="s">
        <v>387</v>
      </c>
      <c r="F126" s="49">
        <v>8</v>
      </c>
      <c r="G126" s="49">
        <v>26</v>
      </c>
      <c r="J126" s="49">
        <v>125</v>
      </c>
    </row>
    <row r="127" spans="1:10" s="49" customFormat="1" ht="15" x14ac:dyDescent="0.25">
      <c r="A127" s="48">
        <v>4</v>
      </c>
      <c r="B127" s="48" t="s">
        <v>505</v>
      </c>
      <c r="C127" s="48" t="s">
        <v>508</v>
      </c>
      <c r="D127" s="48" t="s">
        <v>386</v>
      </c>
      <c r="E127" s="48" t="s">
        <v>387</v>
      </c>
      <c r="F127" s="49">
        <v>9</v>
      </c>
      <c r="G127" s="49">
        <v>23</v>
      </c>
      <c r="J127" s="49">
        <v>126</v>
      </c>
    </row>
    <row r="128" spans="1:10" s="49" customFormat="1" ht="15" x14ac:dyDescent="0.25">
      <c r="A128" s="48">
        <v>4</v>
      </c>
      <c r="B128" s="48" t="s">
        <v>505</v>
      </c>
      <c r="C128" s="48" t="s">
        <v>508</v>
      </c>
      <c r="D128" s="48" t="s">
        <v>386</v>
      </c>
      <c r="E128" s="48" t="s">
        <v>387</v>
      </c>
      <c r="F128" s="49">
        <v>10</v>
      </c>
      <c r="G128" s="49">
        <v>36</v>
      </c>
      <c r="J128" s="49">
        <v>127</v>
      </c>
    </row>
    <row r="129" spans="1:10" s="49" customFormat="1" ht="15" x14ac:dyDescent="0.25">
      <c r="A129" s="48">
        <v>4</v>
      </c>
      <c r="B129" s="48" t="s">
        <v>505</v>
      </c>
      <c r="C129" s="48" t="s">
        <v>508</v>
      </c>
      <c r="D129" s="48" t="s">
        <v>386</v>
      </c>
      <c r="E129" s="48" t="s">
        <v>387</v>
      </c>
      <c r="F129" s="49">
        <v>11</v>
      </c>
      <c r="G129" s="49">
        <v>35</v>
      </c>
      <c r="J129" s="49">
        <v>128</v>
      </c>
    </row>
    <row r="130" spans="1:10" s="49" customFormat="1" ht="15" x14ac:dyDescent="0.25">
      <c r="A130" s="48">
        <v>4</v>
      </c>
      <c r="B130" s="48" t="s">
        <v>505</v>
      </c>
      <c r="C130" s="48" t="s">
        <v>508</v>
      </c>
      <c r="D130" s="48" t="s">
        <v>386</v>
      </c>
      <c r="E130" s="48" t="s">
        <v>387</v>
      </c>
      <c r="F130" s="49">
        <v>12</v>
      </c>
      <c r="G130" s="49">
        <v>16</v>
      </c>
      <c r="J130" s="49">
        <v>129</v>
      </c>
    </row>
    <row r="131" spans="1:10" s="49" customFormat="1" ht="15" x14ac:dyDescent="0.25">
      <c r="A131" s="48">
        <v>4</v>
      </c>
      <c r="B131" s="48" t="s">
        <v>505</v>
      </c>
      <c r="C131" s="48" t="s">
        <v>508</v>
      </c>
      <c r="D131" s="48" t="s">
        <v>386</v>
      </c>
      <c r="E131" s="48" t="s">
        <v>387</v>
      </c>
      <c r="F131" s="49">
        <v>13</v>
      </c>
      <c r="G131" s="49">
        <v>33</v>
      </c>
      <c r="J131" s="49">
        <v>130</v>
      </c>
    </row>
    <row r="132" spans="1:10" s="49" customFormat="1" ht="15" x14ac:dyDescent="0.25">
      <c r="A132" s="48">
        <v>4</v>
      </c>
      <c r="B132" s="48" t="s">
        <v>505</v>
      </c>
      <c r="C132" s="48" t="s">
        <v>508</v>
      </c>
      <c r="D132" s="48" t="s">
        <v>386</v>
      </c>
      <c r="E132" s="48" t="s">
        <v>387</v>
      </c>
      <c r="F132" s="49">
        <v>14</v>
      </c>
      <c r="G132" s="49">
        <v>45</v>
      </c>
      <c r="J132" s="49">
        <v>131</v>
      </c>
    </row>
    <row r="133" spans="1:10" s="49" customFormat="1" ht="15" x14ac:dyDescent="0.25">
      <c r="A133" s="48">
        <v>4</v>
      </c>
      <c r="B133" s="48" t="s">
        <v>505</v>
      </c>
      <c r="C133" s="48" t="s">
        <v>508</v>
      </c>
      <c r="D133" s="48" t="s">
        <v>386</v>
      </c>
      <c r="E133" s="48" t="s">
        <v>387</v>
      </c>
      <c r="F133" s="49">
        <v>15</v>
      </c>
      <c r="G133" s="49">
        <v>41</v>
      </c>
      <c r="J133" s="49">
        <v>132</v>
      </c>
    </row>
    <row r="134" spans="1:10" s="49" customFormat="1" ht="15" x14ac:dyDescent="0.25">
      <c r="A134" s="48">
        <v>4</v>
      </c>
      <c r="B134" s="48" t="s">
        <v>505</v>
      </c>
      <c r="C134" s="48" t="s">
        <v>508</v>
      </c>
      <c r="D134" s="48" t="s">
        <v>386</v>
      </c>
      <c r="E134" s="48" t="s">
        <v>387</v>
      </c>
      <c r="F134" s="49">
        <v>16</v>
      </c>
      <c r="G134" s="49">
        <v>35</v>
      </c>
      <c r="J134" s="49">
        <v>133</v>
      </c>
    </row>
    <row r="135" spans="1:10" s="49" customFormat="1" ht="15" x14ac:dyDescent="0.25">
      <c r="A135" s="48">
        <v>4</v>
      </c>
      <c r="B135" s="48" t="s">
        <v>505</v>
      </c>
      <c r="C135" s="48" t="s">
        <v>508</v>
      </c>
      <c r="D135" s="48" t="s">
        <v>386</v>
      </c>
      <c r="E135" s="48" t="s">
        <v>387</v>
      </c>
      <c r="F135" s="49">
        <v>17</v>
      </c>
      <c r="G135" s="49">
        <v>28</v>
      </c>
      <c r="J135" s="49">
        <v>134</v>
      </c>
    </row>
    <row r="136" spans="1:10" s="49" customFormat="1" ht="15" x14ac:dyDescent="0.25">
      <c r="A136" s="48">
        <v>4</v>
      </c>
      <c r="B136" s="48" t="s">
        <v>505</v>
      </c>
      <c r="C136" s="48" t="s">
        <v>508</v>
      </c>
      <c r="D136" s="48" t="s">
        <v>386</v>
      </c>
      <c r="E136" s="48" t="s">
        <v>387</v>
      </c>
      <c r="F136" s="49">
        <v>18</v>
      </c>
      <c r="G136" s="49">
        <v>32</v>
      </c>
      <c r="J136" s="49">
        <v>135</v>
      </c>
    </row>
    <row r="137" spans="1:10" s="49" customFormat="1" ht="15" x14ac:dyDescent="0.25">
      <c r="A137" s="48">
        <v>4</v>
      </c>
      <c r="B137" s="48" t="s">
        <v>505</v>
      </c>
      <c r="C137" s="48" t="s">
        <v>508</v>
      </c>
      <c r="D137" s="48" t="s">
        <v>386</v>
      </c>
      <c r="E137" s="48" t="s">
        <v>387</v>
      </c>
      <c r="F137" s="49">
        <v>19</v>
      </c>
      <c r="G137" s="49">
        <v>22</v>
      </c>
      <c r="J137" s="49">
        <v>136</v>
      </c>
    </row>
    <row r="138" spans="1:10" s="49" customFormat="1" ht="15" x14ac:dyDescent="0.25">
      <c r="A138" s="48">
        <v>4</v>
      </c>
      <c r="B138" s="48" t="s">
        <v>505</v>
      </c>
      <c r="C138" s="48" t="s">
        <v>508</v>
      </c>
      <c r="D138" s="48" t="s">
        <v>386</v>
      </c>
      <c r="E138" s="48" t="s">
        <v>387</v>
      </c>
      <c r="F138" s="49">
        <v>20</v>
      </c>
      <c r="G138" s="49">
        <v>29</v>
      </c>
      <c r="J138" s="49">
        <v>137</v>
      </c>
    </row>
    <row r="139" spans="1:10" s="49" customFormat="1" ht="15" x14ac:dyDescent="0.25">
      <c r="A139" s="48">
        <v>4</v>
      </c>
      <c r="B139" s="48" t="s">
        <v>505</v>
      </c>
      <c r="C139" s="48" t="s">
        <v>508</v>
      </c>
      <c r="D139" s="48" t="s">
        <v>386</v>
      </c>
      <c r="E139" s="48" t="s">
        <v>387</v>
      </c>
      <c r="F139" s="49">
        <v>21</v>
      </c>
      <c r="G139" s="49">
        <v>35</v>
      </c>
      <c r="J139" s="49">
        <v>138</v>
      </c>
    </row>
    <row r="140" spans="1:10" s="49" customFormat="1" ht="15" x14ac:dyDescent="0.25">
      <c r="A140" s="48">
        <v>4</v>
      </c>
      <c r="B140" s="48" t="s">
        <v>505</v>
      </c>
      <c r="C140" s="48" t="s">
        <v>508</v>
      </c>
      <c r="D140" s="48" t="s">
        <v>386</v>
      </c>
      <c r="E140" s="48" t="s">
        <v>387</v>
      </c>
      <c r="F140" s="49">
        <v>22</v>
      </c>
      <c r="G140" s="49">
        <v>41</v>
      </c>
      <c r="J140" s="49">
        <v>139</v>
      </c>
    </row>
    <row r="141" spans="1:10" s="49" customFormat="1" ht="15" x14ac:dyDescent="0.25">
      <c r="A141" s="48">
        <v>4</v>
      </c>
      <c r="B141" s="48" t="s">
        <v>505</v>
      </c>
      <c r="C141" s="48" t="s">
        <v>508</v>
      </c>
      <c r="D141" s="48" t="s">
        <v>386</v>
      </c>
      <c r="E141" s="48" t="s">
        <v>387</v>
      </c>
      <c r="F141" s="49">
        <v>23</v>
      </c>
      <c r="G141" s="49">
        <v>30</v>
      </c>
      <c r="J141" s="49">
        <v>140</v>
      </c>
    </row>
    <row r="142" spans="1:10" s="49" customFormat="1" ht="15" x14ac:dyDescent="0.25">
      <c r="A142" s="48">
        <v>4</v>
      </c>
      <c r="B142" s="48" t="s">
        <v>505</v>
      </c>
      <c r="C142" s="48" t="s">
        <v>508</v>
      </c>
      <c r="D142" s="48" t="s">
        <v>386</v>
      </c>
      <c r="E142" s="48" t="s">
        <v>387</v>
      </c>
      <c r="F142" s="49">
        <v>24</v>
      </c>
      <c r="G142" s="49">
        <v>25</v>
      </c>
      <c r="J142" s="49">
        <v>141</v>
      </c>
    </row>
    <row r="143" spans="1:10" s="49" customFormat="1" ht="15" x14ac:dyDescent="0.25">
      <c r="A143" s="48">
        <v>4</v>
      </c>
      <c r="B143" s="48" t="s">
        <v>505</v>
      </c>
      <c r="C143" s="48" t="s">
        <v>508</v>
      </c>
      <c r="D143" s="48" t="s">
        <v>386</v>
      </c>
      <c r="E143" s="48" t="s">
        <v>387</v>
      </c>
      <c r="F143" s="49">
        <v>25</v>
      </c>
      <c r="G143" s="49">
        <v>18</v>
      </c>
      <c r="J143" s="49">
        <v>142</v>
      </c>
    </row>
    <row r="144" spans="1:10" s="49" customFormat="1" ht="15" x14ac:dyDescent="0.25">
      <c r="A144" s="48">
        <v>4</v>
      </c>
      <c r="B144" s="48" t="s">
        <v>505</v>
      </c>
      <c r="C144" s="48" t="s">
        <v>508</v>
      </c>
      <c r="D144" s="48" t="s">
        <v>386</v>
      </c>
      <c r="E144" s="48" t="s">
        <v>387</v>
      </c>
      <c r="F144" s="49">
        <v>26</v>
      </c>
      <c r="G144" s="49">
        <v>65</v>
      </c>
      <c r="J144" s="49">
        <v>143</v>
      </c>
    </row>
    <row r="145" spans="1:10" s="49" customFormat="1" ht="15" x14ac:dyDescent="0.25">
      <c r="A145" s="48">
        <v>4</v>
      </c>
      <c r="B145" s="48" t="s">
        <v>505</v>
      </c>
      <c r="C145" s="48" t="s">
        <v>508</v>
      </c>
      <c r="D145" s="48" t="s">
        <v>386</v>
      </c>
      <c r="E145" s="48" t="s">
        <v>387</v>
      </c>
      <c r="F145" s="49">
        <v>27</v>
      </c>
      <c r="G145" s="49">
        <v>23</v>
      </c>
      <c r="J145" s="49">
        <v>144</v>
      </c>
    </row>
    <row r="146" spans="1:10" s="49" customFormat="1" ht="15" x14ac:dyDescent="0.25">
      <c r="A146" s="48">
        <v>4</v>
      </c>
      <c r="B146" s="48" t="s">
        <v>505</v>
      </c>
      <c r="C146" s="48" t="s">
        <v>508</v>
      </c>
      <c r="D146" s="48" t="s">
        <v>386</v>
      </c>
      <c r="E146" s="48" t="s">
        <v>387</v>
      </c>
      <c r="F146" s="49">
        <v>28</v>
      </c>
      <c r="G146" s="49">
        <v>31</v>
      </c>
      <c r="J146" s="49">
        <v>145</v>
      </c>
    </row>
    <row r="147" spans="1:10" s="49" customFormat="1" ht="15" x14ac:dyDescent="0.25">
      <c r="A147" s="48">
        <v>4</v>
      </c>
      <c r="B147" s="48" t="s">
        <v>505</v>
      </c>
      <c r="C147" s="48" t="s">
        <v>508</v>
      </c>
      <c r="D147" s="48" t="s">
        <v>386</v>
      </c>
      <c r="E147" s="48" t="s">
        <v>387</v>
      </c>
      <c r="F147" s="49">
        <v>29</v>
      </c>
      <c r="G147" s="49">
        <v>39</v>
      </c>
      <c r="J147" s="49">
        <v>146</v>
      </c>
    </row>
    <row r="148" spans="1:10" s="49" customFormat="1" ht="15" x14ac:dyDescent="0.25">
      <c r="A148" s="48">
        <v>4</v>
      </c>
      <c r="B148" s="48" t="s">
        <v>505</v>
      </c>
      <c r="C148" s="48" t="s">
        <v>508</v>
      </c>
      <c r="D148" s="48" t="s">
        <v>386</v>
      </c>
      <c r="E148" s="48" t="s">
        <v>387</v>
      </c>
      <c r="F148" s="49">
        <v>30</v>
      </c>
      <c r="G148" s="49">
        <v>17</v>
      </c>
      <c r="J148" s="49">
        <v>147</v>
      </c>
    </row>
    <row r="149" spans="1:10" s="49" customFormat="1" ht="15" x14ac:dyDescent="0.25">
      <c r="A149" s="48">
        <v>4</v>
      </c>
      <c r="B149" s="48" t="s">
        <v>505</v>
      </c>
      <c r="C149" s="48" t="s">
        <v>508</v>
      </c>
      <c r="D149" s="48" t="s">
        <v>386</v>
      </c>
      <c r="E149" s="48" t="s">
        <v>387</v>
      </c>
      <c r="F149" s="49">
        <v>31</v>
      </c>
      <c r="G149" s="49">
        <v>54</v>
      </c>
      <c r="J149" s="49">
        <v>148</v>
      </c>
    </row>
    <row r="150" spans="1:10" s="49" customFormat="1" ht="15" x14ac:dyDescent="0.25">
      <c r="A150" s="48">
        <v>4</v>
      </c>
      <c r="B150" s="48" t="s">
        <v>505</v>
      </c>
      <c r="C150" s="48" t="s">
        <v>508</v>
      </c>
      <c r="D150" s="48" t="s">
        <v>386</v>
      </c>
      <c r="E150" s="48" t="s">
        <v>387</v>
      </c>
      <c r="F150" s="49">
        <v>32</v>
      </c>
      <c r="G150" s="49">
        <v>42</v>
      </c>
      <c r="J150" s="49">
        <v>149</v>
      </c>
    </row>
    <row r="151" spans="1:10" s="49" customFormat="1" ht="15" x14ac:dyDescent="0.25">
      <c r="A151" s="48">
        <v>4</v>
      </c>
      <c r="B151" s="48" t="s">
        <v>505</v>
      </c>
      <c r="C151" s="48" t="s">
        <v>508</v>
      </c>
      <c r="D151" s="48" t="s">
        <v>386</v>
      </c>
      <c r="E151" s="48" t="s">
        <v>387</v>
      </c>
      <c r="F151" s="49">
        <v>33</v>
      </c>
      <c r="G151" s="49">
        <v>56</v>
      </c>
      <c r="J151" s="49">
        <v>150</v>
      </c>
    </row>
    <row r="152" spans="1:10" s="49" customFormat="1" ht="15" x14ac:dyDescent="0.25">
      <c r="A152" s="48">
        <v>4</v>
      </c>
      <c r="B152" s="48" t="s">
        <v>505</v>
      </c>
      <c r="C152" s="48" t="s">
        <v>508</v>
      </c>
      <c r="D152" s="48" t="s">
        <v>386</v>
      </c>
      <c r="E152" s="48" t="s">
        <v>387</v>
      </c>
      <c r="F152" s="49">
        <v>34</v>
      </c>
      <c r="G152" s="49">
        <v>29</v>
      </c>
      <c r="J152" s="49">
        <v>151</v>
      </c>
    </row>
    <row r="153" spans="1:10" s="49" customFormat="1" ht="15" x14ac:dyDescent="0.25">
      <c r="A153" s="48">
        <v>4</v>
      </c>
      <c r="B153" s="48" t="s">
        <v>505</v>
      </c>
      <c r="C153" s="48" t="s">
        <v>508</v>
      </c>
      <c r="D153" s="48" t="s">
        <v>386</v>
      </c>
      <c r="E153" s="48" t="s">
        <v>387</v>
      </c>
      <c r="F153" s="49">
        <v>35</v>
      </c>
      <c r="G153" s="49">
        <v>34</v>
      </c>
      <c r="J153" s="49">
        <v>152</v>
      </c>
    </row>
    <row r="154" spans="1:10" s="49" customFormat="1" thickBot="1" x14ac:dyDescent="0.3">
      <c r="A154" s="48">
        <v>4</v>
      </c>
      <c r="B154" s="48" t="s">
        <v>505</v>
      </c>
      <c r="C154" s="48" t="s">
        <v>508</v>
      </c>
      <c r="D154" s="51" t="s">
        <v>386</v>
      </c>
      <c r="E154" s="51" t="s">
        <v>387</v>
      </c>
      <c r="F154" s="52">
        <v>36</v>
      </c>
      <c r="G154" s="52">
        <v>13</v>
      </c>
      <c r="H154" s="52">
        <v>1288</v>
      </c>
      <c r="I154" s="52">
        <v>36</v>
      </c>
      <c r="J154" s="49">
        <v>153</v>
      </c>
    </row>
    <row r="155" spans="1:10" s="49" customFormat="1" thickTop="1" x14ac:dyDescent="0.25">
      <c r="A155" s="48">
        <v>5</v>
      </c>
      <c r="B155" s="48" t="s">
        <v>505</v>
      </c>
      <c r="C155" s="48" t="s">
        <v>508</v>
      </c>
      <c r="D155" s="48" t="s">
        <v>388</v>
      </c>
      <c r="E155" s="48" t="s">
        <v>389</v>
      </c>
      <c r="F155" s="49">
        <v>1</v>
      </c>
      <c r="G155" s="49">
        <v>46</v>
      </c>
      <c r="J155" s="49">
        <v>154</v>
      </c>
    </row>
    <row r="156" spans="1:10" s="49" customFormat="1" ht="15" x14ac:dyDescent="0.25">
      <c r="A156" s="48">
        <v>5</v>
      </c>
      <c r="B156" s="48" t="s">
        <v>505</v>
      </c>
      <c r="C156" s="48" t="s">
        <v>508</v>
      </c>
      <c r="D156" s="48" t="s">
        <v>388</v>
      </c>
      <c r="E156" s="48" t="s">
        <v>389</v>
      </c>
      <c r="F156" s="49">
        <v>2</v>
      </c>
      <c r="G156" s="49">
        <v>37</v>
      </c>
      <c r="J156" s="49">
        <v>155</v>
      </c>
    </row>
    <row r="157" spans="1:10" s="49" customFormat="1" ht="15" x14ac:dyDescent="0.25">
      <c r="A157" s="48">
        <v>5</v>
      </c>
      <c r="B157" s="48" t="s">
        <v>505</v>
      </c>
      <c r="C157" s="48" t="s">
        <v>508</v>
      </c>
      <c r="D157" s="48" t="s">
        <v>388</v>
      </c>
      <c r="E157" s="48" t="s">
        <v>389</v>
      </c>
      <c r="F157" s="49">
        <v>3</v>
      </c>
      <c r="G157" s="49">
        <v>28</v>
      </c>
      <c r="J157" s="49">
        <v>156</v>
      </c>
    </row>
    <row r="158" spans="1:10" s="49" customFormat="1" ht="15" x14ac:dyDescent="0.25">
      <c r="A158" s="48">
        <v>5</v>
      </c>
      <c r="B158" s="48" t="s">
        <v>505</v>
      </c>
      <c r="C158" s="48" t="s">
        <v>508</v>
      </c>
      <c r="D158" s="48" t="s">
        <v>388</v>
      </c>
      <c r="E158" s="48" t="s">
        <v>389</v>
      </c>
      <c r="F158" s="49">
        <v>4</v>
      </c>
      <c r="G158" s="49">
        <v>49</v>
      </c>
      <c r="J158" s="49">
        <v>157</v>
      </c>
    </row>
    <row r="159" spans="1:10" s="49" customFormat="1" ht="15" x14ac:dyDescent="0.25">
      <c r="A159" s="48">
        <v>5</v>
      </c>
      <c r="B159" s="48" t="s">
        <v>505</v>
      </c>
      <c r="C159" s="48" t="s">
        <v>508</v>
      </c>
      <c r="D159" s="48" t="s">
        <v>388</v>
      </c>
      <c r="E159" s="48" t="s">
        <v>389</v>
      </c>
      <c r="F159" s="49">
        <v>5</v>
      </c>
      <c r="G159" s="49">
        <v>33</v>
      </c>
      <c r="J159" s="49">
        <v>158</v>
      </c>
    </row>
    <row r="160" spans="1:10" s="49" customFormat="1" ht="15" x14ac:dyDescent="0.25">
      <c r="A160" s="48">
        <v>5</v>
      </c>
      <c r="B160" s="48" t="s">
        <v>505</v>
      </c>
      <c r="C160" s="48" t="s">
        <v>508</v>
      </c>
      <c r="D160" s="48" t="s">
        <v>388</v>
      </c>
      <c r="E160" s="48" t="s">
        <v>389</v>
      </c>
      <c r="F160" s="49">
        <v>6</v>
      </c>
      <c r="G160" s="49">
        <v>25</v>
      </c>
      <c r="J160" s="49">
        <v>159</v>
      </c>
    </row>
    <row r="161" spans="1:10" s="49" customFormat="1" ht="15" x14ac:dyDescent="0.25">
      <c r="A161" s="48">
        <v>5</v>
      </c>
      <c r="B161" s="48" t="s">
        <v>505</v>
      </c>
      <c r="C161" s="48" t="s">
        <v>508</v>
      </c>
      <c r="D161" s="48" t="s">
        <v>388</v>
      </c>
      <c r="E161" s="48" t="s">
        <v>389</v>
      </c>
      <c r="F161" s="49">
        <v>7</v>
      </c>
      <c r="G161" s="49">
        <v>26</v>
      </c>
      <c r="J161" s="49">
        <v>160</v>
      </c>
    </row>
    <row r="162" spans="1:10" s="49" customFormat="1" ht="15" x14ac:dyDescent="0.25">
      <c r="A162" s="48">
        <v>5</v>
      </c>
      <c r="B162" s="48" t="s">
        <v>505</v>
      </c>
      <c r="C162" s="48" t="s">
        <v>508</v>
      </c>
      <c r="D162" s="48" t="s">
        <v>388</v>
      </c>
      <c r="E162" s="48" t="s">
        <v>389</v>
      </c>
      <c r="F162" s="49">
        <v>8</v>
      </c>
      <c r="G162" s="49">
        <v>20</v>
      </c>
      <c r="J162" s="49">
        <v>161</v>
      </c>
    </row>
    <row r="163" spans="1:10" s="49" customFormat="1" ht="15" x14ac:dyDescent="0.25">
      <c r="A163" s="48">
        <v>5</v>
      </c>
      <c r="B163" s="48" t="s">
        <v>505</v>
      </c>
      <c r="C163" s="48" t="s">
        <v>508</v>
      </c>
      <c r="D163" s="48" t="s">
        <v>388</v>
      </c>
      <c r="E163" s="48" t="s">
        <v>389</v>
      </c>
      <c r="F163" s="49">
        <v>9</v>
      </c>
      <c r="G163" s="49">
        <v>29</v>
      </c>
      <c r="J163" s="49">
        <v>162</v>
      </c>
    </row>
    <row r="164" spans="1:10" s="49" customFormat="1" ht="15" x14ac:dyDescent="0.25">
      <c r="A164" s="48">
        <v>5</v>
      </c>
      <c r="B164" s="48" t="s">
        <v>505</v>
      </c>
      <c r="C164" s="48" t="s">
        <v>508</v>
      </c>
      <c r="D164" s="48" t="s">
        <v>388</v>
      </c>
      <c r="E164" s="48" t="s">
        <v>389</v>
      </c>
      <c r="F164" s="49">
        <v>10</v>
      </c>
      <c r="G164" s="49">
        <v>22</v>
      </c>
      <c r="J164" s="49">
        <v>163</v>
      </c>
    </row>
    <row r="165" spans="1:10" s="49" customFormat="1" ht="15" x14ac:dyDescent="0.25">
      <c r="A165" s="48">
        <v>5</v>
      </c>
      <c r="B165" s="48" t="s">
        <v>505</v>
      </c>
      <c r="C165" s="48" t="s">
        <v>508</v>
      </c>
      <c r="D165" s="48" t="s">
        <v>388</v>
      </c>
      <c r="E165" s="48" t="s">
        <v>389</v>
      </c>
      <c r="F165" s="49">
        <v>11</v>
      </c>
      <c r="G165" s="49">
        <v>32</v>
      </c>
      <c r="J165" s="49">
        <v>164</v>
      </c>
    </row>
    <row r="166" spans="1:10" s="49" customFormat="1" ht="15" x14ac:dyDescent="0.25">
      <c r="A166" s="48">
        <v>5</v>
      </c>
      <c r="B166" s="48" t="s">
        <v>505</v>
      </c>
      <c r="C166" s="48" t="s">
        <v>508</v>
      </c>
      <c r="D166" s="48" t="s">
        <v>388</v>
      </c>
      <c r="E166" s="48" t="s">
        <v>389</v>
      </c>
      <c r="F166" s="49">
        <v>12</v>
      </c>
      <c r="G166" s="49">
        <v>31</v>
      </c>
      <c r="J166" s="49">
        <v>165</v>
      </c>
    </row>
    <row r="167" spans="1:10" s="49" customFormat="1" ht="15" x14ac:dyDescent="0.25">
      <c r="A167" s="48">
        <v>5</v>
      </c>
      <c r="B167" s="48" t="s">
        <v>505</v>
      </c>
      <c r="C167" s="48" t="s">
        <v>508</v>
      </c>
      <c r="D167" s="48" t="s">
        <v>388</v>
      </c>
      <c r="E167" s="48" t="s">
        <v>389</v>
      </c>
      <c r="F167" s="49">
        <v>13</v>
      </c>
      <c r="G167" s="49">
        <v>19</v>
      </c>
      <c r="J167" s="49">
        <v>166</v>
      </c>
    </row>
    <row r="168" spans="1:10" s="49" customFormat="1" ht="15" x14ac:dyDescent="0.25">
      <c r="A168" s="48">
        <v>5</v>
      </c>
      <c r="B168" s="48" t="s">
        <v>505</v>
      </c>
      <c r="C168" s="48" t="s">
        <v>508</v>
      </c>
      <c r="D168" s="48" t="s">
        <v>388</v>
      </c>
      <c r="E168" s="48" t="s">
        <v>389</v>
      </c>
      <c r="F168" s="49">
        <v>14</v>
      </c>
      <c r="G168" s="49">
        <v>29</v>
      </c>
      <c r="J168" s="49">
        <v>167</v>
      </c>
    </row>
    <row r="169" spans="1:10" s="49" customFormat="1" ht="15" x14ac:dyDescent="0.25">
      <c r="A169" s="48">
        <v>5</v>
      </c>
      <c r="B169" s="48" t="s">
        <v>505</v>
      </c>
      <c r="C169" s="48" t="s">
        <v>508</v>
      </c>
      <c r="D169" s="48" t="s">
        <v>388</v>
      </c>
      <c r="E169" s="48" t="s">
        <v>389</v>
      </c>
      <c r="F169" s="49">
        <v>15</v>
      </c>
      <c r="G169" s="49">
        <v>23</v>
      </c>
      <c r="J169" s="49">
        <v>168</v>
      </c>
    </row>
    <row r="170" spans="1:10" s="49" customFormat="1" ht="15" x14ac:dyDescent="0.25">
      <c r="A170" s="48">
        <v>5</v>
      </c>
      <c r="B170" s="48" t="s">
        <v>505</v>
      </c>
      <c r="C170" s="48" t="s">
        <v>508</v>
      </c>
      <c r="D170" s="48" t="s">
        <v>388</v>
      </c>
      <c r="E170" s="48" t="s">
        <v>389</v>
      </c>
      <c r="F170" s="49">
        <v>16</v>
      </c>
      <c r="G170" s="49">
        <v>21</v>
      </c>
      <c r="J170" s="49">
        <v>169</v>
      </c>
    </row>
    <row r="171" spans="1:10" s="49" customFormat="1" ht="15" x14ac:dyDescent="0.25">
      <c r="A171" s="48">
        <v>5</v>
      </c>
      <c r="B171" s="48" t="s">
        <v>505</v>
      </c>
      <c r="C171" s="48" t="s">
        <v>508</v>
      </c>
      <c r="D171" s="48" t="s">
        <v>388</v>
      </c>
      <c r="E171" s="48" t="s">
        <v>389</v>
      </c>
      <c r="F171" s="49">
        <v>17</v>
      </c>
      <c r="G171" s="49">
        <v>20</v>
      </c>
      <c r="J171" s="49">
        <v>170</v>
      </c>
    </row>
    <row r="172" spans="1:10" s="49" customFormat="1" ht="15" x14ac:dyDescent="0.25">
      <c r="A172" s="48">
        <v>5</v>
      </c>
      <c r="B172" s="48" t="s">
        <v>505</v>
      </c>
      <c r="C172" s="48" t="s">
        <v>508</v>
      </c>
      <c r="D172" s="48" t="s">
        <v>388</v>
      </c>
      <c r="E172" s="48" t="s">
        <v>389</v>
      </c>
      <c r="F172" s="49">
        <v>18</v>
      </c>
      <c r="G172" s="49">
        <v>22</v>
      </c>
      <c r="J172" s="49">
        <v>171</v>
      </c>
    </row>
    <row r="173" spans="1:10" s="49" customFormat="1" ht="15" x14ac:dyDescent="0.25">
      <c r="A173" s="48">
        <v>5</v>
      </c>
      <c r="B173" s="48" t="s">
        <v>505</v>
      </c>
      <c r="C173" s="48" t="s">
        <v>508</v>
      </c>
      <c r="D173" s="48" t="s">
        <v>388</v>
      </c>
      <c r="E173" s="48" t="s">
        <v>389</v>
      </c>
      <c r="F173" s="49">
        <v>19</v>
      </c>
      <c r="G173" s="49">
        <v>21</v>
      </c>
      <c r="J173" s="49">
        <v>172</v>
      </c>
    </row>
    <row r="174" spans="1:10" s="49" customFormat="1" ht="15" x14ac:dyDescent="0.25">
      <c r="A174" s="48">
        <v>5</v>
      </c>
      <c r="B174" s="48" t="s">
        <v>505</v>
      </c>
      <c r="C174" s="48" t="s">
        <v>508</v>
      </c>
      <c r="D174" s="48" t="s">
        <v>388</v>
      </c>
      <c r="E174" s="48" t="s">
        <v>389</v>
      </c>
      <c r="F174" s="49">
        <v>20</v>
      </c>
      <c r="G174" s="49">
        <v>20</v>
      </c>
      <c r="J174" s="49">
        <v>173</v>
      </c>
    </row>
    <row r="175" spans="1:10" s="49" customFormat="1" ht="15" x14ac:dyDescent="0.25">
      <c r="A175" s="48">
        <v>5</v>
      </c>
      <c r="B175" s="48" t="s">
        <v>505</v>
      </c>
      <c r="C175" s="48" t="s">
        <v>508</v>
      </c>
      <c r="D175" s="48" t="s">
        <v>388</v>
      </c>
      <c r="E175" s="48" t="s">
        <v>389</v>
      </c>
      <c r="F175" s="49">
        <v>21</v>
      </c>
      <c r="G175" s="49">
        <v>23</v>
      </c>
      <c r="J175" s="49">
        <v>174</v>
      </c>
    </row>
    <row r="176" spans="1:10" s="49" customFormat="1" ht="15" x14ac:dyDescent="0.25">
      <c r="A176" s="48">
        <v>5</v>
      </c>
      <c r="B176" s="48" t="s">
        <v>505</v>
      </c>
      <c r="C176" s="48" t="s">
        <v>508</v>
      </c>
      <c r="D176" s="48" t="s">
        <v>388</v>
      </c>
      <c r="E176" s="48" t="s">
        <v>389</v>
      </c>
      <c r="F176" s="49">
        <v>22</v>
      </c>
      <c r="G176" s="49">
        <v>29</v>
      </c>
      <c r="J176" s="49">
        <v>175</v>
      </c>
    </row>
    <row r="177" spans="1:10" s="49" customFormat="1" ht="15" x14ac:dyDescent="0.25">
      <c r="A177" s="48">
        <v>5</v>
      </c>
      <c r="B177" s="48" t="s">
        <v>505</v>
      </c>
      <c r="C177" s="48" t="s">
        <v>508</v>
      </c>
      <c r="D177" s="48" t="s">
        <v>388</v>
      </c>
      <c r="E177" s="48" t="s">
        <v>389</v>
      </c>
      <c r="F177" s="49">
        <v>23</v>
      </c>
      <c r="G177" s="49">
        <v>26</v>
      </c>
      <c r="J177" s="49">
        <v>176</v>
      </c>
    </row>
    <row r="178" spans="1:10" s="49" customFormat="1" ht="15" x14ac:dyDescent="0.25">
      <c r="A178" s="48">
        <v>5</v>
      </c>
      <c r="B178" s="48" t="s">
        <v>505</v>
      </c>
      <c r="C178" s="48" t="s">
        <v>508</v>
      </c>
      <c r="D178" s="48" t="s">
        <v>388</v>
      </c>
      <c r="E178" s="48" t="s">
        <v>389</v>
      </c>
      <c r="F178" s="49">
        <v>24</v>
      </c>
      <c r="G178" s="49">
        <v>22</v>
      </c>
      <c r="J178" s="49">
        <v>177</v>
      </c>
    </row>
    <row r="179" spans="1:10" s="49" customFormat="1" ht="15" x14ac:dyDescent="0.25">
      <c r="A179" s="48">
        <v>5</v>
      </c>
      <c r="B179" s="48" t="s">
        <v>505</v>
      </c>
      <c r="C179" s="48" t="s">
        <v>508</v>
      </c>
      <c r="D179" s="48" t="s">
        <v>388</v>
      </c>
      <c r="E179" s="48" t="s">
        <v>389</v>
      </c>
      <c r="F179" s="49">
        <v>25</v>
      </c>
      <c r="G179" s="49">
        <v>19</v>
      </c>
      <c r="J179" s="49">
        <v>178</v>
      </c>
    </row>
    <row r="180" spans="1:10" s="49" customFormat="1" ht="15" x14ac:dyDescent="0.25">
      <c r="A180" s="48">
        <v>5</v>
      </c>
      <c r="B180" s="48" t="s">
        <v>505</v>
      </c>
      <c r="C180" s="48" t="s">
        <v>508</v>
      </c>
      <c r="D180" s="48" t="s">
        <v>388</v>
      </c>
      <c r="E180" s="48" t="s">
        <v>389</v>
      </c>
      <c r="F180" s="49">
        <v>26</v>
      </c>
      <c r="G180" s="49">
        <v>19</v>
      </c>
      <c r="J180" s="49">
        <v>179</v>
      </c>
    </row>
    <row r="181" spans="1:10" s="49" customFormat="1" ht="15" x14ac:dyDescent="0.25">
      <c r="A181" s="48">
        <v>5</v>
      </c>
      <c r="B181" s="48" t="s">
        <v>505</v>
      </c>
      <c r="C181" s="48" t="s">
        <v>508</v>
      </c>
      <c r="D181" s="48" t="s">
        <v>388</v>
      </c>
      <c r="E181" s="48" t="s">
        <v>389</v>
      </c>
      <c r="F181" s="49">
        <v>27</v>
      </c>
      <c r="G181" s="49">
        <v>26</v>
      </c>
      <c r="J181" s="49">
        <v>180</v>
      </c>
    </row>
    <row r="182" spans="1:10" s="49" customFormat="1" ht="15" x14ac:dyDescent="0.25">
      <c r="A182" s="48">
        <v>5</v>
      </c>
      <c r="B182" s="48" t="s">
        <v>505</v>
      </c>
      <c r="C182" s="48" t="s">
        <v>508</v>
      </c>
      <c r="D182" s="48" t="s">
        <v>388</v>
      </c>
      <c r="E182" s="48" t="s">
        <v>389</v>
      </c>
      <c r="F182" s="49">
        <v>28</v>
      </c>
      <c r="G182" s="49">
        <v>69</v>
      </c>
      <c r="J182" s="49">
        <v>181</v>
      </c>
    </row>
    <row r="183" spans="1:10" s="49" customFormat="1" ht="15" x14ac:dyDescent="0.25">
      <c r="A183" s="48">
        <v>5</v>
      </c>
      <c r="B183" s="48" t="s">
        <v>505</v>
      </c>
      <c r="C183" s="48" t="s">
        <v>508</v>
      </c>
      <c r="D183" s="48" t="s">
        <v>388</v>
      </c>
      <c r="E183" s="48" t="s">
        <v>389</v>
      </c>
      <c r="F183" s="49">
        <v>29</v>
      </c>
      <c r="G183" s="49">
        <v>28</v>
      </c>
      <c r="J183" s="49">
        <v>182</v>
      </c>
    </row>
    <row r="184" spans="1:10" s="49" customFormat="1" ht="15" x14ac:dyDescent="0.25">
      <c r="A184" s="48">
        <v>5</v>
      </c>
      <c r="B184" s="48" t="s">
        <v>505</v>
      </c>
      <c r="C184" s="48" t="s">
        <v>508</v>
      </c>
      <c r="D184" s="48" t="s">
        <v>388</v>
      </c>
      <c r="E184" s="48" t="s">
        <v>389</v>
      </c>
      <c r="F184" s="49">
        <v>30</v>
      </c>
      <c r="G184" s="49">
        <v>20</v>
      </c>
      <c r="J184" s="49">
        <v>183</v>
      </c>
    </row>
    <row r="185" spans="1:10" s="49" customFormat="1" ht="15" x14ac:dyDescent="0.25">
      <c r="A185" s="48">
        <v>5</v>
      </c>
      <c r="B185" s="48" t="s">
        <v>505</v>
      </c>
      <c r="C185" s="48" t="s">
        <v>508</v>
      </c>
      <c r="D185" s="48" t="s">
        <v>388</v>
      </c>
      <c r="E185" s="48" t="s">
        <v>389</v>
      </c>
      <c r="F185" s="49">
        <v>31</v>
      </c>
      <c r="G185" s="49">
        <v>30</v>
      </c>
      <c r="J185" s="49">
        <v>184</v>
      </c>
    </row>
    <row r="186" spans="1:10" s="49" customFormat="1" ht="15" x14ac:dyDescent="0.25">
      <c r="A186" s="48">
        <v>5</v>
      </c>
      <c r="B186" s="48" t="s">
        <v>505</v>
      </c>
      <c r="C186" s="48" t="s">
        <v>508</v>
      </c>
      <c r="D186" s="48" t="s">
        <v>388</v>
      </c>
      <c r="E186" s="48" t="s">
        <v>389</v>
      </c>
      <c r="F186" s="49">
        <v>32</v>
      </c>
      <c r="G186" s="49">
        <v>52</v>
      </c>
      <c r="J186" s="49">
        <v>185</v>
      </c>
    </row>
    <row r="187" spans="1:10" s="49" customFormat="1" ht="15" x14ac:dyDescent="0.25">
      <c r="A187" s="48">
        <v>5</v>
      </c>
      <c r="B187" s="48" t="s">
        <v>505</v>
      </c>
      <c r="C187" s="48" t="s">
        <v>508</v>
      </c>
      <c r="D187" s="48" t="s">
        <v>388</v>
      </c>
      <c r="E187" s="48" t="s">
        <v>389</v>
      </c>
      <c r="F187" s="49">
        <v>33</v>
      </c>
      <c r="G187" s="49">
        <v>29</v>
      </c>
      <c r="J187" s="49">
        <v>186</v>
      </c>
    </row>
    <row r="188" spans="1:10" s="49" customFormat="1" thickBot="1" x14ac:dyDescent="0.3">
      <c r="A188" s="48">
        <v>5</v>
      </c>
      <c r="B188" s="48" t="s">
        <v>505</v>
      </c>
      <c r="C188" s="48" t="s">
        <v>508</v>
      </c>
      <c r="D188" s="51" t="s">
        <v>388</v>
      </c>
      <c r="E188" s="51" t="s">
        <v>389</v>
      </c>
      <c r="F188" s="52">
        <v>34</v>
      </c>
      <c r="G188" s="52">
        <v>12</v>
      </c>
      <c r="H188" s="52">
        <v>957</v>
      </c>
      <c r="I188" s="52">
        <v>34</v>
      </c>
      <c r="J188" s="49">
        <v>187</v>
      </c>
    </row>
    <row r="189" spans="1:10" s="49" customFormat="1" thickTop="1" x14ac:dyDescent="0.25">
      <c r="A189" s="48">
        <v>6</v>
      </c>
      <c r="B189" s="48" t="s">
        <v>505</v>
      </c>
      <c r="C189" s="48" t="s">
        <v>509</v>
      </c>
      <c r="D189" s="48" t="s">
        <v>390</v>
      </c>
      <c r="E189" s="48" t="s">
        <v>391</v>
      </c>
      <c r="F189" s="49">
        <v>1</v>
      </c>
      <c r="G189" s="49">
        <v>18</v>
      </c>
      <c r="J189" s="49">
        <v>188</v>
      </c>
    </row>
    <row r="190" spans="1:10" s="49" customFormat="1" ht="15" x14ac:dyDescent="0.25">
      <c r="A190" s="48">
        <v>6</v>
      </c>
      <c r="B190" s="48" t="s">
        <v>505</v>
      </c>
      <c r="C190" s="48" t="s">
        <v>509</v>
      </c>
      <c r="D190" s="48" t="s">
        <v>390</v>
      </c>
      <c r="E190" s="48" t="s">
        <v>391</v>
      </c>
      <c r="F190" s="49">
        <v>2</v>
      </c>
      <c r="G190" s="49">
        <v>24</v>
      </c>
      <c r="J190" s="49">
        <v>189</v>
      </c>
    </row>
    <row r="191" spans="1:10" s="49" customFormat="1" ht="15" x14ac:dyDescent="0.25">
      <c r="A191" s="48">
        <v>6</v>
      </c>
      <c r="B191" s="48" t="s">
        <v>505</v>
      </c>
      <c r="C191" s="48" t="s">
        <v>509</v>
      </c>
      <c r="D191" s="48" t="s">
        <v>390</v>
      </c>
      <c r="E191" s="48" t="s">
        <v>391</v>
      </c>
      <c r="F191" s="49">
        <v>3</v>
      </c>
      <c r="G191" s="49">
        <v>17</v>
      </c>
      <c r="J191" s="49">
        <v>190</v>
      </c>
    </row>
    <row r="192" spans="1:10" s="49" customFormat="1" ht="15" x14ac:dyDescent="0.25">
      <c r="A192" s="48">
        <v>6</v>
      </c>
      <c r="B192" s="48" t="s">
        <v>505</v>
      </c>
      <c r="C192" s="48" t="s">
        <v>509</v>
      </c>
      <c r="D192" s="48" t="s">
        <v>390</v>
      </c>
      <c r="E192" s="48" t="s">
        <v>391</v>
      </c>
      <c r="F192" s="49">
        <v>4</v>
      </c>
      <c r="G192" s="49">
        <v>24</v>
      </c>
      <c r="J192" s="49">
        <v>191</v>
      </c>
    </row>
    <row r="193" spans="1:10" s="49" customFormat="1" ht="15" x14ac:dyDescent="0.25">
      <c r="A193" s="48">
        <v>6</v>
      </c>
      <c r="B193" s="48" t="s">
        <v>505</v>
      </c>
      <c r="C193" s="48" t="s">
        <v>509</v>
      </c>
      <c r="D193" s="48" t="s">
        <v>390</v>
      </c>
      <c r="E193" s="48" t="s">
        <v>391</v>
      </c>
      <c r="F193" s="49">
        <v>5</v>
      </c>
      <c r="G193" s="49">
        <v>15</v>
      </c>
      <c r="J193" s="49">
        <v>192</v>
      </c>
    </row>
    <row r="194" spans="1:10" s="49" customFormat="1" ht="15" x14ac:dyDescent="0.25">
      <c r="A194" s="48">
        <v>6</v>
      </c>
      <c r="B194" s="48" t="s">
        <v>505</v>
      </c>
      <c r="C194" s="48" t="s">
        <v>509</v>
      </c>
      <c r="D194" s="48" t="s">
        <v>390</v>
      </c>
      <c r="E194" s="48" t="s">
        <v>391</v>
      </c>
      <c r="F194" s="49">
        <v>6</v>
      </c>
      <c r="G194" s="49">
        <v>27</v>
      </c>
      <c r="J194" s="49">
        <v>193</v>
      </c>
    </row>
    <row r="195" spans="1:10" s="49" customFormat="1" ht="15" x14ac:dyDescent="0.25">
      <c r="A195" s="48">
        <v>6</v>
      </c>
      <c r="B195" s="48" t="s">
        <v>505</v>
      </c>
      <c r="C195" s="48" t="s">
        <v>509</v>
      </c>
      <c r="D195" s="48" t="s">
        <v>390</v>
      </c>
      <c r="E195" s="48" t="s">
        <v>391</v>
      </c>
      <c r="F195" s="49">
        <v>7</v>
      </c>
      <c r="G195" s="49">
        <v>26</v>
      </c>
      <c r="J195" s="49">
        <v>194</v>
      </c>
    </row>
    <row r="196" spans="1:10" s="49" customFormat="1" ht="15" x14ac:dyDescent="0.25">
      <c r="A196" s="48">
        <v>6</v>
      </c>
      <c r="B196" s="48" t="s">
        <v>505</v>
      </c>
      <c r="C196" s="48" t="s">
        <v>509</v>
      </c>
      <c r="D196" s="48" t="s">
        <v>390</v>
      </c>
      <c r="E196" s="48" t="s">
        <v>391</v>
      </c>
      <c r="F196" s="49">
        <v>8</v>
      </c>
      <c r="G196" s="49">
        <v>35</v>
      </c>
      <c r="J196" s="49">
        <v>195</v>
      </c>
    </row>
    <row r="197" spans="1:10" s="49" customFormat="1" ht="15" x14ac:dyDescent="0.25">
      <c r="A197" s="48">
        <v>6</v>
      </c>
      <c r="B197" s="48" t="s">
        <v>505</v>
      </c>
      <c r="C197" s="48" t="s">
        <v>509</v>
      </c>
      <c r="D197" s="48" t="s">
        <v>390</v>
      </c>
      <c r="E197" s="48" t="s">
        <v>391</v>
      </c>
      <c r="F197" s="49">
        <v>9</v>
      </c>
      <c r="G197" s="49">
        <v>27</v>
      </c>
      <c r="J197" s="49">
        <v>196</v>
      </c>
    </row>
    <row r="198" spans="1:10" s="49" customFormat="1" ht="15" x14ac:dyDescent="0.25">
      <c r="A198" s="48">
        <v>6</v>
      </c>
      <c r="B198" s="48" t="s">
        <v>505</v>
      </c>
      <c r="C198" s="48" t="s">
        <v>509</v>
      </c>
      <c r="D198" s="48" t="s">
        <v>390</v>
      </c>
      <c r="E198" s="48" t="s">
        <v>391</v>
      </c>
      <c r="F198" s="49">
        <v>10</v>
      </c>
      <c r="G198" s="49">
        <v>43</v>
      </c>
      <c r="J198" s="49">
        <v>197</v>
      </c>
    </row>
    <row r="199" spans="1:10" s="49" customFormat="1" ht="15" x14ac:dyDescent="0.25">
      <c r="A199" s="48">
        <v>6</v>
      </c>
      <c r="B199" s="48" t="s">
        <v>505</v>
      </c>
      <c r="C199" s="48" t="s">
        <v>509</v>
      </c>
      <c r="D199" s="48" t="s">
        <v>390</v>
      </c>
      <c r="E199" s="48" t="s">
        <v>391</v>
      </c>
      <c r="F199" s="49">
        <v>11</v>
      </c>
      <c r="G199" s="49">
        <v>23</v>
      </c>
      <c r="J199" s="49">
        <v>198</v>
      </c>
    </row>
    <row r="200" spans="1:10" s="49" customFormat="1" ht="15" x14ac:dyDescent="0.25">
      <c r="A200" s="48">
        <v>6</v>
      </c>
      <c r="B200" s="48" t="s">
        <v>505</v>
      </c>
      <c r="C200" s="48" t="s">
        <v>509</v>
      </c>
      <c r="D200" s="48" t="s">
        <v>390</v>
      </c>
      <c r="E200" s="48" t="s">
        <v>391</v>
      </c>
      <c r="F200" s="49">
        <v>12</v>
      </c>
      <c r="G200" s="49">
        <v>24</v>
      </c>
      <c r="J200" s="49">
        <v>199</v>
      </c>
    </row>
    <row r="201" spans="1:10" s="49" customFormat="1" ht="15" x14ac:dyDescent="0.25">
      <c r="A201" s="48">
        <v>6</v>
      </c>
      <c r="B201" s="48" t="s">
        <v>505</v>
      </c>
      <c r="C201" s="48" t="s">
        <v>509</v>
      </c>
      <c r="D201" s="48" t="s">
        <v>390</v>
      </c>
      <c r="E201" s="48" t="s">
        <v>391</v>
      </c>
      <c r="F201" s="49">
        <v>13</v>
      </c>
      <c r="G201" s="49">
        <v>33</v>
      </c>
      <c r="J201" s="49">
        <v>200</v>
      </c>
    </row>
    <row r="202" spans="1:10" s="49" customFormat="1" ht="15" x14ac:dyDescent="0.25">
      <c r="A202" s="48">
        <v>6</v>
      </c>
      <c r="B202" s="48" t="s">
        <v>505</v>
      </c>
      <c r="C202" s="48" t="s">
        <v>509</v>
      </c>
      <c r="D202" s="48" t="s">
        <v>390</v>
      </c>
      <c r="E202" s="48" t="s">
        <v>391</v>
      </c>
      <c r="F202" s="49">
        <v>14</v>
      </c>
      <c r="G202" s="49">
        <v>14</v>
      </c>
      <c r="J202" s="49">
        <v>201</v>
      </c>
    </row>
    <row r="203" spans="1:10" s="49" customFormat="1" ht="15" x14ac:dyDescent="0.25">
      <c r="A203" s="48">
        <v>6</v>
      </c>
      <c r="B203" s="48" t="s">
        <v>505</v>
      </c>
      <c r="C203" s="48" t="s">
        <v>509</v>
      </c>
      <c r="D203" s="48" t="s">
        <v>390</v>
      </c>
      <c r="E203" s="48" t="s">
        <v>391</v>
      </c>
      <c r="F203" s="49">
        <v>15</v>
      </c>
      <c r="G203" s="49">
        <v>63</v>
      </c>
      <c r="J203" s="49">
        <v>202</v>
      </c>
    </row>
    <row r="204" spans="1:10" s="49" customFormat="1" ht="15" x14ac:dyDescent="0.25">
      <c r="A204" s="48">
        <v>6</v>
      </c>
      <c r="B204" s="48" t="s">
        <v>505</v>
      </c>
      <c r="C204" s="48" t="s">
        <v>509</v>
      </c>
      <c r="D204" s="48" t="s">
        <v>390</v>
      </c>
      <c r="E204" s="48" t="s">
        <v>391</v>
      </c>
      <c r="F204" s="49">
        <v>16</v>
      </c>
      <c r="G204" s="49">
        <v>10</v>
      </c>
      <c r="J204" s="49">
        <v>203</v>
      </c>
    </row>
    <row r="205" spans="1:10" s="49" customFormat="1" ht="15" x14ac:dyDescent="0.25">
      <c r="A205" s="48">
        <v>6</v>
      </c>
      <c r="B205" s="48" t="s">
        <v>505</v>
      </c>
      <c r="C205" s="48" t="s">
        <v>509</v>
      </c>
      <c r="D205" s="48" t="s">
        <v>390</v>
      </c>
      <c r="E205" s="48" t="s">
        <v>391</v>
      </c>
      <c r="F205" s="49">
        <v>17</v>
      </c>
      <c r="G205" s="49">
        <v>18</v>
      </c>
      <c r="J205" s="49">
        <v>204</v>
      </c>
    </row>
    <row r="206" spans="1:10" s="49" customFormat="1" ht="15" x14ac:dyDescent="0.25">
      <c r="A206" s="48">
        <v>6</v>
      </c>
      <c r="B206" s="48" t="s">
        <v>505</v>
      </c>
      <c r="C206" s="48" t="s">
        <v>509</v>
      </c>
      <c r="D206" s="48" t="s">
        <v>390</v>
      </c>
      <c r="E206" s="48" t="s">
        <v>391</v>
      </c>
      <c r="F206" s="49">
        <v>18</v>
      </c>
      <c r="G206" s="49">
        <v>28</v>
      </c>
      <c r="J206" s="49">
        <v>205</v>
      </c>
    </row>
    <row r="207" spans="1:10" s="49" customFormat="1" ht="15" x14ac:dyDescent="0.25">
      <c r="A207" s="48">
        <v>6</v>
      </c>
      <c r="B207" s="48" t="s">
        <v>505</v>
      </c>
      <c r="C207" s="48" t="s">
        <v>509</v>
      </c>
      <c r="D207" s="48" t="s">
        <v>390</v>
      </c>
      <c r="E207" s="48" t="s">
        <v>391</v>
      </c>
      <c r="F207" s="49">
        <v>19</v>
      </c>
      <c r="G207" s="49">
        <v>51</v>
      </c>
      <c r="J207" s="49">
        <v>206</v>
      </c>
    </row>
    <row r="208" spans="1:10" s="49" customFormat="1" ht="15" x14ac:dyDescent="0.25">
      <c r="A208" s="48">
        <v>6</v>
      </c>
      <c r="B208" s="48" t="s">
        <v>505</v>
      </c>
      <c r="C208" s="48" t="s">
        <v>509</v>
      </c>
      <c r="D208" s="48" t="s">
        <v>390</v>
      </c>
      <c r="E208" s="48" t="s">
        <v>391</v>
      </c>
      <c r="F208" s="49">
        <v>20</v>
      </c>
      <c r="G208" s="49">
        <v>9</v>
      </c>
      <c r="J208" s="49">
        <v>207</v>
      </c>
    </row>
    <row r="209" spans="1:10" s="49" customFormat="1" ht="15" x14ac:dyDescent="0.25">
      <c r="A209" s="48">
        <v>6</v>
      </c>
      <c r="B209" s="48" t="s">
        <v>505</v>
      </c>
      <c r="C209" s="48" t="s">
        <v>509</v>
      </c>
      <c r="D209" s="48" t="s">
        <v>390</v>
      </c>
      <c r="E209" s="48" t="s">
        <v>391</v>
      </c>
      <c r="F209" s="49">
        <v>21</v>
      </c>
      <c r="G209" s="49">
        <v>45</v>
      </c>
      <c r="J209" s="49">
        <v>208</v>
      </c>
    </row>
    <row r="210" spans="1:10" s="49" customFormat="1" ht="15" x14ac:dyDescent="0.25">
      <c r="A210" s="48">
        <v>6</v>
      </c>
      <c r="B210" s="48" t="s">
        <v>505</v>
      </c>
      <c r="C210" s="48" t="s">
        <v>509</v>
      </c>
      <c r="D210" s="48" t="s">
        <v>390</v>
      </c>
      <c r="E210" s="48" t="s">
        <v>391</v>
      </c>
      <c r="F210" s="49">
        <v>22</v>
      </c>
      <c r="G210" s="49">
        <v>34</v>
      </c>
      <c r="J210" s="49">
        <v>209</v>
      </c>
    </row>
    <row r="211" spans="1:10" s="49" customFormat="1" ht="15" x14ac:dyDescent="0.25">
      <c r="A211" s="48">
        <v>6</v>
      </c>
      <c r="B211" s="48" t="s">
        <v>505</v>
      </c>
      <c r="C211" s="48" t="s">
        <v>509</v>
      </c>
      <c r="D211" s="48" t="s">
        <v>390</v>
      </c>
      <c r="E211" s="48" t="s">
        <v>391</v>
      </c>
      <c r="F211" s="49">
        <v>23</v>
      </c>
      <c r="G211" s="49">
        <v>16</v>
      </c>
      <c r="J211" s="49">
        <v>210</v>
      </c>
    </row>
    <row r="212" spans="1:10" s="49" customFormat="1" thickBot="1" x14ac:dyDescent="0.3">
      <c r="A212" s="48">
        <v>6</v>
      </c>
      <c r="B212" s="48" t="s">
        <v>505</v>
      </c>
      <c r="C212" s="48" t="s">
        <v>509</v>
      </c>
      <c r="D212" s="51" t="s">
        <v>390</v>
      </c>
      <c r="E212" s="51" t="s">
        <v>391</v>
      </c>
      <c r="F212" s="52">
        <v>24</v>
      </c>
      <c r="G212" s="52">
        <v>33</v>
      </c>
      <c r="H212" s="52">
        <v>657</v>
      </c>
      <c r="I212" s="52">
        <v>24</v>
      </c>
      <c r="J212" s="49">
        <v>211</v>
      </c>
    </row>
    <row r="213" spans="1:10" s="49" customFormat="1" thickTop="1" x14ac:dyDescent="0.25">
      <c r="A213" s="48">
        <v>7</v>
      </c>
      <c r="B213" s="48" t="s">
        <v>505</v>
      </c>
      <c r="C213" s="48" t="s">
        <v>509</v>
      </c>
      <c r="D213" s="48" t="s">
        <v>393</v>
      </c>
      <c r="E213" s="48" t="s">
        <v>394</v>
      </c>
      <c r="F213" s="49">
        <v>1</v>
      </c>
      <c r="G213" s="49">
        <v>36</v>
      </c>
      <c r="J213" s="49">
        <v>212</v>
      </c>
    </row>
    <row r="214" spans="1:10" s="49" customFormat="1" ht="15" x14ac:dyDescent="0.25">
      <c r="A214" s="48">
        <v>7</v>
      </c>
      <c r="B214" s="48" t="s">
        <v>505</v>
      </c>
      <c r="C214" s="48" t="s">
        <v>509</v>
      </c>
      <c r="D214" s="48" t="s">
        <v>393</v>
      </c>
      <c r="E214" s="48" t="s">
        <v>394</v>
      </c>
      <c r="F214" s="49">
        <v>2</v>
      </c>
      <c r="G214" s="49">
        <v>23</v>
      </c>
      <c r="J214" s="49">
        <v>213</v>
      </c>
    </row>
    <row r="215" spans="1:10" s="49" customFormat="1" ht="15" x14ac:dyDescent="0.25">
      <c r="A215" s="48">
        <v>7</v>
      </c>
      <c r="B215" s="48" t="s">
        <v>505</v>
      </c>
      <c r="C215" s="48" t="s">
        <v>509</v>
      </c>
      <c r="D215" s="48" t="s">
        <v>393</v>
      </c>
      <c r="E215" s="48" t="s">
        <v>394</v>
      </c>
      <c r="F215" s="49">
        <v>3</v>
      </c>
      <c r="G215" s="49">
        <v>31</v>
      </c>
      <c r="J215" s="49">
        <v>214</v>
      </c>
    </row>
    <row r="216" spans="1:10" s="49" customFormat="1" ht="15" x14ac:dyDescent="0.25">
      <c r="A216" s="48">
        <v>7</v>
      </c>
      <c r="B216" s="48" t="s">
        <v>505</v>
      </c>
      <c r="C216" s="48" t="s">
        <v>509</v>
      </c>
      <c r="D216" s="48" t="s">
        <v>393</v>
      </c>
      <c r="E216" s="48" t="s">
        <v>394</v>
      </c>
      <c r="F216" s="49">
        <v>4</v>
      </c>
      <c r="G216" s="49">
        <v>24</v>
      </c>
      <c r="J216" s="49">
        <v>215</v>
      </c>
    </row>
    <row r="217" spans="1:10" s="49" customFormat="1" ht="15" x14ac:dyDescent="0.25">
      <c r="A217" s="48">
        <v>7</v>
      </c>
      <c r="B217" s="48" t="s">
        <v>505</v>
      </c>
      <c r="C217" s="48" t="s">
        <v>509</v>
      </c>
      <c r="D217" s="48" t="s">
        <v>393</v>
      </c>
      <c r="E217" s="48" t="s">
        <v>394</v>
      </c>
      <c r="F217" s="49">
        <v>5</v>
      </c>
      <c r="G217" s="49">
        <v>31</v>
      </c>
      <c r="J217" s="49">
        <v>216</v>
      </c>
    </row>
    <row r="218" spans="1:10" s="49" customFormat="1" ht="15" x14ac:dyDescent="0.25">
      <c r="A218" s="48">
        <v>7</v>
      </c>
      <c r="B218" s="48" t="s">
        <v>505</v>
      </c>
      <c r="C218" s="48" t="s">
        <v>509</v>
      </c>
      <c r="D218" s="48" t="s">
        <v>393</v>
      </c>
      <c r="E218" s="48" t="s">
        <v>394</v>
      </c>
      <c r="F218" s="49">
        <v>6</v>
      </c>
      <c r="G218" s="49">
        <v>40</v>
      </c>
      <c r="J218" s="49">
        <v>217</v>
      </c>
    </row>
    <row r="219" spans="1:10" s="49" customFormat="1" ht="15" x14ac:dyDescent="0.25">
      <c r="A219" s="48">
        <v>7</v>
      </c>
      <c r="B219" s="48" t="s">
        <v>505</v>
      </c>
      <c r="C219" s="48" t="s">
        <v>509</v>
      </c>
      <c r="D219" s="48" t="s">
        <v>393</v>
      </c>
      <c r="E219" s="48" t="s">
        <v>394</v>
      </c>
      <c r="F219" s="49">
        <v>7</v>
      </c>
      <c r="G219" s="49">
        <v>25</v>
      </c>
      <c r="J219" s="49">
        <v>218</v>
      </c>
    </row>
    <row r="220" spans="1:10" s="49" customFormat="1" ht="15" x14ac:dyDescent="0.25">
      <c r="A220" s="48">
        <v>7</v>
      </c>
      <c r="B220" s="48" t="s">
        <v>505</v>
      </c>
      <c r="C220" s="48" t="s">
        <v>509</v>
      </c>
      <c r="D220" s="48" t="s">
        <v>393</v>
      </c>
      <c r="E220" s="48" t="s">
        <v>394</v>
      </c>
      <c r="F220" s="49">
        <v>8</v>
      </c>
      <c r="G220" s="49">
        <v>35</v>
      </c>
      <c r="J220" s="49">
        <v>219</v>
      </c>
    </row>
    <row r="221" spans="1:10" s="49" customFormat="1" ht="15" x14ac:dyDescent="0.25">
      <c r="A221" s="48">
        <v>7</v>
      </c>
      <c r="B221" s="48" t="s">
        <v>505</v>
      </c>
      <c r="C221" s="48" t="s">
        <v>509</v>
      </c>
      <c r="D221" s="48" t="s">
        <v>393</v>
      </c>
      <c r="E221" s="48" t="s">
        <v>394</v>
      </c>
      <c r="F221" s="49">
        <v>9</v>
      </c>
      <c r="G221" s="49">
        <v>57</v>
      </c>
      <c r="J221" s="49">
        <v>220</v>
      </c>
    </row>
    <row r="222" spans="1:10" s="49" customFormat="1" ht="15" x14ac:dyDescent="0.25">
      <c r="A222" s="48">
        <v>7</v>
      </c>
      <c r="B222" s="48" t="s">
        <v>505</v>
      </c>
      <c r="C222" s="48" t="s">
        <v>509</v>
      </c>
      <c r="D222" s="48" t="s">
        <v>393</v>
      </c>
      <c r="E222" s="48" t="s">
        <v>394</v>
      </c>
      <c r="F222" s="49">
        <v>10</v>
      </c>
      <c r="G222" s="49">
        <v>18</v>
      </c>
      <c r="J222" s="49">
        <v>221</v>
      </c>
    </row>
    <row r="223" spans="1:10" s="49" customFormat="1" ht="15" x14ac:dyDescent="0.25">
      <c r="A223" s="48">
        <v>7</v>
      </c>
      <c r="B223" s="48" t="s">
        <v>505</v>
      </c>
      <c r="C223" s="48" t="s">
        <v>509</v>
      </c>
      <c r="D223" s="48" t="s">
        <v>393</v>
      </c>
      <c r="E223" s="48" t="s">
        <v>394</v>
      </c>
      <c r="F223" s="49">
        <v>11</v>
      </c>
      <c r="G223" s="49">
        <v>40</v>
      </c>
      <c r="J223" s="49">
        <v>222</v>
      </c>
    </row>
    <row r="224" spans="1:10" s="49" customFormat="1" ht="15" x14ac:dyDescent="0.25">
      <c r="A224" s="48">
        <v>7</v>
      </c>
      <c r="B224" s="48" t="s">
        <v>505</v>
      </c>
      <c r="C224" s="48" t="s">
        <v>509</v>
      </c>
      <c r="D224" s="48" t="s">
        <v>393</v>
      </c>
      <c r="E224" s="48" t="s">
        <v>394</v>
      </c>
      <c r="F224" s="49">
        <v>12</v>
      </c>
      <c r="G224" s="49">
        <v>15</v>
      </c>
      <c r="J224" s="49">
        <v>223</v>
      </c>
    </row>
    <row r="225" spans="1:10" s="49" customFormat="1" ht="15" x14ac:dyDescent="0.25">
      <c r="A225" s="48">
        <v>7</v>
      </c>
      <c r="B225" s="48" t="s">
        <v>505</v>
      </c>
      <c r="C225" s="48" t="s">
        <v>509</v>
      </c>
      <c r="D225" s="48" t="s">
        <v>393</v>
      </c>
      <c r="E225" s="48" t="s">
        <v>394</v>
      </c>
      <c r="F225" s="49">
        <v>13</v>
      </c>
      <c r="G225" s="49">
        <v>25</v>
      </c>
      <c r="J225" s="49">
        <v>224</v>
      </c>
    </row>
    <row r="226" spans="1:10" s="49" customFormat="1" ht="15" x14ac:dyDescent="0.25">
      <c r="A226" s="48">
        <v>7</v>
      </c>
      <c r="B226" s="48" t="s">
        <v>505</v>
      </c>
      <c r="C226" s="48" t="s">
        <v>509</v>
      </c>
      <c r="D226" s="48" t="s">
        <v>393</v>
      </c>
      <c r="E226" s="48" t="s">
        <v>394</v>
      </c>
      <c r="F226" s="49">
        <v>14</v>
      </c>
      <c r="G226" s="49">
        <v>20</v>
      </c>
      <c r="J226" s="49">
        <v>225</v>
      </c>
    </row>
    <row r="227" spans="1:10" s="49" customFormat="1" ht="15" x14ac:dyDescent="0.25">
      <c r="A227" s="48">
        <v>7</v>
      </c>
      <c r="B227" s="48" t="s">
        <v>505</v>
      </c>
      <c r="C227" s="48" t="s">
        <v>509</v>
      </c>
      <c r="D227" s="48" t="s">
        <v>393</v>
      </c>
      <c r="E227" s="48" t="s">
        <v>394</v>
      </c>
      <c r="F227" s="49">
        <v>15</v>
      </c>
      <c r="G227" s="49">
        <v>20</v>
      </c>
      <c r="J227" s="49">
        <v>226</v>
      </c>
    </row>
    <row r="228" spans="1:10" s="49" customFormat="1" ht="15" x14ac:dyDescent="0.25">
      <c r="A228" s="48">
        <v>7</v>
      </c>
      <c r="B228" s="48" t="s">
        <v>505</v>
      </c>
      <c r="C228" s="48" t="s">
        <v>509</v>
      </c>
      <c r="D228" s="48" t="s">
        <v>393</v>
      </c>
      <c r="E228" s="48" t="s">
        <v>394</v>
      </c>
      <c r="F228" s="49">
        <v>16</v>
      </c>
      <c r="G228" s="49">
        <v>31</v>
      </c>
      <c r="J228" s="49">
        <v>227</v>
      </c>
    </row>
    <row r="229" spans="1:10" s="49" customFormat="1" ht="15" x14ac:dyDescent="0.25">
      <c r="A229" s="48">
        <v>7</v>
      </c>
      <c r="B229" s="48" t="s">
        <v>505</v>
      </c>
      <c r="C229" s="48" t="s">
        <v>509</v>
      </c>
      <c r="D229" s="48" t="s">
        <v>393</v>
      </c>
      <c r="E229" s="48" t="s">
        <v>394</v>
      </c>
      <c r="F229" s="49">
        <v>17</v>
      </c>
      <c r="G229" s="49">
        <v>13</v>
      </c>
      <c r="J229" s="49">
        <v>228</v>
      </c>
    </row>
    <row r="230" spans="1:10" s="49" customFormat="1" ht="15" x14ac:dyDescent="0.25">
      <c r="A230" s="48">
        <v>7</v>
      </c>
      <c r="B230" s="48" t="s">
        <v>505</v>
      </c>
      <c r="C230" s="48" t="s">
        <v>509</v>
      </c>
      <c r="D230" s="48" t="s">
        <v>393</v>
      </c>
      <c r="E230" s="48" t="s">
        <v>394</v>
      </c>
      <c r="F230" s="49">
        <v>18</v>
      </c>
      <c r="G230" s="49">
        <v>31</v>
      </c>
      <c r="J230" s="49">
        <v>229</v>
      </c>
    </row>
    <row r="231" spans="1:10" s="49" customFormat="1" ht="15" x14ac:dyDescent="0.25">
      <c r="A231" s="48">
        <v>7</v>
      </c>
      <c r="B231" s="48" t="s">
        <v>505</v>
      </c>
      <c r="C231" s="48" t="s">
        <v>509</v>
      </c>
      <c r="D231" s="48" t="s">
        <v>393</v>
      </c>
      <c r="E231" s="48" t="s">
        <v>394</v>
      </c>
      <c r="F231" s="49">
        <v>19</v>
      </c>
      <c r="G231" s="49">
        <v>30</v>
      </c>
      <c r="J231" s="49">
        <v>230</v>
      </c>
    </row>
    <row r="232" spans="1:10" s="49" customFormat="1" ht="15" x14ac:dyDescent="0.25">
      <c r="A232" s="48">
        <v>7</v>
      </c>
      <c r="B232" s="48" t="s">
        <v>505</v>
      </c>
      <c r="C232" s="48" t="s">
        <v>509</v>
      </c>
      <c r="D232" s="48" t="s">
        <v>393</v>
      </c>
      <c r="E232" s="48" t="s">
        <v>394</v>
      </c>
      <c r="F232" s="49">
        <v>20</v>
      </c>
      <c r="G232" s="49">
        <v>48</v>
      </c>
      <c r="J232" s="49">
        <v>231</v>
      </c>
    </row>
    <row r="233" spans="1:10" s="49" customFormat="1" thickBot="1" x14ac:dyDescent="0.3">
      <c r="A233" s="48">
        <v>7</v>
      </c>
      <c r="B233" s="48" t="s">
        <v>505</v>
      </c>
      <c r="C233" s="48" t="s">
        <v>509</v>
      </c>
      <c r="D233" s="51" t="s">
        <v>393</v>
      </c>
      <c r="E233" s="51" t="s">
        <v>394</v>
      </c>
      <c r="F233" s="52">
        <v>21</v>
      </c>
      <c r="G233" s="52">
        <v>25</v>
      </c>
      <c r="H233" s="52">
        <v>618</v>
      </c>
      <c r="I233" s="52">
        <v>21</v>
      </c>
      <c r="J233" s="49">
        <v>232</v>
      </c>
    </row>
    <row r="234" spans="1:10" s="49" customFormat="1" thickTop="1" x14ac:dyDescent="0.25">
      <c r="A234" s="48">
        <v>8</v>
      </c>
      <c r="B234" s="48" t="s">
        <v>505</v>
      </c>
      <c r="C234" s="48" t="s">
        <v>509</v>
      </c>
      <c r="D234" s="48" t="s">
        <v>397</v>
      </c>
      <c r="E234" s="48" t="s">
        <v>398</v>
      </c>
      <c r="F234" s="49">
        <v>1</v>
      </c>
      <c r="G234" s="49">
        <v>22</v>
      </c>
      <c r="J234" s="49">
        <v>233</v>
      </c>
    </row>
    <row r="235" spans="1:10" s="49" customFormat="1" ht="15" x14ac:dyDescent="0.25">
      <c r="A235" s="48">
        <v>8</v>
      </c>
      <c r="B235" s="48" t="s">
        <v>505</v>
      </c>
      <c r="C235" s="48" t="s">
        <v>509</v>
      </c>
      <c r="D235" s="48" t="s">
        <v>397</v>
      </c>
      <c r="E235" s="48" t="s">
        <v>398</v>
      </c>
      <c r="F235" s="49">
        <v>2</v>
      </c>
      <c r="G235" s="49">
        <v>23</v>
      </c>
      <c r="J235" s="49">
        <v>234</v>
      </c>
    </row>
    <row r="236" spans="1:10" s="49" customFormat="1" ht="15" x14ac:dyDescent="0.25">
      <c r="A236" s="48">
        <v>8</v>
      </c>
      <c r="B236" s="48" t="s">
        <v>505</v>
      </c>
      <c r="C236" s="48" t="s">
        <v>509</v>
      </c>
      <c r="D236" s="48" t="s">
        <v>397</v>
      </c>
      <c r="E236" s="48" t="s">
        <v>398</v>
      </c>
      <c r="F236" s="49">
        <v>3</v>
      </c>
      <c r="G236" s="49">
        <v>18</v>
      </c>
      <c r="J236" s="49">
        <v>235</v>
      </c>
    </row>
    <row r="237" spans="1:10" s="49" customFormat="1" thickBot="1" x14ac:dyDescent="0.3">
      <c r="A237" s="48">
        <v>8</v>
      </c>
      <c r="B237" s="48" t="s">
        <v>505</v>
      </c>
      <c r="C237" s="48" t="s">
        <v>509</v>
      </c>
      <c r="D237" s="51" t="s">
        <v>397</v>
      </c>
      <c r="E237" s="51" t="s">
        <v>398</v>
      </c>
      <c r="F237" s="52">
        <v>4</v>
      </c>
      <c r="G237" s="52">
        <v>22</v>
      </c>
      <c r="H237" s="52">
        <v>85</v>
      </c>
      <c r="I237" s="52">
        <v>4</v>
      </c>
      <c r="J237" s="49">
        <v>236</v>
      </c>
    </row>
    <row r="238" spans="1:10" s="49" customFormat="1" thickTop="1" x14ac:dyDescent="0.25">
      <c r="A238" s="48">
        <v>9</v>
      </c>
      <c r="B238" s="48" t="s">
        <v>505</v>
      </c>
      <c r="C238" s="48" t="s">
        <v>509</v>
      </c>
      <c r="D238" s="48" t="s">
        <v>401</v>
      </c>
      <c r="E238" s="48" t="s">
        <v>402</v>
      </c>
      <c r="F238" s="49">
        <v>1</v>
      </c>
      <c r="G238" s="49">
        <v>28</v>
      </c>
      <c r="J238" s="49">
        <v>237</v>
      </c>
    </row>
    <row r="239" spans="1:10" s="49" customFormat="1" ht="15" x14ac:dyDescent="0.25">
      <c r="A239" s="48">
        <v>9</v>
      </c>
      <c r="B239" s="48" t="s">
        <v>505</v>
      </c>
      <c r="C239" s="48" t="s">
        <v>509</v>
      </c>
      <c r="D239" s="48" t="s">
        <v>401</v>
      </c>
      <c r="E239" s="48" t="s">
        <v>402</v>
      </c>
      <c r="F239" s="49">
        <v>2</v>
      </c>
      <c r="G239" s="49">
        <v>36</v>
      </c>
      <c r="J239" s="49">
        <v>238</v>
      </c>
    </row>
    <row r="240" spans="1:10" s="49" customFormat="1" ht="15" x14ac:dyDescent="0.25">
      <c r="A240" s="48">
        <v>9</v>
      </c>
      <c r="B240" s="48" t="s">
        <v>505</v>
      </c>
      <c r="C240" s="48" t="s">
        <v>509</v>
      </c>
      <c r="D240" s="48" t="s">
        <v>401</v>
      </c>
      <c r="E240" s="48" t="s">
        <v>402</v>
      </c>
      <c r="F240" s="49">
        <v>3</v>
      </c>
      <c r="G240" s="49">
        <v>21</v>
      </c>
      <c r="J240" s="49">
        <v>239</v>
      </c>
    </row>
    <row r="241" spans="1:10" s="49" customFormat="1" ht="15" x14ac:dyDescent="0.25">
      <c r="A241" s="48">
        <v>9</v>
      </c>
      <c r="B241" s="48" t="s">
        <v>505</v>
      </c>
      <c r="C241" s="48" t="s">
        <v>509</v>
      </c>
      <c r="D241" s="48" t="s">
        <v>401</v>
      </c>
      <c r="E241" s="48" t="s">
        <v>402</v>
      </c>
      <c r="F241" s="49">
        <v>4</v>
      </c>
      <c r="G241" s="49">
        <v>22</v>
      </c>
      <c r="J241" s="49">
        <v>240</v>
      </c>
    </row>
    <row r="242" spans="1:10" s="49" customFormat="1" ht="15" x14ac:dyDescent="0.25">
      <c r="A242" s="48">
        <v>9</v>
      </c>
      <c r="B242" s="48" t="s">
        <v>505</v>
      </c>
      <c r="C242" s="48" t="s">
        <v>509</v>
      </c>
      <c r="D242" s="48" t="s">
        <v>401</v>
      </c>
      <c r="E242" s="48" t="s">
        <v>402</v>
      </c>
      <c r="F242" s="49">
        <v>5</v>
      </c>
      <c r="G242" s="49">
        <v>12</v>
      </c>
      <c r="J242" s="49">
        <v>241</v>
      </c>
    </row>
    <row r="243" spans="1:10" s="49" customFormat="1" ht="15" x14ac:dyDescent="0.25">
      <c r="A243" s="48">
        <v>9</v>
      </c>
      <c r="B243" s="48" t="s">
        <v>505</v>
      </c>
      <c r="C243" s="48" t="s">
        <v>509</v>
      </c>
      <c r="D243" s="48" t="s">
        <v>401</v>
      </c>
      <c r="E243" s="48" t="s">
        <v>402</v>
      </c>
      <c r="F243" s="49">
        <v>6</v>
      </c>
      <c r="G243" s="49">
        <v>21</v>
      </c>
      <c r="J243" s="49">
        <v>242</v>
      </c>
    </row>
    <row r="244" spans="1:10" s="49" customFormat="1" ht="15" x14ac:dyDescent="0.25">
      <c r="A244" s="48">
        <v>9</v>
      </c>
      <c r="B244" s="48" t="s">
        <v>505</v>
      </c>
      <c r="C244" s="48" t="s">
        <v>509</v>
      </c>
      <c r="D244" s="48" t="s">
        <v>401</v>
      </c>
      <c r="E244" s="48" t="s">
        <v>402</v>
      </c>
      <c r="F244" s="49">
        <v>7</v>
      </c>
      <c r="G244" s="49">
        <v>17</v>
      </c>
      <c r="J244" s="49">
        <v>243</v>
      </c>
    </row>
    <row r="245" spans="1:10" s="49" customFormat="1" ht="15" x14ac:dyDescent="0.25">
      <c r="A245" s="48">
        <v>9</v>
      </c>
      <c r="B245" s="48" t="s">
        <v>505</v>
      </c>
      <c r="C245" s="48" t="s">
        <v>509</v>
      </c>
      <c r="D245" s="48" t="s">
        <v>401</v>
      </c>
      <c r="E245" s="48" t="s">
        <v>402</v>
      </c>
      <c r="F245" s="49">
        <v>8</v>
      </c>
      <c r="G245" s="49">
        <v>22</v>
      </c>
      <c r="J245" s="49">
        <v>244</v>
      </c>
    </row>
    <row r="246" spans="1:10" s="49" customFormat="1" ht="15" x14ac:dyDescent="0.25">
      <c r="A246" s="48">
        <v>9</v>
      </c>
      <c r="B246" s="48" t="s">
        <v>505</v>
      </c>
      <c r="C246" s="48" t="s">
        <v>509</v>
      </c>
      <c r="D246" s="48" t="s">
        <v>401</v>
      </c>
      <c r="E246" s="48" t="s">
        <v>402</v>
      </c>
      <c r="F246" s="49">
        <v>9</v>
      </c>
      <c r="G246" s="49">
        <v>27</v>
      </c>
      <c r="J246" s="49">
        <v>245</v>
      </c>
    </row>
    <row r="247" spans="1:10" s="49" customFormat="1" ht="15" x14ac:dyDescent="0.25">
      <c r="A247" s="48">
        <v>9</v>
      </c>
      <c r="B247" s="48" t="s">
        <v>505</v>
      </c>
      <c r="C247" s="48" t="s">
        <v>509</v>
      </c>
      <c r="D247" s="48" t="s">
        <v>401</v>
      </c>
      <c r="E247" s="48" t="s">
        <v>402</v>
      </c>
      <c r="F247" s="49">
        <v>10</v>
      </c>
      <c r="G247" s="49">
        <v>27</v>
      </c>
      <c r="J247" s="49">
        <v>246</v>
      </c>
    </row>
    <row r="248" spans="1:10" s="49" customFormat="1" ht="15" x14ac:dyDescent="0.25">
      <c r="A248" s="48">
        <v>9</v>
      </c>
      <c r="B248" s="48" t="s">
        <v>505</v>
      </c>
      <c r="C248" s="48" t="s">
        <v>509</v>
      </c>
      <c r="D248" s="48" t="s">
        <v>401</v>
      </c>
      <c r="E248" s="48" t="s">
        <v>402</v>
      </c>
      <c r="F248" s="49">
        <v>11</v>
      </c>
      <c r="G248" s="49">
        <v>15</v>
      </c>
      <c r="J248" s="49">
        <v>247</v>
      </c>
    </row>
    <row r="249" spans="1:10" s="49" customFormat="1" ht="15" x14ac:dyDescent="0.25">
      <c r="A249" s="48">
        <v>9</v>
      </c>
      <c r="B249" s="48" t="s">
        <v>505</v>
      </c>
      <c r="C249" s="48" t="s">
        <v>509</v>
      </c>
      <c r="D249" s="48" t="s">
        <v>401</v>
      </c>
      <c r="E249" s="48" t="s">
        <v>402</v>
      </c>
      <c r="F249" s="49">
        <v>12</v>
      </c>
      <c r="G249" s="49">
        <v>25</v>
      </c>
      <c r="J249" s="49">
        <v>248</v>
      </c>
    </row>
    <row r="250" spans="1:10" s="49" customFormat="1" ht="15" x14ac:dyDescent="0.25">
      <c r="A250" s="48">
        <v>9</v>
      </c>
      <c r="B250" s="48" t="s">
        <v>505</v>
      </c>
      <c r="C250" s="48" t="s">
        <v>509</v>
      </c>
      <c r="D250" s="48" t="s">
        <v>401</v>
      </c>
      <c r="E250" s="48" t="s">
        <v>402</v>
      </c>
      <c r="F250" s="49">
        <v>13</v>
      </c>
      <c r="G250" s="49">
        <v>23</v>
      </c>
      <c r="J250" s="49">
        <v>249</v>
      </c>
    </row>
    <row r="251" spans="1:10" s="49" customFormat="1" ht="15" x14ac:dyDescent="0.25">
      <c r="A251" s="48">
        <v>9</v>
      </c>
      <c r="B251" s="48" t="s">
        <v>505</v>
      </c>
      <c r="C251" s="48" t="s">
        <v>509</v>
      </c>
      <c r="D251" s="48" t="s">
        <v>401</v>
      </c>
      <c r="E251" s="48" t="s">
        <v>402</v>
      </c>
      <c r="F251" s="49">
        <v>14</v>
      </c>
      <c r="G251" s="49">
        <v>52</v>
      </c>
      <c r="J251" s="49">
        <v>250</v>
      </c>
    </row>
    <row r="252" spans="1:10" s="49" customFormat="1" ht="15" x14ac:dyDescent="0.25">
      <c r="A252" s="48">
        <v>9</v>
      </c>
      <c r="B252" s="48" t="s">
        <v>505</v>
      </c>
      <c r="C252" s="48" t="s">
        <v>509</v>
      </c>
      <c r="D252" s="48" t="s">
        <v>401</v>
      </c>
      <c r="E252" s="48" t="s">
        <v>402</v>
      </c>
      <c r="F252" s="49">
        <v>15</v>
      </c>
      <c r="G252" s="49">
        <v>35</v>
      </c>
      <c r="J252" s="49">
        <v>251</v>
      </c>
    </row>
    <row r="253" spans="1:10" s="49" customFormat="1" ht="15" x14ac:dyDescent="0.25">
      <c r="A253" s="48">
        <v>9</v>
      </c>
      <c r="B253" s="48" t="s">
        <v>505</v>
      </c>
      <c r="C253" s="48" t="s">
        <v>509</v>
      </c>
      <c r="D253" s="48" t="s">
        <v>401</v>
      </c>
      <c r="E253" s="48" t="s">
        <v>402</v>
      </c>
      <c r="F253" s="49">
        <v>16</v>
      </c>
      <c r="G253" s="49">
        <v>23</v>
      </c>
      <c r="J253" s="49">
        <v>252</v>
      </c>
    </row>
    <row r="254" spans="1:10" s="49" customFormat="1" ht="15" x14ac:dyDescent="0.25">
      <c r="A254" s="48">
        <v>9</v>
      </c>
      <c r="B254" s="48" t="s">
        <v>505</v>
      </c>
      <c r="C254" s="48" t="s">
        <v>509</v>
      </c>
      <c r="D254" s="48" t="s">
        <v>401</v>
      </c>
      <c r="E254" s="48" t="s">
        <v>402</v>
      </c>
      <c r="F254" s="49">
        <v>17</v>
      </c>
      <c r="G254" s="49">
        <v>58</v>
      </c>
      <c r="J254" s="49">
        <v>253</v>
      </c>
    </row>
    <row r="255" spans="1:10" s="49" customFormat="1" ht="15" x14ac:dyDescent="0.25">
      <c r="A255" s="48">
        <v>9</v>
      </c>
      <c r="B255" s="48" t="s">
        <v>505</v>
      </c>
      <c r="C255" s="48" t="s">
        <v>509</v>
      </c>
      <c r="D255" s="48" t="s">
        <v>401</v>
      </c>
      <c r="E255" s="48" t="s">
        <v>402</v>
      </c>
      <c r="F255" s="49">
        <v>18</v>
      </c>
      <c r="G255" s="49">
        <v>30</v>
      </c>
      <c r="J255" s="49">
        <v>254</v>
      </c>
    </row>
    <row r="256" spans="1:10" s="49" customFormat="1" ht="15" x14ac:dyDescent="0.25">
      <c r="A256" s="48">
        <v>9</v>
      </c>
      <c r="B256" s="48" t="s">
        <v>505</v>
      </c>
      <c r="C256" s="48" t="s">
        <v>509</v>
      </c>
      <c r="D256" s="48" t="s">
        <v>401</v>
      </c>
      <c r="E256" s="48" t="s">
        <v>402</v>
      </c>
      <c r="F256" s="49">
        <v>19</v>
      </c>
      <c r="G256" s="49">
        <v>24</v>
      </c>
      <c r="J256" s="49">
        <v>255</v>
      </c>
    </row>
    <row r="257" spans="1:10" s="49" customFormat="1" ht="15" x14ac:dyDescent="0.25">
      <c r="A257" s="48">
        <v>9</v>
      </c>
      <c r="B257" s="48" t="s">
        <v>505</v>
      </c>
      <c r="C257" s="48" t="s">
        <v>509</v>
      </c>
      <c r="D257" s="48" t="s">
        <v>401</v>
      </c>
      <c r="E257" s="48" t="s">
        <v>402</v>
      </c>
      <c r="F257" s="49">
        <v>20</v>
      </c>
      <c r="G257" s="49">
        <v>42</v>
      </c>
      <c r="J257" s="49">
        <v>256</v>
      </c>
    </row>
    <row r="258" spans="1:10" s="49" customFormat="1" ht="15" x14ac:dyDescent="0.25">
      <c r="A258" s="48">
        <v>9</v>
      </c>
      <c r="B258" s="48" t="s">
        <v>505</v>
      </c>
      <c r="C258" s="48" t="s">
        <v>509</v>
      </c>
      <c r="D258" s="48" t="s">
        <v>401</v>
      </c>
      <c r="E258" s="48" t="s">
        <v>402</v>
      </c>
      <c r="F258" s="49">
        <v>21</v>
      </c>
      <c r="G258" s="49">
        <v>15</v>
      </c>
      <c r="J258" s="49">
        <v>257</v>
      </c>
    </row>
    <row r="259" spans="1:10" s="49" customFormat="1" ht="15" x14ac:dyDescent="0.25">
      <c r="A259" s="48">
        <v>9</v>
      </c>
      <c r="B259" s="48" t="s">
        <v>505</v>
      </c>
      <c r="C259" s="48" t="s">
        <v>509</v>
      </c>
      <c r="D259" s="48" t="s">
        <v>401</v>
      </c>
      <c r="E259" s="48" t="s">
        <v>402</v>
      </c>
      <c r="F259" s="49">
        <v>22</v>
      </c>
      <c r="G259" s="49">
        <v>23</v>
      </c>
      <c r="J259" s="49">
        <v>258</v>
      </c>
    </row>
    <row r="260" spans="1:10" s="49" customFormat="1" ht="15" x14ac:dyDescent="0.25">
      <c r="A260" s="48">
        <v>9</v>
      </c>
      <c r="B260" s="48" t="s">
        <v>505</v>
      </c>
      <c r="C260" s="48" t="s">
        <v>509</v>
      </c>
      <c r="D260" s="48" t="s">
        <v>401</v>
      </c>
      <c r="E260" s="48" t="s">
        <v>402</v>
      </c>
      <c r="F260" s="49">
        <v>23</v>
      </c>
      <c r="G260" s="49">
        <v>28</v>
      </c>
      <c r="J260" s="49">
        <v>259</v>
      </c>
    </row>
    <row r="261" spans="1:10" s="49" customFormat="1" ht="15" x14ac:dyDescent="0.25">
      <c r="A261" s="48">
        <v>9</v>
      </c>
      <c r="B261" s="48" t="s">
        <v>505</v>
      </c>
      <c r="C261" s="48" t="s">
        <v>509</v>
      </c>
      <c r="D261" s="48" t="s">
        <v>401</v>
      </c>
      <c r="E261" s="48" t="s">
        <v>402</v>
      </c>
      <c r="F261" s="49">
        <v>24</v>
      </c>
      <c r="G261" s="49">
        <v>23</v>
      </c>
      <c r="J261" s="49">
        <v>260</v>
      </c>
    </row>
    <row r="262" spans="1:10" s="49" customFormat="1" ht="15" x14ac:dyDescent="0.25">
      <c r="A262" s="48">
        <v>9</v>
      </c>
      <c r="B262" s="48" t="s">
        <v>505</v>
      </c>
      <c r="C262" s="48" t="s">
        <v>509</v>
      </c>
      <c r="D262" s="48" t="s">
        <v>401</v>
      </c>
      <c r="E262" s="48" t="s">
        <v>402</v>
      </c>
      <c r="F262" s="49">
        <v>25</v>
      </c>
      <c r="G262" s="49">
        <v>44</v>
      </c>
      <c r="J262" s="49">
        <v>261</v>
      </c>
    </row>
    <row r="263" spans="1:10" s="49" customFormat="1" ht="15" x14ac:dyDescent="0.25">
      <c r="A263" s="48">
        <v>9</v>
      </c>
      <c r="B263" s="48" t="s">
        <v>505</v>
      </c>
      <c r="C263" s="48" t="s">
        <v>509</v>
      </c>
      <c r="D263" s="48" t="s">
        <v>401</v>
      </c>
      <c r="E263" s="48" t="s">
        <v>402</v>
      </c>
      <c r="F263" s="49">
        <v>26</v>
      </c>
      <c r="G263" s="49">
        <v>25</v>
      </c>
      <c r="J263" s="49">
        <v>262</v>
      </c>
    </row>
    <row r="264" spans="1:10" s="49" customFormat="1" ht="15" x14ac:dyDescent="0.25">
      <c r="A264" s="48">
        <v>9</v>
      </c>
      <c r="B264" s="48" t="s">
        <v>505</v>
      </c>
      <c r="C264" s="48" t="s">
        <v>509</v>
      </c>
      <c r="D264" s="48" t="s">
        <v>401</v>
      </c>
      <c r="E264" s="48" t="s">
        <v>402</v>
      </c>
      <c r="F264" s="49">
        <v>27</v>
      </c>
      <c r="G264" s="49">
        <v>12</v>
      </c>
      <c r="J264" s="49">
        <v>263</v>
      </c>
    </row>
    <row r="265" spans="1:10" s="49" customFormat="1" ht="15" x14ac:dyDescent="0.25">
      <c r="A265" s="48">
        <v>9</v>
      </c>
      <c r="B265" s="48" t="s">
        <v>505</v>
      </c>
      <c r="C265" s="48" t="s">
        <v>509</v>
      </c>
      <c r="D265" s="48" t="s">
        <v>401</v>
      </c>
      <c r="E265" s="48" t="s">
        <v>402</v>
      </c>
      <c r="F265" s="49">
        <v>28</v>
      </c>
      <c r="G265" s="49">
        <v>25</v>
      </c>
      <c r="J265" s="49">
        <v>264</v>
      </c>
    </row>
    <row r="266" spans="1:10" s="49" customFormat="1" ht="15" x14ac:dyDescent="0.25">
      <c r="A266" s="48">
        <v>9</v>
      </c>
      <c r="B266" s="48" t="s">
        <v>505</v>
      </c>
      <c r="C266" s="48" t="s">
        <v>509</v>
      </c>
      <c r="D266" s="48" t="s">
        <v>401</v>
      </c>
      <c r="E266" s="48" t="s">
        <v>402</v>
      </c>
      <c r="F266" s="49">
        <v>29</v>
      </c>
      <c r="G266" s="49">
        <v>11</v>
      </c>
      <c r="J266" s="49">
        <v>265</v>
      </c>
    </row>
    <row r="267" spans="1:10" s="49" customFormat="1" ht="15" x14ac:dyDescent="0.25">
      <c r="A267" s="48">
        <v>9</v>
      </c>
      <c r="B267" s="48" t="s">
        <v>505</v>
      </c>
      <c r="C267" s="48" t="s">
        <v>509</v>
      </c>
      <c r="D267" s="48" t="s">
        <v>401</v>
      </c>
      <c r="E267" s="48" t="s">
        <v>402</v>
      </c>
      <c r="F267" s="49">
        <v>30</v>
      </c>
      <c r="G267" s="49">
        <v>31</v>
      </c>
      <c r="J267" s="49">
        <v>266</v>
      </c>
    </row>
    <row r="268" spans="1:10" s="49" customFormat="1" thickBot="1" x14ac:dyDescent="0.3">
      <c r="A268" s="48">
        <v>9</v>
      </c>
      <c r="B268" s="48" t="s">
        <v>505</v>
      </c>
      <c r="C268" s="48" t="s">
        <v>509</v>
      </c>
      <c r="D268" s="51" t="s">
        <v>401</v>
      </c>
      <c r="E268" s="51" t="s">
        <v>402</v>
      </c>
      <c r="F268" s="52">
        <v>31</v>
      </c>
      <c r="G268" s="52">
        <v>13</v>
      </c>
      <c r="H268" s="52">
        <v>810</v>
      </c>
      <c r="I268" s="52">
        <v>31</v>
      </c>
      <c r="J268" s="49">
        <v>267</v>
      </c>
    </row>
    <row r="269" spans="1:10" s="49" customFormat="1" thickTop="1" x14ac:dyDescent="0.25">
      <c r="A269" s="48">
        <v>10</v>
      </c>
      <c r="B269" s="48" t="s">
        <v>505</v>
      </c>
      <c r="C269" s="48" t="s">
        <v>509</v>
      </c>
      <c r="D269" s="48" t="s">
        <v>404</v>
      </c>
      <c r="E269" s="48" t="s">
        <v>405</v>
      </c>
      <c r="F269" s="49">
        <v>1</v>
      </c>
      <c r="G269" s="49">
        <v>27</v>
      </c>
      <c r="J269" s="49">
        <v>268</v>
      </c>
    </row>
    <row r="270" spans="1:10" s="49" customFormat="1" ht="15" x14ac:dyDescent="0.25">
      <c r="A270" s="48">
        <v>10</v>
      </c>
      <c r="B270" s="48" t="s">
        <v>505</v>
      </c>
      <c r="C270" s="48" t="s">
        <v>509</v>
      </c>
      <c r="D270" s="48" t="s">
        <v>404</v>
      </c>
      <c r="E270" s="48" t="s">
        <v>405</v>
      </c>
      <c r="F270" s="49">
        <v>2</v>
      </c>
      <c r="G270" s="49">
        <v>32</v>
      </c>
      <c r="J270" s="49">
        <v>269</v>
      </c>
    </row>
    <row r="271" spans="1:10" s="49" customFormat="1" ht="15" x14ac:dyDescent="0.25">
      <c r="A271" s="48">
        <v>10</v>
      </c>
      <c r="B271" s="48" t="s">
        <v>505</v>
      </c>
      <c r="C271" s="48" t="s">
        <v>509</v>
      </c>
      <c r="D271" s="48" t="s">
        <v>404</v>
      </c>
      <c r="E271" s="48" t="s">
        <v>405</v>
      </c>
      <c r="F271" s="49">
        <v>3</v>
      </c>
      <c r="G271" s="49">
        <v>38</v>
      </c>
      <c r="J271" s="49">
        <v>270</v>
      </c>
    </row>
    <row r="272" spans="1:10" s="49" customFormat="1" ht="15" x14ac:dyDescent="0.25">
      <c r="A272" s="48">
        <v>10</v>
      </c>
      <c r="B272" s="48" t="s">
        <v>505</v>
      </c>
      <c r="C272" s="48" t="s">
        <v>509</v>
      </c>
      <c r="D272" s="48" t="s">
        <v>404</v>
      </c>
      <c r="E272" s="48" t="s">
        <v>405</v>
      </c>
      <c r="F272" s="49">
        <v>4</v>
      </c>
      <c r="G272" s="49">
        <v>12</v>
      </c>
      <c r="J272" s="49">
        <v>271</v>
      </c>
    </row>
    <row r="273" spans="1:10" s="49" customFormat="1" ht="15" x14ac:dyDescent="0.25">
      <c r="A273" s="48">
        <v>10</v>
      </c>
      <c r="B273" s="48" t="s">
        <v>505</v>
      </c>
      <c r="C273" s="48" t="s">
        <v>509</v>
      </c>
      <c r="D273" s="48" t="s">
        <v>404</v>
      </c>
      <c r="E273" s="48" t="s">
        <v>405</v>
      </c>
      <c r="F273" s="49">
        <v>5</v>
      </c>
      <c r="G273" s="49">
        <v>25</v>
      </c>
      <c r="J273" s="49">
        <v>272</v>
      </c>
    </row>
    <row r="274" spans="1:10" s="49" customFormat="1" ht="15" x14ac:dyDescent="0.25">
      <c r="A274" s="48">
        <v>10</v>
      </c>
      <c r="B274" s="48" t="s">
        <v>505</v>
      </c>
      <c r="C274" s="48" t="s">
        <v>509</v>
      </c>
      <c r="D274" s="48" t="s">
        <v>404</v>
      </c>
      <c r="E274" s="48" t="s">
        <v>405</v>
      </c>
      <c r="F274" s="49">
        <v>6</v>
      </c>
      <c r="G274" s="49">
        <v>23</v>
      </c>
      <c r="J274" s="49">
        <v>273</v>
      </c>
    </row>
    <row r="275" spans="1:10" s="49" customFormat="1" ht="15" x14ac:dyDescent="0.25">
      <c r="A275" s="48">
        <v>10</v>
      </c>
      <c r="B275" s="48" t="s">
        <v>505</v>
      </c>
      <c r="C275" s="48" t="s">
        <v>509</v>
      </c>
      <c r="D275" s="48" t="s">
        <v>404</v>
      </c>
      <c r="E275" s="48" t="s">
        <v>405</v>
      </c>
      <c r="F275" s="49">
        <v>7</v>
      </c>
      <c r="G275" s="49">
        <v>29</v>
      </c>
      <c r="J275" s="49">
        <v>274</v>
      </c>
    </row>
    <row r="276" spans="1:10" s="49" customFormat="1" ht="15" x14ac:dyDescent="0.25">
      <c r="A276" s="48">
        <v>10</v>
      </c>
      <c r="B276" s="48" t="s">
        <v>505</v>
      </c>
      <c r="C276" s="48" t="s">
        <v>509</v>
      </c>
      <c r="D276" s="48" t="s">
        <v>404</v>
      </c>
      <c r="E276" s="48" t="s">
        <v>405</v>
      </c>
      <c r="F276" s="49">
        <v>8</v>
      </c>
      <c r="G276" s="49">
        <v>18</v>
      </c>
      <c r="J276" s="49">
        <v>275</v>
      </c>
    </row>
    <row r="277" spans="1:10" s="49" customFormat="1" ht="15" x14ac:dyDescent="0.25">
      <c r="A277" s="48">
        <v>10</v>
      </c>
      <c r="B277" s="48" t="s">
        <v>505</v>
      </c>
      <c r="C277" s="48" t="s">
        <v>509</v>
      </c>
      <c r="D277" s="48" t="s">
        <v>404</v>
      </c>
      <c r="E277" s="48" t="s">
        <v>405</v>
      </c>
      <c r="F277" s="49">
        <v>9</v>
      </c>
      <c r="G277" s="49">
        <v>13</v>
      </c>
      <c r="J277" s="49">
        <v>276</v>
      </c>
    </row>
    <row r="278" spans="1:10" s="49" customFormat="1" ht="15" x14ac:dyDescent="0.25">
      <c r="A278" s="48">
        <v>10</v>
      </c>
      <c r="B278" s="48" t="s">
        <v>505</v>
      </c>
      <c r="C278" s="48" t="s">
        <v>509</v>
      </c>
      <c r="D278" s="48" t="s">
        <v>404</v>
      </c>
      <c r="E278" s="48" t="s">
        <v>405</v>
      </c>
      <c r="F278" s="49">
        <v>10</v>
      </c>
      <c r="G278" s="49">
        <v>19</v>
      </c>
      <c r="J278" s="49">
        <v>277</v>
      </c>
    </row>
    <row r="279" spans="1:10" s="49" customFormat="1" ht="15" x14ac:dyDescent="0.25">
      <c r="A279" s="48">
        <v>10</v>
      </c>
      <c r="B279" s="48" t="s">
        <v>505</v>
      </c>
      <c r="C279" s="48" t="s">
        <v>509</v>
      </c>
      <c r="D279" s="48" t="s">
        <v>404</v>
      </c>
      <c r="E279" s="48" t="s">
        <v>405</v>
      </c>
      <c r="F279" s="49">
        <v>11</v>
      </c>
      <c r="G279" s="49">
        <v>27</v>
      </c>
      <c r="J279" s="49">
        <v>278</v>
      </c>
    </row>
    <row r="280" spans="1:10" s="49" customFormat="1" ht="15" x14ac:dyDescent="0.25">
      <c r="A280" s="48">
        <v>10</v>
      </c>
      <c r="B280" s="48" t="s">
        <v>505</v>
      </c>
      <c r="C280" s="48" t="s">
        <v>509</v>
      </c>
      <c r="D280" s="48" t="s">
        <v>404</v>
      </c>
      <c r="E280" s="48" t="s">
        <v>405</v>
      </c>
      <c r="F280" s="49">
        <v>12</v>
      </c>
      <c r="G280" s="49">
        <v>31</v>
      </c>
      <c r="J280" s="49">
        <v>279</v>
      </c>
    </row>
    <row r="281" spans="1:10" s="49" customFormat="1" ht="15" x14ac:dyDescent="0.25">
      <c r="A281" s="48">
        <v>10</v>
      </c>
      <c r="B281" s="48" t="s">
        <v>505</v>
      </c>
      <c r="C281" s="48" t="s">
        <v>509</v>
      </c>
      <c r="D281" s="48" t="s">
        <v>404</v>
      </c>
      <c r="E281" s="48" t="s">
        <v>405</v>
      </c>
      <c r="F281" s="49">
        <v>13</v>
      </c>
      <c r="G281" s="49">
        <v>39</v>
      </c>
      <c r="J281" s="49">
        <v>280</v>
      </c>
    </row>
    <row r="282" spans="1:10" s="49" customFormat="1" ht="15" x14ac:dyDescent="0.25">
      <c r="A282" s="48">
        <v>10</v>
      </c>
      <c r="B282" s="48" t="s">
        <v>505</v>
      </c>
      <c r="C282" s="48" t="s">
        <v>509</v>
      </c>
      <c r="D282" s="48" t="s">
        <v>404</v>
      </c>
      <c r="E282" s="48" t="s">
        <v>405</v>
      </c>
      <c r="F282" s="49">
        <v>14</v>
      </c>
      <c r="G282" s="49">
        <v>33</v>
      </c>
      <c r="J282" s="49">
        <v>281</v>
      </c>
    </row>
    <row r="283" spans="1:10" s="49" customFormat="1" ht="15" x14ac:dyDescent="0.25">
      <c r="A283" s="48">
        <v>10</v>
      </c>
      <c r="B283" s="48" t="s">
        <v>505</v>
      </c>
      <c r="C283" s="48" t="s">
        <v>509</v>
      </c>
      <c r="D283" s="48" t="s">
        <v>404</v>
      </c>
      <c r="E283" s="48" t="s">
        <v>405</v>
      </c>
      <c r="F283" s="49">
        <v>15</v>
      </c>
      <c r="G283" s="49">
        <v>37</v>
      </c>
      <c r="J283" s="49">
        <v>282</v>
      </c>
    </row>
    <row r="284" spans="1:10" s="49" customFormat="1" ht="15" x14ac:dyDescent="0.25">
      <c r="A284" s="48">
        <v>10</v>
      </c>
      <c r="B284" s="48" t="s">
        <v>505</v>
      </c>
      <c r="C284" s="48" t="s">
        <v>509</v>
      </c>
      <c r="D284" s="48" t="s">
        <v>404</v>
      </c>
      <c r="E284" s="48" t="s">
        <v>405</v>
      </c>
      <c r="F284" s="49">
        <v>16</v>
      </c>
      <c r="G284" s="49">
        <v>23</v>
      </c>
      <c r="J284" s="49">
        <v>283</v>
      </c>
    </row>
    <row r="285" spans="1:10" s="49" customFormat="1" ht="15" x14ac:dyDescent="0.25">
      <c r="A285" s="48">
        <v>10</v>
      </c>
      <c r="B285" s="48" t="s">
        <v>505</v>
      </c>
      <c r="C285" s="48" t="s">
        <v>509</v>
      </c>
      <c r="D285" s="48" t="s">
        <v>404</v>
      </c>
      <c r="E285" s="48" t="s">
        <v>405</v>
      </c>
      <c r="F285" s="49">
        <v>17</v>
      </c>
      <c r="G285" s="49">
        <v>29</v>
      </c>
      <c r="J285" s="49">
        <v>284</v>
      </c>
    </row>
    <row r="286" spans="1:10" s="49" customFormat="1" ht="15" x14ac:dyDescent="0.25">
      <c r="A286" s="48">
        <v>10</v>
      </c>
      <c r="B286" s="48" t="s">
        <v>505</v>
      </c>
      <c r="C286" s="48" t="s">
        <v>509</v>
      </c>
      <c r="D286" s="48" t="s">
        <v>404</v>
      </c>
      <c r="E286" s="48" t="s">
        <v>405</v>
      </c>
      <c r="F286" s="49">
        <v>18</v>
      </c>
      <c r="G286" s="49">
        <v>32</v>
      </c>
      <c r="J286" s="49">
        <v>285</v>
      </c>
    </row>
    <row r="287" spans="1:10" s="49" customFormat="1" ht="15" x14ac:dyDescent="0.25">
      <c r="A287" s="48">
        <v>10</v>
      </c>
      <c r="B287" s="48" t="s">
        <v>505</v>
      </c>
      <c r="C287" s="48" t="s">
        <v>509</v>
      </c>
      <c r="D287" s="48" t="s">
        <v>404</v>
      </c>
      <c r="E287" s="48" t="s">
        <v>405</v>
      </c>
      <c r="F287" s="49">
        <v>19</v>
      </c>
      <c r="G287" s="49">
        <v>44</v>
      </c>
      <c r="J287" s="49">
        <v>286</v>
      </c>
    </row>
    <row r="288" spans="1:10" s="49" customFormat="1" ht="15" x14ac:dyDescent="0.25">
      <c r="A288" s="48">
        <v>10</v>
      </c>
      <c r="B288" s="48" t="s">
        <v>505</v>
      </c>
      <c r="C288" s="48" t="s">
        <v>509</v>
      </c>
      <c r="D288" s="48" t="s">
        <v>404</v>
      </c>
      <c r="E288" s="48" t="s">
        <v>405</v>
      </c>
      <c r="F288" s="49">
        <v>20</v>
      </c>
      <c r="G288" s="49">
        <v>25</v>
      </c>
      <c r="J288" s="49">
        <v>287</v>
      </c>
    </row>
    <row r="289" spans="1:10" s="49" customFormat="1" ht="15" x14ac:dyDescent="0.25">
      <c r="A289" s="48">
        <v>10</v>
      </c>
      <c r="B289" s="48" t="s">
        <v>505</v>
      </c>
      <c r="C289" s="48" t="s">
        <v>509</v>
      </c>
      <c r="D289" s="48" t="s">
        <v>404</v>
      </c>
      <c r="E289" s="48" t="s">
        <v>405</v>
      </c>
      <c r="F289" s="49">
        <v>21</v>
      </c>
      <c r="G289" s="49">
        <v>22</v>
      </c>
      <c r="J289" s="49">
        <v>288</v>
      </c>
    </row>
    <row r="290" spans="1:10" s="49" customFormat="1" ht="15" x14ac:dyDescent="0.25">
      <c r="A290" s="48">
        <v>10</v>
      </c>
      <c r="B290" s="48" t="s">
        <v>505</v>
      </c>
      <c r="C290" s="48" t="s">
        <v>509</v>
      </c>
      <c r="D290" s="48" t="s">
        <v>404</v>
      </c>
      <c r="E290" s="48" t="s">
        <v>405</v>
      </c>
      <c r="F290" s="49">
        <v>22</v>
      </c>
      <c r="G290" s="49">
        <v>51</v>
      </c>
      <c r="J290" s="49">
        <v>289</v>
      </c>
    </row>
    <row r="291" spans="1:10" s="49" customFormat="1" ht="15" x14ac:dyDescent="0.25">
      <c r="A291" s="48">
        <v>10</v>
      </c>
      <c r="B291" s="48" t="s">
        <v>505</v>
      </c>
      <c r="C291" s="48" t="s">
        <v>509</v>
      </c>
      <c r="D291" s="48" t="s">
        <v>404</v>
      </c>
      <c r="E291" s="48" t="s">
        <v>405</v>
      </c>
      <c r="F291" s="49">
        <v>23</v>
      </c>
      <c r="G291" s="49">
        <v>39</v>
      </c>
      <c r="J291" s="49">
        <v>290</v>
      </c>
    </row>
    <row r="292" spans="1:10" s="49" customFormat="1" thickBot="1" x14ac:dyDescent="0.3">
      <c r="A292" s="48">
        <v>10</v>
      </c>
      <c r="B292" s="48" t="s">
        <v>505</v>
      </c>
      <c r="C292" s="48" t="s">
        <v>509</v>
      </c>
      <c r="D292" s="51" t="s">
        <v>404</v>
      </c>
      <c r="E292" s="51" t="s">
        <v>405</v>
      </c>
      <c r="F292" s="52">
        <v>24</v>
      </c>
      <c r="G292" s="52">
        <v>25</v>
      </c>
      <c r="H292" s="52">
        <v>693</v>
      </c>
      <c r="I292" s="52">
        <v>24</v>
      </c>
      <c r="J292" s="49">
        <v>291</v>
      </c>
    </row>
    <row r="293" spans="1:10" s="49" customFormat="1" thickTop="1" x14ac:dyDescent="0.25">
      <c r="A293" s="48">
        <v>11</v>
      </c>
      <c r="B293" s="48" t="s">
        <v>505</v>
      </c>
      <c r="C293" s="48" t="s">
        <v>509</v>
      </c>
      <c r="D293" s="48" t="s">
        <v>407</v>
      </c>
      <c r="E293" s="48" t="s">
        <v>407</v>
      </c>
      <c r="F293" s="49">
        <v>1</v>
      </c>
      <c r="G293" s="49">
        <v>53</v>
      </c>
      <c r="J293" s="49">
        <v>292</v>
      </c>
    </row>
    <row r="294" spans="1:10" s="49" customFormat="1" ht="15" x14ac:dyDescent="0.25">
      <c r="A294" s="48">
        <v>11</v>
      </c>
      <c r="B294" s="48" t="s">
        <v>505</v>
      </c>
      <c r="C294" s="48" t="s">
        <v>509</v>
      </c>
      <c r="D294" s="48" t="s">
        <v>407</v>
      </c>
      <c r="E294" s="48" t="s">
        <v>407</v>
      </c>
      <c r="F294" s="49">
        <v>2</v>
      </c>
      <c r="G294" s="49">
        <v>46</v>
      </c>
      <c r="J294" s="49">
        <v>293</v>
      </c>
    </row>
    <row r="295" spans="1:10" s="49" customFormat="1" ht="15" x14ac:dyDescent="0.25">
      <c r="A295" s="48">
        <v>11</v>
      </c>
      <c r="B295" s="48" t="s">
        <v>505</v>
      </c>
      <c r="C295" s="48" t="s">
        <v>509</v>
      </c>
      <c r="D295" s="48" t="s">
        <v>407</v>
      </c>
      <c r="E295" s="48" t="s">
        <v>407</v>
      </c>
      <c r="F295" s="49">
        <v>3</v>
      </c>
      <c r="G295" s="49">
        <v>28</v>
      </c>
      <c r="J295" s="49">
        <v>294</v>
      </c>
    </row>
    <row r="296" spans="1:10" s="49" customFormat="1" ht="15" x14ac:dyDescent="0.25">
      <c r="A296" s="48">
        <v>11</v>
      </c>
      <c r="B296" s="48" t="s">
        <v>505</v>
      </c>
      <c r="C296" s="48" t="s">
        <v>509</v>
      </c>
      <c r="D296" s="48" t="s">
        <v>407</v>
      </c>
      <c r="E296" s="48" t="s">
        <v>407</v>
      </c>
      <c r="F296" s="49">
        <v>4</v>
      </c>
      <c r="G296" s="49">
        <v>20</v>
      </c>
      <c r="J296" s="49">
        <v>295</v>
      </c>
    </row>
    <row r="297" spans="1:10" s="49" customFormat="1" ht="15" x14ac:dyDescent="0.25">
      <c r="A297" s="48">
        <v>11</v>
      </c>
      <c r="B297" s="48" t="s">
        <v>505</v>
      </c>
      <c r="C297" s="48" t="s">
        <v>509</v>
      </c>
      <c r="D297" s="48" t="s">
        <v>407</v>
      </c>
      <c r="E297" s="48" t="s">
        <v>407</v>
      </c>
      <c r="F297" s="49">
        <v>5</v>
      </c>
      <c r="G297" s="49">
        <v>32</v>
      </c>
      <c r="J297" s="49">
        <v>296</v>
      </c>
    </row>
    <row r="298" spans="1:10" s="49" customFormat="1" ht="15" x14ac:dyDescent="0.25">
      <c r="A298" s="48">
        <v>11</v>
      </c>
      <c r="B298" s="48" t="s">
        <v>505</v>
      </c>
      <c r="C298" s="48" t="s">
        <v>509</v>
      </c>
      <c r="D298" s="48" t="s">
        <v>407</v>
      </c>
      <c r="E298" s="48" t="s">
        <v>407</v>
      </c>
      <c r="F298" s="49">
        <v>6</v>
      </c>
      <c r="G298" s="49">
        <v>38</v>
      </c>
      <c r="J298" s="49">
        <v>297</v>
      </c>
    </row>
    <row r="299" spans="1:10" s="49" customFormat="1" ht="15" x14ac:dyDescent="0.25">
      <c r="A299" s="48">
        <v>11</v>
      </c>
      <c r="B299" s="48" t="s">
        <v>505</v>
      </c>
      <c r="C299" s="48" t="s">
        <v>509</v>
      </c>
      <c r="D299" s="48" t="s">
        <v>407</v>
      </c>
      <c r="E299" s="48" t="s">
        <v>407</v>
      </c>
      <c r="F299" s="49">
        <v>7</v>
      </c>
      <c r="G299" s="49">
        <v>51</v>
      </c>
      <c r="J299" s="49">
        <v>298</v>
      </c>
    </row>
    <row r="300" spans="1:10" s="49" customFormat="1" ht="15" x14ac:dyDescent="0.25">
      <c r="A300" s="48">
        <v>11</v>
      </c>
      <c r="B300" s="48" t="s">
        <v>505</v>
      </c>
      <c r="C300" s="48" t="s">
        <v>509</v>
      </c>
      <c r="D300" s="48" t="s">
        <v>407</v>
      </c>
      <c r="E300" s="48" t="s">
        <v>407</v>
      </c>
      <c r="F300" s="49">
        <v>8</v>
      </c>
      <c r="G300" s="49">
        <v>66</v>
      </c>
      <c r="J300" s="49">
        <v>299</v>
      </c>
    </row>
    <row r="301" spans="1:10" s="49" customFormat="1" ht="15" x14ac:dyDescent="0.25">
      <c r="A301" s="48">
        <v>11</v>
      </c>
      <c r="B301" s="48" t="s">
        <v>505</v>
      </c>
      <c r="C301" s="48" t="s">
        <v>509</v>
      </c>
      <c r="D301" s="48" t="s">
        <v>407</v>
      </c>
      <c r="E301" s="48" t="s">
        <v>407</v>
      </c>
      <c r="F301" s="49">
        <v>9</v>
      </c>
      <c r="G301" s="49">
        <v>28</v>
      </c>
      <c r="J301" s="49">
        <v>300</v>
      </c>
    </row>
    <row r="302" spans="1:10" s="49" customFormat="1" ht="15" x14ac:dyDescent="0.25">
      <c r="A302" s="48">
        <v>11</v>
      </c>
      <c r="B302" s="48" t="s">
        <v>505</v>
      </c>
      <c r="C302" s="48" t="s">
        <v>509</v>
      </c>
      <c r="D302" s="48" t="s">
        <v>407</v>
      </c>
      <c r="E302" s="48" t="s">
        <v>407</v>
      </c>
      <c r="F302" s="49">
        <v>10</v>
      </c>
      <c r="G302" s="49">
        <v>29</v>
      </c>
      <c r="J302" s="49">
        <v>301</v>
      </c>
    </row>
    <row r="303" spans="1:10" s="49" customFormat="1" ht="15" x14ac:dyDescent="0.25">
      <c r="A303" s="48">
        <v>11</v>
      </c>
      <c r="B303" s="48" t="s">
        <v>505</v>
      </c>
      <c r="C303" s="48" t="s">
        <v>509</v>
      </c>
      <c r="D303" s="48" t="s">
        <v>407</v>
      </c>
      <c r="E303" s="48" t="s">
        <v>407</v>
      </c>
      <c r="F303" s="49">
        <v>11</v>
      </c>
      <c r="G303" s="49">
        <v>43</v>
      </c>
      <c r="J303" s="49">
        <v>302</v>
      </c>
    </row>
    <row r="304" spans="1:10" s="49" customFormat="1" ht="15" x14ac:dyDescent="0.25">
      <c r="A304" s="48">
        <v>11</v>
      </c>
      <c r="B304" s="48" t="s">
        <v>505</v>
      </c>
      <c r="C304" s="48" t="s">
        <v>509</v>
      </c>
      <c r="D304" s="48" t="s">
        <v>407</v>
      </c>
      <c r="E304" s="48" t="s">
        <v>407</v>
      </c>
      <c r="F304" s="49">
        <v>12</v>
      </c>
      <c r="G304" s="49">
        <v>33</v>
      </c>
      <c r="J304" s="49">
        <v>303</v>
      </c>
    </row>
    <row r="305" spans="1:10" s="49" customFormat="1" ht="15" x14ac:dyDescent="0.25">
      <c r="A305" s="48">
        <v>11</v>
      </c>
      <c r="B305" s="48" t="s">
        <v>505</v>
      </c>
      <c r="C305" s="48" t="s">
        <v>509</v>
      </c>
      <c r="D305" s="48" t="s">
        <v>407</v>
      </c>
      <c r="E305" s="48" t="s">
        <v>407</v>
      </c>
      <c r="F305" s="49">
        <v>13</v>
      </c>
      <c r="G305" s="49">
        <v>34</v>
      </c>
      <c r="J305" s="49">
        <v>304</v>
      </c>
    </row>
    <row r="306" spans="1:10" s="49" customFormat="1" ht="15" x14ac:dyDescent="0.25">
      <c r="A306" s="48">
        <v>11</v>
      </c>
      <c r="B306" s="48" t="s">
        <v>505</v>
      </c>
      <c r="C306" s="48" t="s">
        <v>509</v>
      </c>
      <c r="D306" s="48" t="s">
        <v>407</v>
      </c>
      <c r="E306" s="48" t="s">
        <v>407</v>
      </c>
      <c r="F306" s="49">
        <v>14</v>
      </c>
      <c r="G306" s="49">
        <v>31</v>
      </c>
      <c r="J306" s="49">
        <v>305</v>
      </c>
    </row>
    <row r="307" spans="1:10" s="49" customFormat="1" ht="15" x14ac:dyDescent="0.25">
      <c r="A307" s="48">
        <v>11</v>
      </c>
      <c r="B307" s="48" t="s">
        <v>505</v>
      </c>
      <c r="C307" s="48" t="s">
        <v>509</v>
      </c>
      <c r="D307" s="48" t="s">
        <v>407</v>
      </c>
      <c r="E307" s="48" t="s">
        <v>407</v>
      </c>
      <c r="F307" s="49">
        <v>15</v>
      </c>
      <c r="G307" s="49">
        <v>34</v>
      </c>
      <c r="J307" s="49">
        <v>306</v>
      </c>
    </row>
    <row r="308" spans="1:10" s="49" customFormat="1" ht="15" x14ac:dyDescent="0.25">
      <c r="A308" s="48">
        <v>11</v>
      </c>
      <c r="B308" s="48" t="s">
        <v>505</v>
      </c>
      <c r="C308" s="48" t="s">
        <v>509</v>
      </c>
      <c r="D308" s="48" t="s">
        <v>407</v>
      </c>
      <c r="E308" s="48" t="s">
        <v>407</v>
      </c>
      <c r="F308" s="49">
        <v>16</v>
      </c>
      <c r="G308" s="49">
        <v>34</v>
      </c>
      <c r="J308" s="49">
        <v>307</v>
      </c>
    </row>
    <row r="309" spans="1:10" s="49" customFormat="1" ht="15" x14ac:dyDescent="0.25">
      <c r="A309" s="48">
        <v>11</v>
      </c>
      <c r="B309" s="48" t="s">
        <v>505</v>
      </c>
      <c r="C309" s="48" t="s">
        <v>509</v>
      </c>
      <c r="D309" s="48" t="s">
        <v>407</v>
      </c>
      <c r="E309" s="48" t="s">
        <v>407</v>
      </c>
      <c r="F309" s="49">
        <v>17</v>
      </c>
      <c r="G309" s="49">
        <v>24</v>
      </c>
      <c r="J309" s="49">
        <v>308</v>
      </c>
    </row>
    <row r="310" spans="1:10" s="49" customFormat="1" ht="15" x14ac:dyDescent="0.25">
      <c r="A310" s="48">
        <v>11</v>
      </c>
      <c r="B310" s="48" t="s">
        <v>505</v>
      </c>
      <c r="C310" s="48" t="s">
        <v>509</v>
      </c>
      <c r="D310" s="48" t="s">
        <v>407</v>
      </c>
      <c r="E310" s="48" t="s">
        <v>407</v>
      </c>
      <c r="F310" s="49">
        <v>18</v>
      </c>
      <c r="G310" s="49">
        <v>46</v>
      </c>
      <c r="J310" s="49">
        <v>309</v>
      </c>
    </row>
    <row r="311" spans="1:10" s="49" customFormat="1" ht="15" x14ac:dyDescent="0.25">
      <c r="A311" s="48">
        <v>11</v>
      </c>
      <c r="B311" s="48" t="s">
        <v>505</v>
      </c>
      <c r="C311" s="48" t="s">
        <v>509</v>
      </c>
      <c r="D311" s="48" t="s">
        <v>407</v>
      </c>
      <c r="E311" s="48" t="s">
        <v>407</v>
      </c>
      <c r="F311" s="49">
        <v>19</v>
      </c>
      <c r="G311" s="49">
        <v>21</v>
      </c>
      <c r="J311" s="49">
        <v>310</v>
      </c>
    </row>
    <row r="312" spans="1:10" s="49" customFormat="1" ht="15" x14ac:dyDescent="0.25">
      <c r="A312" s="48">
        <v>11</v>
      </c>
      <c r="B312" s="48" t="s">
        <v>505</v>
      </c>
      <c r="C312" s="48" t="s">
        <v>509</v>
      </c>
      <c r="D312" s="48" t="s">
        <v>407</v>
      </c>
      <c r="E312" s="48" t="s">
        <v>407</v>
      </c>
      <c r="F312" s="49">
        <v>20</v>
      </c>
      <c r="G312" s="49">
        <v>43</v>
      </c>
      <c r="J312" s="49">
        <v>311</v>
      </c>
    </row>
    <row r="313" spans="1:10" s="49" customFormat="1" ht="15" x14ac:dyDescent="0.25">
      <c r="A313" s="48">
        <v>11</v>
      </c>
      <c r="B313" s="48" t="s">
        <v>505</v>
      </c>
      <c r="C313" s="48" t="s">
        <v>509</v>
      </c>
      <c r="D313" s="48" t="s">
        <v>407</v>
      </c>
      <c r="E313" s="48" t="s">
        <v>407</v>
      </c>
      <c r="F313" s="49">
        <v>21</v>
      </c>
      <c r="G313" s="49">
        <v>29</v>
      </c>
      <c r="J313" s="49">
        <v>312</v>
      </c>
    </row>
    <row r="314" spans="1:10" s="49" customFormat="1" thickBot="1" x14ac:dyDescent="0.3">
      <c r="A314" s="48">
        <v>11</v>
      </c>
      <c r="B314" s="48" t="s">
        <v>505</v>
      </c>
      <c r="C314" s="48" t="s">
        <v>509</v>
      </c>
      <c r="D314" s="51" t="s">
        <v>407</v>
      </c>
      <c r="E314" s="51" t="s">
        <v>407</v>
      </c>
      <c r="F314" s="52">
        <v>22</v>
      </c>
      <c r="G314" s="52">
        <v>54</v>
      </c>
      <c r="H314" s="52">
        <v>817</v>
      </c>
      <c r="I314" s="52">
        <v>22</v>
      </c>
      <c r="J314" s="49">
        <v>313</v>
      </c>
    </row>
    <row r="315" spans="1:10" s="49" customFormat="1" thickTop="1" x14ac:dyDescent="0.25">
      <c r="A315" s="48">
        <v>12</v>
      </c>
      <c r="B315" s="48" t="s">
        <v>505</v>
      </c>
      <c r="C315" s="48" t="s">
        <v>509</v>
      </c>
      <c r="D315" s="48" t="s">
        <v>409</v>
      </c>
      <c r="E315" s="48" t="s">
        <v>409</v>
      </c>
      <c r="F315" s="49">
        <v>1</v>
      </c>
      <c r="G315" s="49">
        <v>18</v>
      </c>
      <c r="J315" s="49">
        <v>314</v>
      </c>
    </row>
    <row r="316" spans="1:10" s="49" customFormat="1" ht="15" x14ac:dyDescent="0.25">
      <c r="A316" s="48">
        <v>12</v>
      </c>
      <c r="B316" s="48" t="s">
        <v>505</v>
      </c>
      <c r="C316" s="48" t="s">
        <v>509</v>
      </c>
      <c r="D316" s="48" t="s">
        <v>409</v>
      </c>
      <c r="E316" s="48" t="s">
        <v>409</v>
      </c>
      <c r="F316" s="49">
        <v>2</v>
      </c>
      <c r="G316" s="49">
        <v>25</v>
      </c>
      <c r="J316" s="49">
        <v>315</v>
      </c>
    </row>
    <row r="317" spans="1:10" s="49" customFormat="1" ht="15" x14ac:dyDescent="0.25">
      <c r="A317" s="48">
        <v>12</v>
      </c>
      <c r="B317" s="48" t="s">
        <v>505</v>
      </c>
      <c r="C317" s="48" t="s">
        <v>509</v>
      </c>
      <c r="D317" s="48" t="s">
        <v>409</v>
      </c>
      <c r="E317" s="48" t="s">
        <v>409</v>
      </c>
      <c r="F317" s="49">
        <v>3</v>
      </c>
      <c r="G317" s="49">
        <v>27</v>
      </c>
      <c r="J317" s="49">
        <v>316</v>
      </c>
    </row>
    <row r="318" spans="1:10" s="49" customFormat="1" ht="15" x14ac:dyDescent="0.25">
      <c r="A318" s="48">
        <v>12</v>
      </c>
      <c r="B318" s="48" t="s">
        <v>505</v>
      </c>
      <c r="C318" s="48" t="s">
        <v>509</v>
      </c>
      <c r="D318" s="48" t="s">
        <v>409</v>
      </c>
      <c r="E318" s="48" t="s">
        <v>409</v>
      </c>
      <c r="F318" s="49">
        <v>4</v>
      </c>
      <c r="G318" s="49">
        <v>44</v>
      </c>
      <c r="J318" s="49">
        <v>317</v>
      </c>
    </row>
    <row r="319" spans="1:10" s="49" customFormat="1" ht="15" x14ac:dyDescent="0.25">
      <c r="A319" s="48">
        <v>12</v>
      </c>
      <c r="B319" s="48" t="s">
        <v>505</v>
      </c>
      <c r="C319" s="48" t="s">
        <v>509</v>
      </c>
      <c r="D319" s="48" t="s">
        <v>409</v>
      </c>
      <c r="E319" s="48" t="s">
        <v>409</v>
      </c>
      <c r="F319" s="49">
        <v>5</v>
      </c>
      <c r="G319" s="49">
        <v>27</v>
      </c>
      <c r="J319" s="49">
        <v>318</v>
      </c>
    </row>
    <row r="320" spans="1:10" s="49" customFormat="1" ht="15" x14ac:dyDescent="0.25">
      <c r="A320" s="48">
        <v>12</v>
      </c>
      <c r="B320" s="48" t="s">
        <v>505</v>
      </c>
      <c r="C320" s="48" t="s">
        <v>509</v>
      </c>
      <c r="D320" s="48" t="s">
        <v>409</v>
      </c>
      <c r="E320" s="48" t="s">
        <v>409</v>
      </c>
      <c r="F320" s="49">
        <v>6</v>
      </c>
      <c r="G320" s="49">
        <v>33</v>
      </c>
      <c r="J320" s="49">
        <v>319</v>
      </c>
    </row>
    <row r="321" spans="1:10" s="49" customFormat="1" ht="15" x14ac:dyDescent="0.25">
      <c r="A321" s="48">
        <v>12</v>
      </c>
      <c r="B321" s="48" t="s">
        <v>505</v>
      </c>
      <c r="C321" s="48" t="s">
        <v>509</v>
      </c>
      <c r="D321" s="48" t="s">
        <v>409</v>
      </c>
      <c r="E321" s="48" t="s">
        <v>409</v>
      </c>
      <c r="F321" s="49">
        <v>7</v>
      </c>
      <c r="G321" s="49">
        <v>20</v>
      </c>
      <c r="J321" s="49">
        <v>320</v>
      </c>
    </row>
    <row r="322" spans="1:10" s="49" customFormat="1" ht="15" x14ac:dyDescent="0.25">
      <c r="A322" s="48">
        <v>12</v>
      </c>
      <c r="B322" s="48" t="s">
        <v>505</v>
      </c>
      <c r="C322" s="48" t="s">
        <v>509</v>
      </c>
      <c r="D322" s="48" t="s">
        <v>409</v>
      </c>
      <c r="E322" s="48" t="s">
        <v>409</v>
      </c>
      <c r="F322" s="49">
        <v>8</v>
      </c>
      <c r="G322" s="49">
        <v>29</v>
      </c>
      <c r="J322" s="49">
        <v>321</v>
      </c>
    </row>
    <row r="323" spans="1:10" s="49" customFormat="1" ht="15" x14ac:dyDescent="0.25">
      <c r="A323" s="48">
        <v>12</v>
      </c>
      <c r="B323" s="48" t="s">
        <v>505</v>
      </c>
      <c r="C323" s="48" t="s">
        <v>509</v>
      </c>
      <c r="D323" s="48" t="s">
        <v>409</v>
      </c>
      <c r="E323" s="48" t="s">
        <v>409</v>
      </c>
      <c r="F323" s="49">
        <v>9</v>
      </c>
      <c r="G323" s="49">
        <v>37</v>
      </c>
      <c r="J323" s="49">
        <v>322</v>
      </c>
    </row>
    <row r="324" spans="1:10" s="49" customFormat="1" ht="15" x14ac:dyDescent="0.25">
      <c r="A324" s="48">
        <v>12</v>
      </c>
      <c r="B324" s="48" t="s">
        <v>505</v>
      </c>
      <c r="C324" s="48" t="s">
        <v>509</v>
      </c>
      <c r="D324" s="48" t="s">
        <v>409</v>
      </c>
      <c r="E324" s="48" t="s">
        <v>409</v>
      </c>
      <c r="F324" s="49">
        <v>10</v>
      </c>
      <c r="G324" s="49">
        <v>36</v>
      </c>
      <c r="J324" s="49">
        <v>323</v>
      </c>
    </row>
    <row r="325" spans="1:10" s="49" customFormat="1" ht="15" x14ac:dyDescent="0.25">
      <c r="A325" s="48">
        <v>12</v>
      </c>
      <c r="B325" s="48" t="s">
        <v>505</v>
      </c>
      <c r="C325" s="48" t="s">
        <v>509</v>
      </c>
      <c r="D325" s="48" t="s">
        <v>409</v>
      </c>
      <c r="E325" s="48" t="s">
        <v>409</v>
      </c>
      <c r="F325" s="49">
        <v>11</v>
      </c>
      <c r="G325" s="49">
        <v>20</v>
      </c>
      <c r="J325" s="49">
        <v>324</v>
      </c>
    </row>
    <row r="326" spans="1:10" s="49" customFormat="1" ht="15" x14ac:dyDescent="0.25">
      <c r="A326" s="48">
        <v>12</v>
      </c>
      <c r="B326" s="48" t="s">
        <v>505</v>
      </c>
      <c r="C326" s="48" t="s">
        <v>509</v>
      </c>
      <c r="D326" s="48" t="s">
        <v>409</v>
      </c>
      <c r="E326" s="48" t="s">
        <v>409</v>
      </c>
      <c r="F326" s="49">
        <v>12</v>
      </c>
      <c r="G326" s="49">
        <v>22</v>
      </c>
      <c r="J326" s="49">
        <v>325</v>
      </c>
    </row>
    <row r="327" spans="1:10" s="49" customFormat="1" ht="15" x14ac:dyDescent="0.25">
      <c r="A327" s="48">
        <v>12</v>
      </c>
      <c r="B327" s="48" t="s">
        <v>505</v>
      </c>
      <c r="C327" s="48" t="s">
        <v>509</v>
      </c>
      <c r="D327" s="48" t="s">
        <v>409</v>
      </c>
      <c r="E327" s="48" t="s">
        <v>409</v>
      </c>
      <c r="F327" s="49">
        <v>13</v>
      </c>
      <c r="G327" s="49">
        <v>25</v>
      </c>
      <c r="J327" s="49">
        <v>326</v>
      </c>
    </row>
    <row r="328" spans="1:10" s="49" customFormat="1" ht="15" x14ac:dyDescent="0.25">
      <c r="A328" s="48">
        <v>12</v>
      </c>
      <c r="B328" s="48" t="s">
        <v>505</v>
      </c>
      <c r="C328" s="48" t="s">
        <v>509</v>
      </c>
      <c r="D328" s="48" t="s">
        <v>409</v>
      </c>
      <c r="E328" s="48" t="s">
        <v>409</v>
      </c>
      <c r="F328" s="49">
        <v>14</v>
      </c>
      <c r="G328" s="49">
        <v>29</v>
      </c>
      <c r="J328" s="49">
        <v>327</v>
      </c>
    </row>
    <row r="329" spans="1:10" s="49" customFormat="1" ht="15" x14ac:dyDescent="0.25">
      <c r="A329" s="48">
        <v>12</v>
      </c>
      <c r="B329" s="48" t="s">
        <v>505</v>
      </c>
      <c r="C329" s="48" t="s">
        <v>509</v>
      </c>
      <c r="D329" s="48" t="s">
        <v>409</v>
      </c>
      <c r="E329" s="48" t="s">
        <v>409</v>
      </c>
      <c r="F329" s="49">
        <v>15</v>
      </c>
      <c r="G329" s="49">
        <v>38</v>
      </c>
      <c r="J329" s="49">
        <v>328</v>
      </c>
    </row>
    <row r="330" spans="1:10" s="49" customFormat="1" ht="15" x14ac:dyDescent="0.25">
      <c r="A330" s="48">
        <v>12</v>
      </c>
      <c r="B330" s="48" t="s">
        <v>505</v>
      </c>
      <c r="C330" s="48" t="s">
        <v>509</v>
      </c>
      <c r="D330" s="48" t="s">
        <v>409</v>
      </c>
      <c r="E330" s="48" t="s">
        <v>409</v>
      </c>
      <c r="F330" s="49">
        <v>16</v>
      </c>
      <c r="G330" s="49">
        <v>20</v>
      </c>
      <c r="J330" s="49">
        <v>329</v>
      </c>
    </row>
    <row r="331" spans="1:10" s="49" customFormat="1" ht="15" x14ac:dyDescent="0.25">
      <c r="A331" s="48">
        <v>12</v>
      </c>
      <c r="B331" s="48" t="s">
        <v>505</v>
      </c>
      <c r="C331" s="48" t="s">
        <v>509</v>
      </c>
      <c r="D331" s="48" t="s">
        <v>409</v>
      </c>
      <c r="E331" s="48" t="s">
        <v>409</v>
      </c>
      <c r="F331" s="49">
        <v>17</v>
      </c>
      <c r="G331" s="49">
        <v>41</v>
      </c>
      <c r="J331" s="49">
        <v>330</v>
      </c>
    </row>
    <row r="332" spans="1:10" s="49" customFormat="1" ht="15" x14ac:dyDescent="0.25">
      <c r="A332" s="48">
        <v>12</v>
      </c>
      <c r="B332" s="48" t="s">
        <v>505</v>
      </c>
      <c r="C332" s="48" t="s">
        <v>509</v>
      </c>
      <c r="D332" s="48" t="s">
        <v>409</v>
      </c>
      <c r="E332" s="48" t="s">
        <v>409</v>
      </c>
      <c r="F332" s="49">
        <v>18</v>
      </c>
      <c r="G332" s="49">
        <v>37</v>
      </c>
      <c r="J332" s="49">
        <v>331</v>
      </c>
    </row>
    <row r="333" spans="1:10" s="49" customFormat="1" ht="15" x14ac:dyDescent="0.25">
      <c r="A333" s="48">
        <v>12</v>
      </c>
      <c r="B333" s="48" t="s">
        <v>505</v>
      </c>
      <c r="C333" s="48" t="s">
        <v>509</v>
      </c>
      <c r="D333" s="48" t="s">
        <v>409</v>
      </c>
      <c r="E333" s="48" t="s">
        <v>409</v>
      </c>
      <c r="F333" s="49">
        <v>19</v>
      </c>
      <c r="G333" s="49">
        <v>37</v>
      </c>
      <c r="J333" s="49">
        <v>332</v>
      </c>
    </row>
    <row r="334" spans="1:10" s="49" customFormat="1" ht="15" x14ac:dyDescent="0.25">
      <c r="A334" s="48">
        <v>12</v>
      </c>
      <c r="B334" s="48" t="s">
        <v>505</v>
      </c>
      <c r="C334" s="48" t="s">
        <v>509</v>
      </c>
      <c r="D334" s="48" t="s">
        <v>409</v>
      </c>
      <c r="E334" s="48" t="s">
        <v>409</v>
      </c>
      <c r="F334" s="49">
        <v>20</v>
      </c>
      <c r="G334" s="49">
        <v>21</v>
      </c>
      <c r="J334" s="49">
        <v>333</v>
      </c>
    </row>
    <row r="335" spans="1:10" s="49" customFormat="1" ht="15" x14ac:dyDescent="0.25">
      <c r="A335" s="48">
        <v>12</v>
      </c>
      <c r="B335" s="48" t="s">
        <v>505</v>
      </c>
      <c r="C335" s="48" t="s">
        <v>509</v>
      </c>
      <c r="D335" s="48" t="s">
        <v>409</v>
      </c>
      <c r="E335" s="48" t="s">
        <v>409</v>
      </c>
      <c r="F335" s="49">
        <v>21</v>
      </c>
      <c r="G335" s="49">
        <v>26</v>
      </c>
      <c r="J335" s="49">
        <v>334</v>
      </c>
    </row>
    <row r="336" spans="1:10" s="49" customFormat="1" ht="15" x14ac:dyDescent="0.25">
      <c r="A336" s="48">
        <v>12</v>
      </c>
      <c r="B336" s="48" t="s">
        <v>505</v>
      </c>
      <c r="C336" s="48" t="s">
        <v>509</v>
      </c>
      <c r="D336" s="48" t="s">
        <v>409</v>
      </c>
      <c r="E336" s="48" t="s">
        <v>409</v>
      </c>
      <c r="F336" s="49">
        <v>22</v>
      </c>
      <c r="G336" s="49">
        <v>20</v>
      </c>
      <c r="J336" s="49">
        <v>335</v>
      </c>
    </row>
    <row r="337" spans="1:10" s="49" customFormat="1" ht="15" x14ac:dyDescent="0.25">
      <c r="A337" s="48">
        <v>12</v>
      </c>
      <c r="B337" s="48" t="s">
        <v>505</v>
      </c>
      <c r="C337" s="48" t="s">
        <v>509</v>
      </c>
      <c r="D337" s="48" t="s">
        <v>409</v>
      </c>
      <c r="E337" s="48" t="s">
        <v>409</v>
      </c>
      <c r="F337" s="49">
        <v>23</v>
      </c>
      <c r="G337" s="49">
        <v>37</v>
      </c>
      <c r="J337" s="49">
        <v>336</v>
      </c>
    </row>
    <row r="338" spans="1:10" s="49" customFormat="1" ht="15" x14ac:dyDescent="0.25">
      <c r="A338" s="48">
        <v>12</v>
      </c>
      <c r="B338" s="48" t="s">
        <v>505</v>
      </c>
      <c r="C338" s="48" t="s">
        <v>509</v>
      </c>
      <c r="D338" s="48" t="s">
        <v>409</v>
      </c>
      <c r="E338" s="48" t="s">
        <v>409</v>
      </c>
      <c r="F338" s="49">
        <v>24</v>
      </c>
      <c r="G338" s="49">
        <v>20</v>
      </c>
      <c r="J338" s="49">
        <v>337</v>
      </c>
    </row>
    <row r="339" spans="1:10" s="49" customFormat="1" thickBot="1" x14ac:dyDescent="0.3">
      <c r="A339" s="48">
        <v>12</v>
      </c>
      <c r="B339" s="48" t="s">
        <v>505</v>
      </c>
      <c r="C339" s="48" t="s">
        <v>509</v>
      </c>
      <c r="D339" s="51" t="s">
        <v>409</v>
      </c>
      <c r="E339" s="51" t="s">
        <v>409</v>
      </c>
      <c r="F339" s="52">
        <v>25</v>
      </c>
      <c r="G339" s="52">
        <v>30</v>
      </c>
      <c r="H339" s="52">
        <v>719</v>
      </c>
      <c r="I339" s="52">
        <v>25</v>
      </c>
      <c r="J339" s="49">
        <v>338</v>
      </c>
    </row>
    <row r="340" spans="1:10" s="49" customFormat="1" thickTop="1" x14ac:dyDescent="0.25">
      <c r="A340" s="48">
        <v>13</v>
      </c>
      <c r="B340" s="48" t="s">
        <v>505</v>
      </c>
      <c r="C340" s="48" t="s">
        <v>509</v>
      </c>
      <c r="D340" s="48" t="s">
        <v>411</v>
      </c>
      <c r="E340" s="48" t="s">
        <v>412</v>
      </c>
      <c r="F340" s="49">
        <v>1</v>
      </c>
      <c r="G340" s="49">
        <v>54</v>
      </c>
      <c r="J340" s="49">
        <v>339</v>
      </c>
    </row>
    <row r="341" spans="1:10" s="49" customFormat="1" ht="15" x14ac:dyDescent="0.25">
      <c r="A341" s="48">
        <v>13</v>
      </c>
      <c r="B341" s="48" t="s">
        <v>505</v>
      </c>
      <c r="C341" s="48" t="s">
        <v>509</v>
      </c>
      <c r="D341" s="48" t="s">
        <v>411</v>
      </c>
      <c r="E341" s="48" t="s">
        <v>412</v>
      </c>
      <c r="F341" s="49">
        <v>2</v>
      </c>
      <c r="G341" s="49">
        <v>55</v>
      </c>
      <c r="J341" s="49">
        <v>340</v>
      </c>
    </row>
    <row r="342" spans="1:10" s="49" customFormat="1" ht="15" x14ac:dyDescent="0.25">
      <c r="A342" s="48">
        <v>13</v>
      </c>
      <c r="B342" s="48" t="s">
        <v>505</v>
      </c>
      <c r="C342" s="48" t="s">
        <v>509</v>
      </c>
      <c r="D342" s="48" t="s">
        <v>411</v>
      </c>
      <c r="E342" s="48" t="s">
        <v>412</v>
      </c>
      <c r="F342" s="49">
        <v>3</v>
      </c>
      <c r="G342" s="49">
        <v>24</v>
      </c>
      <c r="J342" s="49">
        <v>341</v>
      </c>
    </row>
    <row r="343" spans="1:10" s="49" customFormat="1" ht="15" x14ac:dyDescent="0.25">
      <c r="A343" s="48">
        <v>13</v>
      </c>
      <c r="B343" s="48" t="s">
        <v>505</v>
      </c>
      <c r="C343" s="48" t="s">
        <v>509</v>
      </c>
      <c r="D343" s="48" t="s">
        <v>411</v>
      </c>
      <c r="E343" s="48" t="s">
        <v>412</v>
      </c>
      <c r="F343" s="49">
        <v>4</v>
      </c>
      <c r="G343" s="49">
        <v>43</v>
      </c>
      <c r="J343" s="49">
        <v>342</v>
      </c>
    </row>
    <row r="344" spans="1:10" s="49" customFormat="1" ht="15" x14ac:dyDescent="0.25">
      <c r="A344" s="48">
        <v>13</v>
      </c>
      <c r="B344" s="48" t="s">
        <v>505</v>
      </c>
      <c r="C344" s="48" t="s">
        <v>509</v>
      </c>
      <c r="D344" s="48" t="s">
        <v>411</v>
      </c>
      <c r="E344" s="48" t="s">
        <v>412</v>
      </c>
      <c r="F344" s="49">
        <v>5</v>
      </c>
      <c r="G344" s="49">
        <v>41</v>
      </c>
      <c r="J344" s="49">
        <v>343</v>
      </c>
    </row>
    <row r="345" spans="1:10" s="49" customFormat="1" ht="15" x14ac:dyDescent="0.25">
      <c r="A345" s="48">
        <v>13</v>
      </c>
      <c r="B345" s="48" t="s">
        <v>505</v>
      </c>
      <c r="C345" s="48" t="s">
        <v>509</v>
      </c>
      <c r="D345" s="48" t="s">
        <v>411</v>
      </c>
      <c r="E345" s="48" t="s">
        <v>412</v>
      </c>
      <c r="F345" s="49">
        <v>6</v>
      </c>
      <c r="G345" s="49">
        <v>66</v>
      </c>
      <c r="J345" s="49">
        <v>344</v>
      </c>
    </row>
    <row r="346" spans="1:10" s="49" customFormat="1" ht="15" x14ac:dyDescent="0.25">
      <c r="A346" s="48">
        <v>13</v>
      </c>
      <c r="B346" s="48" t="s">
        <v>505</v>
      </c>
      <c r="C346" s="48" t="s">
        <v>509</v>
      </c>
      <c r="D346" s="48" t="s">
        <v>411</v>
      </c>
      <c r="E346" s="48" t="s">
        <v>412</v>
      </c>
      <c r="F346" s="49">
        <v>7</v>
      </c>
      <c r="G346" s="49">
        <v>40</v>
      </c>
      <c r="J346" s="49">
        <v>345</v>
      </c>
    </row>
    <row r="347" spans="1:10" s="49" customFormat="1" ht="15" x14ac:dyDescent="0.25">
      <c r="A347" s="48">
        <v>13</v>
      </c>
      <c r="B347" s="48" t="s">
        <v>505</v>
      </c>
      <c r="C347" s="48" t="s">
        <v>509</v>
      </c>
      <c r="D347" s="48" t="s">
        <v>411</v>
      </c>
      <c r="E347" s="48" t="s">
        <v>412</v>
      </c>
      <c r="F347" s="49">
        <v>8</v>
      </c>
      <c r="G347" s="49">
        <v>40</v>
      </c>
      <c r="J347" s="49">
        <v>346</v>
      </c>
    </row>
    <row r="348" spans="1:10" s="49" customFormat="1" ht="15" x14ac:dyDescent="0.25">
      <c r="A348" s="48">
        <v>13</v>
      </c>
      <c r="B348" s="48" t="s">
        <v>505</v>
      </c>
      <c r="C348" s="48" t="s">
        <v>509</v>
      </c>
      <c r="D348" s="48" t="s">
        <v>411</v>
      </c>
      <c r="E348" s="48" t="s">
        <v>412</v>
      </c>
      <c r="F348" s="49">
        <v>9</v>
      </c>
      <c r="G348" s="49">
        <v>44</v>
      </c>
      <c r="J348" s="49">
        <v>347</v>
      </c>
    </row>
    <row r="349" spans="1:10" s="49" customFormat="1" ht="15" x14ac:dyDescent="0.25">
      <c r="A349" s="48">
        <v>13</v>
      </c>
      <c r="B349" s="48" t="s">
        <v>505</v>
      </c>
      <c r="C349" s="48" t="s">
        <v>509</v>
      </c>
      <c r="D349" s="48" t="s">
        <v>411</v>
      </c>
      <c r="E349" s="48" t="s">
        <v>412</v>
      </c>
      <c r="F349" s="49">
        <v>10</v>
      </c>
      <c r="G349" s="49">
        <v>14</v>
      </c>
      <c r="J349" s="49">
        <v>348</v>
      </c>
    </row>
    <row r="350" spans="1:10" s="49" customFormat="1" ht="15" x14ac:dyDescent="0.25">
      <c r="A350" s="48">
        <v>13</v>
      </c>
      <c r="B350" s="48" t="s">
        <v>505</v>
      </c>
      <c r="C350" s="48" t="s">
        <v>509</v>
      </c>
      <c r="D350" s="48" t="s">
        <v>411</v>
      </c>
      <c r="E350" s="48" t="s">
        <v>412</v>
      </c>
      <c r="F350" s="49">
        <v>11</v>
      </c>
      <c r="G350" s="49">
        <v>47</v>
      </c>
      <c r="J350" s="49">
        <v>349</v>
      </c>
    </row>
    <row r="351" spans="1:10" s="49" customFormat="1" ht="15" x14ac:dyDescent="0.25">
      <c r="A351" s="48">
        <v>13</v>
      </c>
      <c r="B351" s="48" t="s">
        <v>505</v>
      </c>
      <c r="C351" s="48" t="s">
        <v>509</v>
      </c>
      <c r="D351" s="48" t="s">
        <v>411</v>
      </c>
      <c r="E351" s="48" t="s">
        <v>412</v>
      </c>
      <c r="F351" s="49">
        <v>12</v>
      </c>
      <c r="G351" s="49">
        <v>41</v>
      </c>
      <c r="J351" s="49">
        <v>350</v>
      </c>
    </row>
    <row r="352" spans="1:10" s="49" customFormat="1" ht="15" x14ac:dyDescent="0.25">
      <c r="A352" s="48">
        <v>13</v>
      </c>
      <c r="B352" s="48" t="s">
        <v>505</v>
      </c>
      <c r="C352" s="48" t="s">
        <v>509</v>
      </c>
      <c r="D352" s="48" t="s">
        <v>411</v>
      </c>
      <c r="E352" s="48" t="s">
        <v>412</v>
      </c>
      <c r="F352" s="49">
        <v>13</v>
      </c>
      <c r="G352" s="49">
        <v>14</v>
      </c>
      <c r="J352" s="49">
        <v>351</v>
      </c>
    </row>
    <row r="353" spans="1:10" s="49" customFormat="1" ht="15" x14ac:dyDescent="0.25">
      <c r="A353" s="48">
        <v>13</v>
      </c>
      <c r="B353" s="48" t="s">
        <v>505</v>
      </c>
      <c r="C353" s="48" t="s">
        <v>509</v>
      </c>
      <c r="D353" s="48" t="s">
        <v>411</v>
      </c>
      <c r="E353" s="48" t="s">
        <v>412</v>
      </c>
      <c r="F353" s="49">
        <v>14</v>
      </c>
      <c r="G353" s="49">
        <v>17</v>
      </c>
      <c r="J353" s="49">
        <v>352</v>
      </c>
    </row>
    <row r="354" spans="1:10" s="49" customFormat="1" ht="15" x14ac:dyDescent="0.25">
      <c r="A354" s="48">
        <v>13</v>
      </c>
      <c r="B354" s="48" t="s">
        <v>505</v>
      </c>
      <c r="C354" s="48" t="s">
        <v>509</v>
      </c>
      <c r="D354" s="48" t="s">
        <v>411</v>
      </c>
      <c r="E354" s="48" t="s">
        <v>412</v>
      </c>
      <c r="F354" s="49">
        <v>15</v>
      </c>
      <c r="G354" s="49">
        <v>29</v>
      </c>
      <c r="J354" s="49">
        <v>353</v>
      </c>
    </row>
    <row r="355" spans="1:10" s="49" customFormat="1" ht="15" x14ac:dyDescent="0.25">
      <c r="A355" s="48">
        <v>13</v>
      </c>
      <c r="B355" s="48" t="s">
        <v>505</v>
      </c>
      <c r="C355" s="48" t="s">
        <v>509</v>
      </c>
      <c r="D355" s="48" t="s">
        <v>411</v>
      </c>
      <c r="E355" s="48" t="s">
        <v>412</v>
      </c>
      <c r="F355" s="49">
        <v>16</v>
      </c>
      <c r="G355" s="49">
        <v>43</v>
      </c>
      <c r="J355" s="49">
        <v>354</v>
      </c>
    </row>
    <row r="356" spans="1:10" s="49" customFormat="1" ht="15" x14ac:dyDescent="0.25">
      <c r="A356" s="48">
        <v>13</v>
      </c>
      <c r="B356" s="48" t="s">
        <v>505</v>
      </c>
      <c r="C356" s="48" t="s">
        <v>509</v>
      </c>
      <c r="D356" s="48" t="s">
        <v>411</v>
      </c>
      <c r="E356" s="48" t="s">
        <v>412</v>
      </c>
      <c r="F356" s="49">
        <v>17</v>
      </c>
      <c r="G356" s="49">
        <v>27</v>
      </c>
      <c r="J356" s="49">
        <v>355</v>
      </c>
    </row>
    <row r="357" spans="1:10" s="49" customFormat="1" ht="15" x14ac:dyDescent="0.25">
      <c r="A357" s="48">
        <v>13</v>
      </c>
      <c r="B357" s="48" t="s">
        <v>505</v>
      </c>
      <c r="C357" s="48" t="s">
        <v>509</v>
      </c>
      <c r="D357" s="48" t="s">
        <v>411</v>
      </c>
      <c r="E357" s="48" t="s">
        <v>412</v>
      </c>
      <c r="F357" s="49">
        <v>18</v>
      </c>
      <c r="G357" s="49">
        <v>17</v>
      </c>
      <c r="J357" s="49">
        <v>356</v>
      </c>
    </row>
    <row r="358" spans="1:10" s="49" customFormat="1" ht="15" x14ac:dyDescent="0.25">
      <c r="A358" s="48">
        <v>13</v>
      </c>
      <c r="B358" s="48" t="s">
        <v>505</v>
      </c>
      <c r="C358" s="48" t="s">
        <v>509</v>
      </c>
      <c r="D358" s="48" t="s">
        <v>411</v>
      </c>
      <c r="E358" s="48" t="s">
        <v>412</v>
      </c>
      <c r="F358" s="49">
        <v>19</v>
      </c>
      <c r="G358" s="49">
        <v>19</v>
      </c>
      <c r="J358" s="49">
        <v>357</v>
      </c>
    </row>
    <row r="359" spans="1:10" s="49" customFormat="1" ht="15" x14ac:dyDescent="0.25">
      <c r="A359" s="48">
        <v>13</v>
      </c>
      <c r="B359" s="48" t="s">
        <v>505</v>
      </c>
      <c r="C359" s="48" t="s">
        <v>509</v>
      </c>
      <c r="D359" s="48" t="s">
        <v>411</v>
      </c>
      <c r="E359" s="48" t="s">
        <v>412</v>
      </c>
      <c r="F359" s="49">
        <v>20</v>
      </c>
      <c r="G359" s="49">
        <v>8</v>
      </c>
      <c r="J359" s="49">
        <v>358</v>
      </c>
    </row>
    <row r="360" spans="1:10" s="49" customFormat="1" ht="15" x14ac:dyDescent="0.25">
      <c r="A360" s="48">
        <v>13</v>
      </c>
      <c r="B360" s="48" t="s">
        <v>505</v>
      </c>
      <c r="C360" s="48" t="s">
        <v>509</v>
      </c>
      <c r="D360" s="48" t="s">
        <v>411</v>
      </c>
      <c r="E360" s="48" t="s">
        <v>412</v>
      </c>
      <c r="F360" s="49">
        <v>21</v>
      </c>
      <c r="G360" s="49">
        <v>30</v>
      </c>
      <c r="J360" s="49">
        <v>359</v>
      </c>
    </row>
    <row r="361" spans="1:10" s="49" customFormat="1" ht="15" x14ac:dyDescent="0.25">
      <c r="A361" s="48">
        <v>13</v>
      </c>
      <c r="B361" s="48" t="s">
        <v>505</v>
      </c>
      <c r="C361" s="48" t="s">
        <v>509</v>
      </c>
      <c r="D361" s="48" t="s">
        <v>411</v>
      </c>
      <c r="E361" s="48" t="s">
        <v>412</v>
      </c>
      <c r="F361" s="49">
        <v>22</v>
      </c>
      <c r="G361" s="49">
        <v>19</v>
      </c>
      <c r="J361" s="49">
        <v>360</v>
      </c>
    </row>
    <row r="362" spans="1:10" s="49" customFormat="1" ht="15" x14ac:dyDescent="0.25">
      <c r="A362" s="48">
        <v>13</v>
      </c>
      <c r="B362" s="48" t="s">
        <v>505</v>
      </c>
      <c r="C362" s="48" t="s">
        <v>509</v>
      </c>
      <c r="D362" s="48" t="s">
        <v>411</v>
      </c>
      <c r="E362" s="48" t="s">
        <v>412</v>
      </c>
      <c r="F362" s="49">
        <v>23</v>
      </c>
      <c r="G362" s="49">
        <v>32</v>
      </c>
      <c r="J362" s="49">
        <v>361</v>
      </c>
    </row>
    <row r="363" spans="1:10" s="49" customFormat="1" ht="15" x14ac:dyDescent="0.25">
      <c r="A363" s="48">
        <v>13</v>
      </c>
      <c r="B363" s="48" t="s">
        <v>505</v>
      </c>
      <c r="C363" s="48" t="s">
        <v>509</v>
      </c>
      <c r="D363" s="48" t="s">
        <v>411</v>
      </c>
      <c r="E363" s="48" t="s">
        <v>412</v>
      </c>
      <c r="F363" s="49">
        <v>24</v>
      </c>
      <c r="G363" s="49">
        <v>31</v>
      </c>
      <c r="J363" s="49">
        <v>362</v>
      </c>
    </row>
    <row r="364" spans="1:10" s="49" customFormat="1" ht="15" x14ac:dyDescent="0.25">
      <c r="A364" s="48">
        <v>13</v>
      </c>
      <c r="B364" s="48" t="s">
        <v>505</v>
      </c>
      <c r="C364" s="48" t="s">
        <v>509</v>
      </c>
      <c r="D364" s="48" t="s">
        <v>411</v>
      </c>
      <c r="E364" s="48" t="s">
        <v>412</v>
      </c>
      <c r="F364" s="49">
        <v>25</v>
      </c>
      <c r="G364" s="49">
        <v>31</v>
      </c>
      <c r="J364" s="49">
        <v>363</v>
      </c>
    </row>
    <row r="365" spans="1:10" s="49" customFormat="1" ht="15" x14ac:dyDescent="0.25">
      <c r="A365" s="48">
        <v>13</v>
      </c>
      <c r="B365" s="48" t="s">
        <v>505</v>
      </c>
      <c r="C365" s="48" t="s">
        <v>509</v>
      </c>
      <c r="D365" s="48" t="s">
        <v>411</v>
      </c>
      <c r="E365" s="48" t="s">
        <v>412</v>
      </c>
      <c r="F365" s="49">
        <v>26</v>
      </c>
      <c r="G365" s="49">
        <v>32</v>
      </c>
      <c r="J365" s="49">
        <v>364</v>
      </c>
    </row>
    <row r="366" spans="1:10" s="49" customFormat="1" ht="15" x14ac:dyDescent="0.25">
      <c r="A366" s="48">
        <v>13</v>
      </c>
      <c r="B366" s="48" t="s">
        <v>505</v>
      </c>
      <c r="C366" s="48" t="s">
        <v>509</v>
      </c>
      <c r="D366" s="48" t="s">
        <v>411</v>
      </c>
      <c r="E366" s="48" t="s">
        <v>412</v>
      </c>
      <c r="F366" s="49">
        <v>27</v>
      </c>
      <c r="G366" s="49">
        <v>34</v>
      </c>
      <c r="J366" s="49">
        <v>365</v>
      </c>
    </row>
    <row r="367" spans="1:10" s="49" customFormat="1" ht="15" x14ac:dyDescent="0.25">
      <c r="A367" s="48">
        <v>13</v>
      </c>
      <c r="B367" s="48" t="s">
        <v>505</v>
      </c>
      <c r="C367" s="48" t="s">
        <v>509</v>
      </c>
      <c r="D367" s="48" t="s">
        <v>411</v>
      </c>
      <c r="E367" s="48" t="s">
        <v>412</v>
      </c>
      <c r="F367" s="49">
        <v>28</v>
      </c>
      <c r="G367" s="49">
        <v>21</v>
      </c>
      <c r="J367" s="49">
        <v>366</v>
      </c>
    </row>
    <row r="368" spans="1:10" s="49" customFormat="1" thickBot="1" x14ac:dyDescent="0.3">
      <c r="A368" s="48">
        <v>13</v>
      </c>
      <c r="B368" s="48" t="s">
        <v>505</v>
      </c>
      <c r="C368" s="48" t="s">
        <v>509</v>
      </c>
      <c r="D368" s="51" t="s">
        <v>411</v>
      </c>
      <c r="E368" s="51" t="s">
        <v>412</v>
      </c>
      <c r="F368" s="52">
        <v>29</v>
      </c>
      <c r="G368" s="52">
        <v>30</v>
      </c>
      <c r="H368" s="52">
        <v>943</v>
      </c>
      <c r="I368" s="52">
        <v>29</v>
      </c>
      <c r="J368" s="49">
        <v>367</v>
      </c>
    </row>
    <row r="369" spans="1:10" s="49" customFormat="1" thickTop="1" x14ac:dyDescent="0.25">
      <c r="A369" s="48">
        <v>14</v>
      </c>
      <c r="B369" s="48" t="s">
        <v>505</v>
      </c>
      <c r="C369" s="48" t="s">
        <v>509</v>
      </c>
      <c r="D369" s="48" t="s">
        <v>415</v>
      </c>
      <c r="E369" s="48" t="s">
        <v>416</v>
      </c>
      <c r="F369" s="49">
        <v>1</v>
      </c>
      <c r="G369" s="49">
        <v>18</v>
      </c>
      <c r="J369" s="49">
        <v>368</v>
      </c>
    </row>
    <row r="370" spans="1:10" s="49" customFormat="1" ht="15" x14ac:dyDescent="0.25">
      <c r="A370" s="48">
        <v>14</v>
      </c>
      <c r="B370" s="48" t="s">
        <v>505</v>
      </c>
      <c r="C370" s="48" t="s">
        <v>509</v>
      </c>
      <c r="D370" s="48" t="s">
        <v>415</v>
      </c>
      <c r="E370" s="48" t="s">
        <v>416</v>
      </c>
      <c r="F370" s="49">
        <v>2</v>
      </c>
      <c r="G370" s="49">
        <v>17</v>
      </c>
      <c r="J370" s="49">
        <v>369</v>
      </c>
    </row>
    <row r="371" spans="1:10" s="49" customFormat="1" ht="15" x14ac:dyDescent="0.25">
      <c r="A371" s="48">
        <v>14</v>
      </c>
      <c r="B371" s="48" t="s">
        <v>505</v>
      </c>
      <c r="C371" s="48" t="s">
        <v>509</v>
      </c>
      <c r="D371" s="48" t="s">
        <v>415</v>
      </c>
      <c r="E371" s="48" t="s">
        <v>416</v>
      </c>
      <c r="F371" s="49">
        <v>3</v>
      </c>
      <c r="G371" s="49">
        <v>17</v>
      </c>
      <c r="J371" s="49">
        <v>370</v>
      </c>
    </row>
    <row r="372" spans="1:10" s="49" customFormat="1" ht="15" x14ac:dyDescent="0.25">
      <c r="A372" s="48">
        <v>14</v>
      </c>
      <c r="B372" s="48" t="s">
        <v>505</v>
      </c>
      <c r="C372" s="48" t="s">
        <v>509</v>
      </c>
      <c r="D372" s="48" t="s">
        <v>415</v>
      </c>
      <c r="E372" s="48" t="s">
        <v>416</v>
      </c>
      <c r="F372" s="49">
        <v>4</v>
      </c>
      <c r="G372" s="49">
        <v>22</v>
      </c>
      <c r="J372" s="49">
        <v>371</v>
      </c>
    </row>
    <row r="373" spans="1:10" s="49" customFormat="1" ht="15" x14ac:dyDescent="0.25">
      <c r="A373" s="48">
        <v>14</v>
      </c>
      <c r="B373" s="48" t="s">
        <v>505</v>
      </c>
      <c r="C373" s="48" t="s">
        <v>509</v>
      </c>
      <c r="D373" s="48" t="s">
        <v>415</v>
      </c>
      <c r="E373" s="48" t="s">
        <v>416</v>
      </c>
      <c r="F373" s="49">
        <v>5</v>
      </c>
      <c r="G373" s="49">
        <v>14</v>
      </c>
      <c r="J373" s="49">
        <v>372</v>
      </c>
    </row>
    <row r="374" spans="1:10" s="49" customFormat="1" ht="15" x14ac:dyDescent="0.25">
      <c r="A374" s="48">
        <v>14</v>
      </c>
      <c r="B374" s="48" t="s">
        <v>505</v>
      </c>
      <c r="C374" s="48" t="s">
        <v>509</v>
      </c>
      <c r="D374" s="48" t="s">
        <v>415</v>
      </c>
      <c r="E374" s="48" t="s">
        <v>416</v>
      </c>
      <c r="F374" s="49">
        <v>6</v>
      </c>
      <c r="G374" s="49">
        <v>42</v>
      </c>
      <c r="J374" s="49">
        <v>373</v>
      </c>
    </row>
    <row r="375" spans="1:10" s="49" customFormat="1" ht="15" x14ac:dyDescent="0.25">
      <c r="A375" s="48">
        <v>14</v>
      </c>
      <c r="B375" s="48" t="s">
        <v>505</v>
      </c>
      <c r="C375" s="48" t="s">
        <v>509</v>
      </c>
      <c r="D375" s="48" t="s">
        <v>415</v>
      </c>
      <c r="E375" s="48" t="s">
        <v>416</v>
      </c>
      <c r="F375" s="49">
        <v>7</v>
      </c>
      <c r="G375" s="49">
        <v>22</v>
      </c>
      <c r="J375" s="49">
        <v>374</v>
      </c>
    </row>
    <row r="376" spans="1:10" s="49" customFormat="1" ht="15" x14ac:dyDescent="0.25">
      <c r="A376" s="48">
        <v>14</v>
      </c>
      <c r="B376" s="48" t="s">
        <v>505</v>
      </c>
      <c r="C376" s="48" t="s">
        <v>509</v>
      </c>
      <c r="D376" s="48" t="s">
        <v>415</v>
      </c>
      <c r="E376" s="48" t="s">
        <v>416</v>
      </c>
      <c r="F376" s="49">
        <v>8</v>
      </c>
      <c r="G376" s="49">
        <v>18</v>
      </c>
      <c r="J376" s="49">
        <v>375</v>
      </c>
    </row>
    <row r="377" spans="1:10" s="49" customFormat="1" ht="15" x14ac:dyDescent="0.25">
      <c r="A377" s="48">
        <v>14</v>
      </c>
      <c r="B377" s="48" t="s">
        <v>505</v>
      </c>
      <c r="C377" s="48" t="s">
        <v>509</v>
      </c>
      <c r="D377" s="48" t="s">
        <v>415</v>
      </c>
      <c r="E377" s="48" t="s">
        <v>416</v>
      </c>
      <c r="F377" s="49">
        <v>9</v>
      </c>
      <c r="G377" s="49">
        <v>31</v>
      </c>
      <c r="J377" s="49">
        <v>376</v>
      </c>
    </row>
    <row r="378" spans="1:10" s="49" customFormat="1" ht="15" x14ac:dyDescent="0.25">
      <c r="A378" s="48">
        <v>14</v>
      </c>
      <c r="B378" s="48" t="s">
        <v>505</v>
      </c>
      <c r="C378" s="48" t="s">
        <v>509</v>
      </c>
      <c r="D378" s="48" t="s">
        <v>415</v>
      </c>
      <c r="E378" s="48" t="s">
        <v>416</v>
      </c>
      <c r="F378" s="49">
        <v>10</v>
      </c>
      <c r="G378" s="49">
        <v>19</v>
      </c>
      <c r="J378" s="49">
        <v>377</v>
      </c>
    </row>
    <row r="379" spans="1:10" s="49" customFormat="1" ht="15" x14ac:dyDescent="0.25">
      <c r="A379" s="48">
        <v>14</v>
      </c>
      <c r="B379" s="48" t="s">
        <v>505</v>
      </c>
      <c r="C379" s="48" t="s">
        <v>509</v>
      </c>
      <c r="D379" s="48" t="s">
        <v>415</v>
      </c>
      <c r="E379" s="48" t="s">
        <v>416</v>
      </c>
      <c r="F379" s="49">
        <v>11</v>
      </c>
      <c r="G379" s="49">
        <v>23</v>
      </c>
      <c r="J379" s="49">
        <v>378</v>
      </c>
    </row>
    <row r="380" spans="1:10" s="49" customFormat="1" ht="15" x14ac:dyDescent="0.25">
      <c r="A380" s="48">
        <v>14</v>
      </c>
      <c r="B380" s="48" t="s">
        <v>505</v>
      </c>
      <c r="C380" s="48" t="s">
        <v>509</v>
      </c>
      <c r="D380" s="48" t="s">
        <v>415</v>
      </c>
      <c r="E380" s="48" t="s">
        <v>416</v>
      </c>
      <c r="F380" s="49">
        <v>12</v>
      </c>
      <c r="G380" s="49">
        <v>16</v>
      </c>
      <c r="J380" s="49">
        <v>379</v>
      </c>
    </row>
    <row r="381" spans="1:10" s="49" customFormat="1" ht="15" x14ac:dyDescent="0.25">
      <c r="A381" s="48">
        <v>14</v>
      </c>
      <c r="B381" s="48" t="s">
        <v>505</v>
      </c>
      <c r="C381" s="48" t="s">
        <v>509</v>
      </c>
      <c r="D381" s="48" t="s">
        <v>415</v>
      </c>
      <c r="E381" s="48" t="s">
        <v>416</v>
      </c>
      <c r="F381" s="49">
        <v>13</v>
      </c>
      <c r="G381" s="49">
        <v>23</v>
      </c>
      <c r="J381" s="49">
        <v>380</v>
      </c>
    </row>
    <row r="382" spans="1:10" s="49" customFormat="1" ht="15" x14ac:dyDescent="0.25">
      <c r="A382" s="48">
        <v>14</v>
      </c>
      <c r="B382" s="48" t="s">
        <v>505</v>
      </c>
      <c r="C382" s="48" t="s">
        <v>509</v>
      </c>
      <c r="D382" s="48" t="s">
        <v>415</v>
      </c>
      <c r="E382" s="48" t="s">
        <v>416</v>
      </c>
      <c r="F382" s="49">
        <v>14</v>
      </c>
      <c r="G382" s="49">
        <v>14</v>
      </c>
      <c r="J382" s="49">
        <v>381</v>
      </c>
    </row>
    <row r="383" spans="1:10" s="49" customFormat="1" ht="15" x14ac:dyDescent="0.25">
      <c r="A383" s="48">
        <v>14</v>
      </c>
      <c r="B383" s="48" t="s">
        <v>505</v>
      </c>
      <c r="C383" s="48" t="s">
        <v>509</v>
      </c>
      <c r="D383" s="48" t="s">
        <v>415</v>
      </c>
      <c r="E383" s="48" t="s">
        <v>416</v>
      </c>
      <c r="F383" s="49">
        <v>15</v>
      </c>
      <c r="G383" s="49">
        <v>19</v>
      </c>
      <c r="J383" s="49">
        <v>382</v>
      </c>
    </row>
    <row r="384" spans="1:10" s="49" customFormat="1" ht="15" x14ac:dyDescent="0.25">
      <c r="A384" s="48">
        <v>14</v>
      </c>
      <c r="B384" s="48" t="s">
        <v>505</v>
      </c>
      <c r="C384" s="48" t="s">
        <v>509</v>
      </c>
      <c r="D384" s="48" t="s">
        <v>415</v>
      </c>
      <c r="E384" s="48" t="s">
        <v>416</v>
      </c>
      <c r="F384" s="49">
        <v>16</v>
      </c>
      <c r="G384" s="49">
        <v>14</v>
      </c>
      <c r="J384" s="49">
        <v>383</v>
      </c>
    </row>
    <row r="385" spans="1:10" s="49" customFormat="1" ht="15" x14ac:dyDescent="0.25">
      <c r="A385" s="48">
        <v>14</v>
      </c>
      <c r="B385" s="48" t="s">
        <v>505</v>
      </c>
      <c r="C385" s="48" t="s">
        <v>509</v>
      </c>
      <c r="D385" s="48" t="s">
        <v>415</v>
      </c>
      <c r="E385" s="48" t="s">
        <v>416</v>
      </c>
      <c r="F385" s="49">
        <v>17</v>
      </c>
      <c r="G385" s="49">
        <v>19</v>
      </c>
      <c r="J385" s="49">
        <v>384</v>
      </c>
    </row>
    <row r="386" spans="1:10" s="49" customFormat="1" ht="15" x14ac:dyDescent="0.25">
      <c r="A386" s="48">
        <v>14</v>
      </c>
      <c r="B386" s="48" t="s">
        <v>505</v>
      </c>
      <c r="C386" s="48" t="s">
        <v>509</v>
      </c>
      <c r="D386" s="48" t="s">
        <v>415</v>
      </c>
      <c r="E386" s="48" t="s">
        <v>416</v>
      </c>
      <c r="F386" s="49">
        <v>18</v>
      </c>
      <c r="G386" s="49">
        <v>34</v>
      </c>
      <c r="J386" s="49">
        <v>385</v>
      </c>
    </row>
    <row r="387" spans="1:10" s="49" customFormat="1" ht="15" x14ac:dyDescent="0.25">
      <c r="A387" s="48">
        <v>14</v>
      </c>
      <c r="B387" s="48" t="s">
        <v>505</v>
      </c>
      <c r="C387" s="48" t="s">
        <v>509</v>
      </c>
      <c r="D387" s="48" t="s">
        <v>415</v>
      </c>
      <c r="E387" s="48" t="s">
        <v>416</v>
      </c>
      <c r="F387" s="49">
        <v>19</v>
      </c>
      <c r="G387" s="49">
        <v>11</v>
      </c>
      <c r="J387" s="49">
        <v>386</v>
      </c>
    </row>
    <row r="388" spans="1:10" s="49" customFormat="1" ht="15" x14ac:dyDescent="0.25">
      <c r="A388" s="48">
        <v>14</v>
      </c>
      <c r="B388" s="48" t="s">
        <v>505</v>
      </c>
      <c r="C388" s="48" t="s">
        <v>509</v>
      </c>
      <c r="D388" s="48" t="s">
        <v>415</v>
      </c>
      <c r="E388" s="48" t="s">
        <v>416</v>
      </c>
      <c r="F388" s="49">
        <v>20</v>
      </c>
      <c r="G388" s="49">
        <v>37</v>
      </c>
      <c r="J388" s="49">
        <v>387</v>
      </c>
    </row>
    <row r="389" spans="1:10" s="49" customFormat="1" ht="15" x14ac:dyDescent="0.25">
      <c r="A389" s="48">
        <v>14</v>
      </c>
      <c r="B389" s="48" t="s">
        <v>505</v>
      </c>
      <c r="C389" s="48" t="s">
        <v>509</v>
      </c>
      <c r="D389" s="48" t="s">
        <v>415</v>
      </c>
      <c r="E389" s="48" t="s">
        <v>416</v>
      </c>
      <c r="F389" s="49">
        <v>21</v>
      </c>
      <c r="G389" s="49">
        <v>20</v>
      </c>
      <c r="J389" s="49">
        <v>388</v>
      </c>
    </row>
    <row r="390" spans="1:10" s="49" customFormat="1" ht="15" x14ac:dyDescent="0.25">
      <c r="A390" s="48">
        <v>14</v>
      </c>
      <c r="B390" s="48" t="s">
        <v>505</v>
      </c>
      <c r="C390" s="48" t="s">
        <v>509</v>
      </c>
      <c r="D390" s="48" t="s">
        <v>415</v>
      </c>
      <c r="E390" s="48" t="s">
        <v>416</v>
      </c>
      <c r="F390" s="49">
        <v>22</v>
      </c>
      <c r="G390" s="49">
        <v>12</v>
      </c>
      <c r="J390" s="49">
        <v>389</v>
      </c>
    </row>
    <row r="391" spans="1:10" s="49" customFormat="1" ht="15" x14ac:dyDescent="0.25">
      <c r="A391" s="48">
        <v>14</v>
      </c>
      <c r="B391" s="48" t="s">
        <v>505</v>
      </c>
      <c r="C391" s="48" t="s">
        <v>509</v>
      </c>
      <c r="D391" s="48" t="s">
        <v>415</v>
      </c>
      <c r="E391" s="48" t="s">
        <v>416</v>
      </c>
      <c r="F391" s="49">
        <v>23</v>
      </c>
      <c r="G391" s="49">
        <v>21</v>
      </c>
      <c r="J391" s="49">
        <v>390</v>
      </c>
    </row>
    <row r="392" spans="1:10" s="49" customFormat="1" ht="15" x14ac:dyDescent="0.25">
      <c r="A392" s="48">
        <v>14</v>
      </c>
      <c r="B392" s="48" t="s">
        <v>505</v>
      </c>
      <c r="C392" s="48" t="s">
        <v>509</v>
      </c>
      <c r="D392" s="48" t="s">
        <v>415</v>
      </c>
      <c r="E392" s="48" t="s">
        <v>416</v>
      </c>
      <c r="F392" s="49">
        <v>24</v>
      </c>
      <c r="G392" s="49">
        <v>27</v>
      </c>
      <c r="J392" s="49">
        <v>391</v>
      </c>
    </row>
    <row r="393" spans="1:10" s="49" customFormat="1" ht="15" x14ac:dyDescent="0.25">
      <c r="A393" s="48">
        <v>14</v>
      </c>
      <c r="B393" s="48" t="s">
        <v>505</v>
      </c>
      <c r="C393" s="48" t="s">
        <v>509</v>
      </c>
      <c r="D393" s="48" t="s">
        <v>415</v>
      </c>
      <c r="E393" s="48" t="s">
        <v>416</v>
      </c>
      <c r="F393" s="49">
        <v>25</v>
      </c>
      <c r="G393" s="49">
        <v>28</v>
      </c>
      <c r="J393" s="49">
        <v>392</v>
      </c>
    </row>
    <row r="394" spans="1:10" s="49" customFormat="1" ht="15" x14ac:dyDescent="0.25">
      <c r="A394" s="48">
        <v>14</v>
      </c>
      <c r="B394" s="48" t="s">
        <v>505</v>
      </c>
      <c r="C394" s="48" t="s">
        <v>509</v>
      </c>
      <c r="D394" s="48" t="s">
        <v>415</v>
      </c>
      <c r="E394" s="48" t="s">
        <v>416</v>
      </c>
      <c r="F394" s="49">
        <v>26</v>
      </c>
      <c r="G394" s="49">
        <v>23</v>
      </c>
      <c r="J394" s="49">
        <v>393</v>
      </c>
    </row>
    <row r="395" spans="1:10" s="49" customFormat="1" ht="15" x14ac:dyDescent="0.25">
      <c r="A395" s="48">
        <v>14</v>
      </c>
      <c r="B395" s="48" t="s">
        <v>505</v>
      </c>
      <c r="C395" s="48" t="s">
        <v>509</v>
      </c>
      <c r="D395" s="48" t="s">
        <v>415</v>
      </c>
      <c r="E395" s="48" t="s">
        <v>416</v>
      </c>
      <c r="F395" s="49">
        <v>27</v>
      </c>
      <c r="G395" s="49">
        <v>9</v>
      </c>
      <c r="J395" s="49">
        <v>394</v>
      </c>
    </row>
    <row r="396" spans="1:10" s="49" customFormat="1" ht="15" x14ac:dyDescent="0.25">
      <c r="A396" s="48">
        <v>14</v>
      </c>
      <c r="B396" s="48" t="s">
        <v>505</v>
      </c>
      <c r="C396" s="48" t="s">
        <v>509</v>
      </c>
      <c r="D396" s="48" t="s">
        <v>415</v>
      </c>
      <c r="E396" s="48" t="s">
        <v>416</v>
      </c>
      <c r="F396" s="49">
        <v>28</v>
      </c>
      <c r="G396" s="49">
        <v>27</v>
      </c>
      <c r="J396" s="49">
        <v>395</v>
      </c>
    </row>
    <row r="397" spans="1:10" s="49" customFormat="1" ht="15" x14ac:dyDescent="0.25">
      <c r="A397" s="48">
        <v>14</v>
      </c>
      <c r="B397" s="48" t="s">
        <v>505</v>
      </c>
      <c r="C397" s="48" t="s">
        <v>509</v>
      </c>
      <c r="D397" s="48" t="s">
        <v>415</v>
      </c>
      <c r="E397" s="48" t="s">
        <v>416</v>
      </c>
      <c r="F397" s="49">
        <v>29</v>
      </c>
      <c r="G397" s="49">
        <v>36</v>
      </c>
      <c r="J397" s="49">
        <v>396</v>
      </c>
    </row>
    <row r="398" spans="1:10" s="49" customFormat="1" ht="15" x14ac:dyDescent="0.25">
      <c r="A398" s="48">
        <v>14</v>
      </c>
      <c r="B398" s="48" t="s">
        <v>505</v>
      </c>
      <c r="C398" s="48" t="s">
        <v>509</v>
      </c>
      <c r="D398" s="48" t="s">
        <v>415</v>
      </c>
      <c r="E398" s="48" t="s">
        <v>416</v>
      </c>
      <c r="F398" s="49">
        <v>30</v>
      </c>
      <c r="G398" s="49">
        <v>27</v>
      </c>
      <c r="J398" s="49">
        <v>397</v>
      </c>
    </row>
    <row r="399" spans="1:10" s="49" customFormat="1" ht="15" x14ac:dyDescent="0.25">
      <c r="A399" s="48">
        <v>14</v>
      </c>
      <c r="B399" s="48" t="s">
        <v>505</v>
      </c>
      <c r="C399" s="48" t="s">
        <v>509</v>
      </c>
      <c r="D399" s="48" t="s">
        <v>415</v>
      </c>
      <c r="E399" s="48" t="s">
        <v>416</v>
      </c>
      <c r="F399" s="49">
        <v>31</v>
      </c>
      <c r="G399" s="49">
        <v>21</v>
      </c>
      <c r="J399" s="49">
        <v>398</v>
      </c>
    </row>
    <row r="400" spans="1:10" s="49" customFormat="1" ht="15" x14ac:dyDescent="0.25">
      <c r="A400" s="48">
        <v>14</v>
      </c>
      <c r="B400" s="48" t="s">
        <v>505</v>
      </c>
      <c r="C400" s="48" t="s">
        <v>509</v>
      </c>
      <c r="D400" s="48" t="s">
        <v>415</v>
      </c>
      <c r="E400" s="48" t="s">
        <v>416</v>
      </c>
      <c r="F400" s="49">
        <v>32</v>
      </c>
      <c r="G400" s="49">
        <v>33</v>
      </c>
      <c r="J400" s="49">
        <v>399</v>
      </c>
    </row>
    <row r="401" spans="1:10" s="49" customFormat="1" ht="15" x14ac:dyDescent="0.25">
      <c r="A401" s="48">
        <v>14</v>
      </c>
      <c r="B401" s="48" t="s">
        <v>505</v>
      </c>
      <c r="C401" s="48" t="s">
        <v>509</v>
      </c>
      <c r="D401" s="48" t="s">
        <v>415</v>
      </c>
      <c r="E401" s="48" t="s">
        <v>416</v>
      </c>
      <c r="F401" s="49">
        <v>33</v>
      </c>
      <c r="G401" s="49">
        <v>25</v>
      </c>
      <c r="J401" s="49">
        <v>400</v>
      </c>
    </row>
    <row r="402" spans="1:10" s="49" customFormat="1" ht="15" x14ac:dyDescent="0.25">
      <c r="A402" s="48">
        <v>14</v>
      </c>
      <c r="B402" s="48" t="s">
        <v>505</v>
      </c>
      <c r="C402" s="48" t="s">
        <v>509</v>
      </c>
      <c r="D402" s="48" t="s">
        <v>415</v>
      </c>
      <c r="E402" s="48" t="s">
        <v>416</v>
      </c>
      <c r="F402" s="49">
        <v>34</v>
      </c>
      <c r="G402" s="49">
        <v>33</v>
      </c>
      <c r="J402" s="49">
        <v>401</v>
      </c>
    </row>
    <row r="403" spans="1:10" s="49" customFormat="1" ht="15" x14ac:dyDescent="0.25">
      <c r="A403" s="48">
        <v>14</v>
      </c>
      <c r="B403" s="48" t="s">
        <v>505</v>
      </c>
      <c r="C403" s="48" t="s">
        <v>509</v>
      </c>
      <c r="D403" s="48" t="s">
        <v>415</v>
      </c>
      <c r="E403" s="48" t="s">
        <v>416</v>
      </c>
      <c r="F403" s="49">
        <v>35</v>
      </c>
      <c r="G403" s="49">
        <v>27</v>
      </c>
      <c r="J403" s="49">
        <v>402</v>
      </c>
    </row>
    <row r="404" spans="1:10" s="49" customFormat="1" thickBot="1" x14ac:dyDescent="0.3">
      <c r="A404" s="48">
        <v>14</v>
      </c>
      <c r="B404" s="48" t="s">
        <v>505</v>
      </c>
      <c r="C404" s="48" t="s">
        <v>509</v>
      </c>
      <c r="D404" s="51" t="s">
        <v>415</v>
      </c>
      <c r="E404" s="51" t="s">
        <v>416</v>
      </c>
      <c r="F404" s="52">
        <v>36</v>
      </c>
      <c r="G404" s="52">
        <v>23</v>
      </c>
      <c r="H404" s="52">
        <v>822</v>
      </c>
      <c r="I404" s="52">
        <v>36</v>
      </c>
      <c r="J404" s="49">
        <v>403</v>
      </c>
    </row>
    <row r="405" spans="1:10" s="49" customFormat="1" thickTop="1" x14ac:dyDescent="0.25">
      <c r="A405" s="48">
        <v>15</v>
      </c>
      <c r="B405" s="48" t="s">
        <v>505</v>
      </c>
      <c r="C405" s="48" t="s">
        <v>509</v>
      </c>
      <c r="D405" s="48" t="s">
        <v>419</v>
      </c>
      <c r="E405" s="48" t="s">
        <v>420</v>
      </c>
      <c r="F405" s="49">
        <v>1</v>
      </c>
      <c r="G405" s="49">
        <v>11</v>
      </c>
      <c r="J405" s="49">
        <v>404</v>
      </c>
    </row>
    <row r="406" spans="1:10" s="49" customFormat="1" ht="15" x14ac:dyDescent="0.25">
      <c r="A406" s="48">
        <v>15</v>
      </c>
      <c r="B406" s="48" t="s">
        <v>505</v>
      </c>
      <c r="C406" s="48" t="s">
        <v>509</v>
      </c>
      <c r="D406" s="48" t="s">
        <v>419</v>
      </c>
      <c r="E406" s="48" t="s">
        <v>420</v>
      </c>
      <c r="F406" s="49">
        <v>2</v>
      </c>
      <c r="G406" s="49">
        <v>70</v>
      </c>
      <c r="J406" s="49">
        <v>405</v>
      </c>
    </row>
    <row r="407" spans="1:10" s="49" customFormat="1" ht="15" x14ac:dyDescent="0.25">
      <c r="A407" s="48">
        <v>15</v>
      </c>
      <c r="B407" s="48" t="s">
        <v>505</v>
      </c>
      <c r="C407" s="48" t="s">
        <v>509</v>
      </c>
      <c r="D407" s="48" t="s">
        <v>419</v>
      </c>
      <c r="E407" s="48" t="s">
        <v>420</v>
      </c>
      <c r="F407" s="49">
        <v>3</v>
      </c>
      <c r="G407" s="49">
        <v>13</v>
      </c>
      <c r="J407" s="49">
        <v>406</v>
      </c>
    </row>
    <row r="408" spans="1:10" s="49" customFormat="1" ht="15" x14ac:dyDescent="0.25">
      <c r="A408" s="48">
        <v>15</v>
      </c>
      <c r="B408" s="48" t="s">
        <v>505</v>
      </c>
      <c r="C408" s="48" t="s">
        <v>509</v>
      </c>
      <c r="D408" s="48" t="s">
        <v>419</v>
      </c>
      <c r="E408" s="48" t="s">
        <v>420</v>
      </c>
      <c r="F408" s="49">
        <v>4</v>
      </c>
      <c r="G408" s="49">
        <v>24</v>
      </c>
      <c r="J408" s="49">
        <v>407</v>
      </c>
    </row>
    <row r="409" spans="1:10" s="49" customFormat="1" ht="15" x14ac:dyDescent="0.25">
      <c r="A409" s="48">
        <v>15</v>
      </c>
      <c r="B409" s="48" t="s">
        <v>505</v>
      </c>
      <c r="C409" s="48" t="s">
        <v>509</v>
      </c>
      <c r="D409" s="48" t="s">
        <v>419</v>
      </c>
      <c r="E409" s="48" t="s">
        <v>420</v>
      </c>
      <c r="F409" s="49">
        <v>5</v>
      </c>
      <c r="G409" s="49">
        <v>17</v>
      </c>
      <c r="J409" s="49">
        <v>408</v>
      </c>
    </row>
    <row r="410" spans="1:10" s="49" customFormat="1" ht="15" x14ac:dyDescent="0.25">
      <c r="A410" s="48">
        <v>15</v>
      </c>
      <c r="B410" s="48" t="s">
        <v>505</v>
      </c>
      <c r="C410" s="48" t="s">
        <v>509</v>
      </c>
      <c r="D410" s="48" t="s">
        <v>419</v>
      </c>
      <c r="E410" s="48" t="s">
        <v>420</v>
      </c>
      <c r="F410" s="49">
        <v>6</v>
      </c>
      <c r="G410" s="49">
        <v>22</v>
      </c>
      <c r="J410" s="49">
        <v>409</v>
      </c>
    </row>
    <row r="411" spans="1:10" s="49" customFormat="1" ht="15" x14ac:dyDescent="0.25">
      <c r="A411" s="48">
        <v>15</v>
      </c>
      <c r="B411" s="48" t="s">
        <v>505</v>
      </c>
      <c r="C411" s="48" t="s">
        <v>509</v>
      </c>
      <c r="D411" s="48" t="s">
        <v>419</v>
      </c>
      <c r="E411" s="48" t="s">
        <v>420</v>
      </c>
      <c r="F411" s="49">
        <v>7</v>
      </c>
      <c r="G411" s="49">
        <v>28</v>
      </c>
      <c r="J411" s="49">
        <v>410</v>
      </c>
    </row>
    <row r="412" spans="1:10" s="49" customFormat="1" ht="15" x14ac:dyDescent="0.25">
      <c r="A412" s="48">
        <v>15</v>
      </c>
      <c r="B412" s="48" t="s">
        <v>505</v>
      </c>
      <c r="C412" s="48" t="s">
        <v>509</v>
      </c>
      <c r="D412" s="48" t="s">
        <v>419</v>
      </c>
      <c r="E412" s="48" t="s">
        <v>420</v>
      </c>
      <c r="F412" s="49">
        <v>8</v>
      </c>
      <c r="G412" s="49">
        <v>36</v>
      </c>
      <c r="J412" s="49">
        <v>411</v>
      </c>
    </row>
    <row r="413" spans="1:10" s="49" customFormat="1" ht="15" x14ac:dyDescent="0.25">
      <c r="A413" s="48">
        <v>15</v>
      </c>
      <c r="B413" s="48" t="s">
        <v>505</v>
      </c>
      <c r="C413" s="48" t="s">
        <v>509</v>
      </c>
      <c r="D413" s="48" t="s">
        <v>419</v>
      </c>
      <c r="E413" s="48" t="s">
        <v>420</v>
      </c>
      <c r="F413" s="49">
        <v>9</v>
      </c>
      <c r="G413" s="49">
        <v>15</v>
      </c>
      <c r="J413" s="49">
        <v>412</v>
      </c>
    </row>
    <row r="414" spans="1:10" s="49" customFormat="1" thickBot="1" x14ac:dyDescent="0.3">
      <c r="A414" s="48">
        <v>15</v>
      </c>
      <c r="B414" s="48" t="s">
        <v>505</v>
      </c>
      <c r="C414" s="48" t="s">
        <v>509</v>
      </c>
      <c r="D414" s="51" t="s">
        <v>419</v>
      </c>
      <c r="E414" s="51" t="s">
        <v>420</v>
      </c>
      <c r="F414" s="52">
        <v>10</v>
      </c>
      <c r="G414" s="52">
        <v>44</v>
      </c>
      <c r="H414" s="52">
        <v>280</v>
      </c>
      <c r="I414" s="52">
        <v>10</v>
      </c>
      <c r="J414" s="49">
        <v>413</v>
      </c>
    </row>
    <row r="415" spans="1:10" s="49" customFormat="1" thickTop="1" x14ac:dyDescent="0.25">
      <c r="A415" s="48">
        <v>16</v>
      </c>
      <c r="B415" s="48" t="s">
        <v>505</v>
      </c>
      <c r="C415" s="48" t="s">
        <v>509</v>
      </c>
      <c r="D415" s="48" t="s">
        <v>423</v>
      </c>
      <c r="E415" s="48" t="s">
        <v>424</v>
      </c>
      <c r="F415" s="49">
        <v>1</v>
      </c>
      <c r="G415" s="49">
        <v>11</v>
      </c>
      <c r="J415" s="49">
        <v>414</v>
      </c>
    </row>
    <row r="416" spans="1:10" s="49" customFormat="1" ht="15" x14ac:dyDescent="0.25">
      <c r="A416" s="48">
        <v>16</v>
      </c>
      <c r="B416" s="48" t="s">
        <v>505</v>
      </c>
      <c r="C416" s="48" t="s">
        <v>509</v>
      </c>
      <c r="D416" s="48" t="s">
        <v>423</v>
      </c>
      <c r="E416" s="48" t="s">
        <v>424</v>
      </c>
      <c r="F416" s="49">
        <v>2</v>
      </c>
      <c r="G416" s="49">
        <v>20</v>
      </c>
      <c r="J416" s="49">
        <v>415</v>
      </c>
    </row>
    <row r="417" spans="1:13" s="49" customFormat="1" ht="15" x14ac:dyDescent="0.25">
      <c r="A417" s="48">
        <v>16</v>
      </c>
      <c r="B417" s="48" t="s">
        <v>505</v>
      </c>
      <c r="C417" s="48" t="s">
        <v>509</v>
      </c>
      <c r="D417" s="48" t="s">
        <v>423</v>
      </c>
      <c r="E417" s="48" t="s">
        <v>424</v>
      </c>
      <c r="F417" s="49">
        <v>3</v>
      </c>
      <c r="G417" s="49">
        <v>38</v>
      </c>
      <c r="J417" s="49">
        <v>416</v>
      </c>
    </row>
    <row r="418" spans="1:13" s="49" customFormat="1" ht="15" x14ac:dyDescent="0.25">
      <c r="A418" s="48">
        <v>16</v>
      </c>
      <c r="B418" s="48" t="s">
        <v>505</v>
      </c>
      <c r="C418" s="48" t="s">
        <v>509</v>
      </c>
      <c r="D418" s="48" t="s">
        <v>423</v>
      </c>
      <c r="E418" s="48" t="s">
        <v>424</v>
      </c>
      <c r="F418" s="49">
        <v>4</v>
      </c>
      <c r="G418" s="49">
        <v>17</v>
      </c>
      <c r="J418" s="49">
        <v>417</v>
      </c>
    </row>
    <row r="419" spans="1:13" s="49" customFormat="1" ht="15" x14ac:dyDescent="0.25">
      <c r="A419" s="48">
        <v>16</v>
      </c>
      <c r="B419" s="48" t="s">
        <v>505</v>
      </c>
      <c r="C419" s="48" t="s">
        <v>509</v>
      </c>
      <c r="D419" s="48" t="s">
        <v>423</v>
      </c>
      <c r="E419" s="48" t="s">
        <v>424</v>
      </c>
      <c r="F419" s="49">
        <v>5</v>
      </c>
      <c r="G419" s="49">
        <v>19</v>
      </c>
      <c r="J419" s="49">
        <v>418</v>
      </c>
    </row>
    <row r="420" spans="1:13" s="49" customFormat="1" ht="15" x14ac:dyDescent="0.25">
      <c r="A420" s="48">
        <v>16</v>
      </c>
      <c r="B420" s="48" t="s">
        <v>505</v>
      </c>
      <c r="C420" s="48" t="s">
        <v>509</v>
      </c>
      <c r="D420" s="48" t="s">
        <v>423</v>
      </c>
      <c r="E420" s="48" t="s">
        <v>424</v>
      </c>
      <c r="F420" s="49">
        <v>6</v>
      </c>
      <c r="G420" s="49">
        <v>19</v>
      </c>
      <c r="J420" s="49">
        <v>419</v>
      </c>
    </row>
    <row r="421" spans="1:13" s="49" customFormat="1" ht="15" x14ac:dyDescent="0.25">
      <c r="A421" s="48">
        <v>16</v>
      </c>
      <c r="B421" s="48" t="s">
        <v>505</v>
      </c>
      <c r="C421" s="48" t="s">
        <v>509</v>
      </c>
      <c r="D421" s="48" t="s">
        <v>423</v>
      </c>
      <c r="E421" s="48" t="s">
        <v>424</v>
      </c>
      <c r="F421" s="49">
        <v>7</v>
      </c>
      <c r="G421" s="49">
        <v>72</v>
      </c>
      <c r="J421" s="49">
        <v>420</v>
      </c>
      <c r="M421" s="49" t="s">
        <v>890</v>
      </c>
    </row>
    <row r="422" spans="1:13" s="49" customFormat="1" ht="15" x14ac:dyDescent="0.25">
      <c r="A422" s="48">
        <v>16</v>
      </c>
      <c r="B422" s="48" t="s">
        <v>505</v>
      </c>
      <c r="C422" s="48" t="s">
        <v>509</v>
      </c>
      <c r="D422" s="48" t="s">
        <v>423</v>
      </c>
      <c r="E422" s="48" t="s">
        <v>424</v>
      </c>
      <c r="F422" s="49">
        <v>8</v>
      </c>
      <c r="G422" s="49">
        <v>18</v>
      </c>
      <c r="J422" s="49">
        <v>421</v>
      </c>
    </row>
    <row r="423" spans="1:13" s="49" customFormat="1" ht="15" x14ac:dyDescent="0.25">
      <c r="A423" s="48">
        <v>16</v>
      </c>
      <c r="B423" s="48" t="s">
        <v>505</v>
      </c>
      <c r="C423" s="48" t="s">
        <v>509</v>
      </c>
      <c r="D423" s="48" t="s">
        <v>423</v>
      </c>
      <c r="E423" s="48" t="s">
        <v>424</v>
      </c>
      <c r="F423" s="49">
        <v>9</v>
      </c>
      <c r="G423" s="49">
        <v>36</v>
      </c>
      <c r="J423" s="49">
        <v>422</v>
      </c>
    </row>
    <row r="424" spans="1:13" s="49" customFormat="1" ht="15" x14ac:dyDescent="0.25">
      <c r="A424" s="48">
        <v>16</v>
      </c>
      <c r="B424" s="48" t="s">
        <v>505</v>
      </c>
      <c r="C424" s="48" t="s">
        <v>509</v>
      </c>
      <c r="D424" s="48" t="s">
        <v>423</v>
      </c>
      <c r="E424" s="48" t="s">
        <v>424</v>
      </c>
      <c r="F424" s="49">
        <v>10</v>
      </c>
      <c r="G424" s="49">
        <v>40</v>
      </c>
      <c r="J424" s="49">
        <v>423</v>
      </c>
    </row>
    <row r="425" spans="1:13" s="49" customFormat="1" ht="15" x14ac:dyDescent="0.25">
      <c r="A425" s="48">
        <v>16</v>
      </c>
      <c r="B425" s="48" t="s">
        <v>505</v>
      </c>
      <c r="C425" s="48" t="s">
        <v>509</v>
      </c>
      <c r="D425" s="48" t="s">
        <v>423</v>
      </c>
      <c r="E425" s="48" t="s">
        <v>424</v>
      </c>
      <c r="F425" s="49">
        <v>11</v>
      </c>
      <c r="G425" s="49">
        <v>36</v>
      </c>
      <c r="J425" s="49">
        <v>424</v>
      </c>
    </row>
    <row r="426" spans="1:13" s="49" customFormat="1" ht="15" x14ac:dyDescent="0.25">
      <c r="A426" s="48">
        <v>16</v>
      </c>
      <c r="B426" s="48" t="s">
        <v>505</v>
      </c>
      <c r="C426" s="48" t="s">
        <v>509</v>
      </c>
      <c r="D426" s="48" t="s">
        <v>423</v>
      </c>
      <c r="E426" s="48" t="s">
        <v>424</v>
      </c>
      <c r="F426" s="49">
        <v>12</v>
      </c>
      <c r="G426" s="49">
        <v>47</v>
      </c>
      <c r="J426" s="49">
        <v>425</v>
      </c>
    </row>
    <row r="427" spans="1:13" s="49" customFormat="1" thickBot="1" x14ac:dyDescent="0.3">
      <c r="A427" s="48">
        <v>16</v>
      </c>
      <c r="B427" s="48" t="s">
        <v>505</v>
      </c>
      <c r="C427" s="48" t="s">
        <v>509</v>
      </c>
      <c r="D427" s="51" t="s">
        <v>423</v>
      </c>
      <c r="E427" s="51" t="s">
        <v>424</v>
      </c>
      <c r="F427" s="52">
        <v>13</v>
      </c>
      <c r="G427" s="52">
        <v>31</v>
      </c>
      <c r="H427" s="52">
        <v>404</v>
      </c>
      <c r="I427" s="52">
        <v>13</v>
      </c>
      <c r="J427" s="49">
        <v>426</v>
      </c>
      <c r="M427" s="49" t="s">
        <v>891</v>
      </c>
    </row>
    <row r="428" spans="1:13" s="49" customFormat="1" thickTop="1" x14ac:dyDescent="0.25">
      <c r="A428" s="48">
        <v>17</v>
      </c>
      <c r="B428" s="48" t="s">
        <v>505</v>
      </c>
      <c r="C428" s="48" t="s">
        <v>509</v>
      </c>
      <c r="D428" s="48" t="s">
        <v>427</v>
      </c>
      <c r="E428" s="48" t="s">
        <v>428</v>
      </c>
      <c r="F428" s="49">
        <v>1</v>
      </c>
      <c r="G428" s="49">
        <v>22</v>
      </c>
      <c r="J428" s="49">
        <v>427</v>
      </c>
    </row>
    <row r="429" spans="1:13" s="49" customFormat="1" ht="15" x14ac:dyDescent="0.25">
      <c r="A429" s="48">
        <v>17</v>
      </c>
      <c r="B429" s="48" t="s">
        <v>505</v>
      </c>
      <c r="C429" s="48" t="s">
        <v>509</v>
      </c>
      <c r="D429" s="48" t="s">
        <v>427</v>
      </c>
      <c r="E429" s="48" t="s">
        <v>428</v>
      </c>
      <c r="F429" s="49">
        <v>2</v>
      </c>
      <c r="G429" s="49">
        <v>14</v>
      </c>
      <c r="J429" s="49">
        <v>428</v>
      </c>
    </row>
    <row r="430" spans="1:13" s="49" customFormat="1" ht="15" x14ac:dyDescent="0.25">
      <c r="A430" s="48">
        <v>17</v>
      </c>
      <c r="B430" s="48" t="s">
        <v>505</v>
      </c>
      <c r="C430" s="48" t="s">
        <v>509</v>
      </c>
      <c r="D430" s="48" t="s">
        <v>427</v>
      </c>
      <c r="E430" s="48" t="s">
        <v>428</v>
      </c>
      <c r="F430" s="49">
        <v>3</v>
      </c>
      <c r="G430" s="49">
        <v>17</v>
      </c>
      <c r="J430" s="49">
        <v>429</v>
      </c>
    </row>
    <row r="431" spans="1:13" s="49" customFormat="1" ht="15" x14ac:dyDescent="0.25">
      <c r="A431" s="48">
        <v>17</v>
      </c>
      <c r="B431" s="48" t="s">
        <v>505</v>
      </c>
      <c r="C431" s="48" t="s">
        <v>509</v>
      </c>
      <c r="D431" s="48" t="s">
        <v>427</v>
      </c>
      <c r="E431" s="48" t="s">
        <v>428</v>
      </c>
      <c r="F431" s="49">
        <v>4</v>
      </c>
      <c r="G431" s="49">
        <v>21</v>
      </c>
      <c r="J431" s="49">
        <v>430</v>
      </c>
    </row>
    <row r="432" spans="1:13" s="49" customFormat="1" ht="15" x14ac:dyDescent="0.25">
      <c r="A432" s="48">
        <v>17</v>
      </c>
      <c r="B432" s="48" t="s">
        <v>505</v>
      </c>
      <c r="C432" s="48" t="s">
        <v>509</v>
      </c>
      <c r="D432" s="48" t="s">
        <v>427</v>
      </c>
      <c r="E432" s="48" t="s">
        <v>428</v>
      </c>
      <c r="F432" s="49">
        <v>5</v>
      </c>
      <c r="G432" s="49">
        <v>23</v>
      </c>
      <c r="J432" s="49">
        <v>431</v>
      </c>
    </row>
    <row r="433" spans="1:13" s="49" customFormat="1" ht="15" x14ac:dyDescent="0.25">
      <c r="A433" s="48">
        <v>17</v>
      </c>
      <c r="B433" s="48" t="s">
        <v>505</v>
      </c>
      <c r="C433" s="48" t="s">
        <v>509</v>
      </c>
      <c r="D433" s="48" t="s">
        <v>427</v>
      </c>
      <c r="E433" s="48" t="s">
        <v>428</v>
      </c>
      <c r="F433" s="49">
        <v>6</v>
      </c>
      <c r="G433" s="49">
        <v>19</v>
      </c>
      <c r="J433" s="49">
        <v>432</v>
      </c>
    </row>
    <row r="434" spans="1:13" s="49" customFormat="1" ht="15" x14ac:dyDescent="0.25">
      <c r="A434" s="48">
        <v>17</v>
      </c>
      <c r="B434" s="48" t="s">
        <v>505</v>
      </c>
      <c r="C434" s="48" t="s">
        <v>509</v>
      </c>
      <c r="D434" s="48" t="s">
        <v>427</v>
      </c>
      <c r="E434" s="48" t="s">
        <v>428</v>
      </c>
      <c r="F434" s="49">
        <v>7</v>
      </c>
      <c r="G434" s="49">
        <v>17</v>
      </c>
      <c r="J434" s="49">
        <v>433</v>
      </c>
    </row>
    <row r="435" spans="1:13" s="49" customFormat="1" ht="15" x14ac:dyDescent="0.25">
      <c r="A435" s="48">
        <v>17</v>
      </c>
      <c r="B435" s="48" t="s">
        <v>505</v>
      </c>
      <c r="C435" s="48" t="s">
        <v>509</v>
      </c>
      <c r="D435" s="48" t="s">
        <v>427</v>
      </c>
      <c r="E435" s="48" t="s">
        <v>428</v>
      </c>
      <c r="F435" s="49">
        <v>8</v>
      </c>
      <c r="G435" s="49">
        <v>21</v>
      </c>
      <c r="J435" s="49">
        <v>434</v>
      </c>
    </row>
    <row r="436" spans="1:13" s="49" customFormat="1" ht="15" x14ac:dyDescent="0.25">
      <c r="A436" s="48">
        <v>17</v>
      </c>
      <c r="B436" s="48" t="s">
        <v>505</v>
      </c>
      <c r="C436" s="48" t="s">
        <v>509</v>
      </c>
      <c r="D436" s="48" t="s">
        <v>427</v>
      </c>
      <c r="E436" s="48" t="s">
        <v>428</v>
      </c>
      <c r="F436" s="49">
        <v>9</v>
      </c>
      <c r="G436" s="49">
        <v>6</v>
      </c>
      <c r="J436" s="49">
        <v>435</v>
      </c>
    </row>
    <row r="437" spans="1:13" s="49" customFormat="1" ht="15" x14ac:dyDescent="0.25">
      <c r="A437" s="48">
        <v>17</v>
      </c>
      <c r="B437" s="48" t="s">
        <v>505</v>
      </c>
      <c r="C437" s="48" t="s">
        <v>509</v>
      </c>
      <c r="D437" s="48" t="s">
        <v>427</v>
      </c>
      <c r="E437" s="48" t="s">
        <v>428</v>
      </c>
      <c r="F437" s="49">
        <v>10</v>
      </c>
      <c r="G437" s="49">
        <v>14</v>
      </c>
      <c r="J437" s="49">
        <v>436</v>
      </c>
    </row>
    <row r="438" spans="1:13" s="49" customFormat="1" ht="15" x14ac:dyDescent="0.25">
      <c r="A438" s="48">
        <v>17</v>
      </c>
      <c r="B438" s="48" t="s">
        <v>505</v>
      </c>
      <c r="C438" s="48" t="s">
        <v>509</v>
      </c>
      <c r="D438" s="48" t="s">
        <v>427</v>
      </c>
      <c r="E438" s="48" t="s">
        <v>428</v>
      </c>
      <c r="F438" s="49">
        <v>11</v>
      </c>
      <c r="G438" s="49">
        <v>19</v>
      </c>
      <c r="J438" s="49">
        <v>437</v>
      </c>
      <c r="M438" s="49" t="s">
        <v>892</v>
      </c>
    </row>
    <row r="439" spans="1:13" s="49" customFormat="1" ht="15" x14ac:dyDescent="0.25">
      <c r="A439" s="48">
        <v>17</v>
      </c>
      <c r="B439" s="48" t="s">
        <v>505</v>
      </c>
      <c r="C439" s="48" t="s">
        <v>509</v>
      </c>
      <c r="D439" s="48" t="s">
        <v>427</v>
      </c>
      <c r="E439" s="48" t="s">
        <v>428</v>
      </c>
      <c r="F439" s="49">
        <v>12</v>
      </c>
      <c r="G439" s="49">
        <v>22</v>
      </c>
      <c r="J439" s="49">
        <v>438</v>
      </c>
    </row>
    <row r="440" spans="1:13" s="49" customFormat="1" ht="15" x14ac:dyDescent="0.25">
      <c r="A440" s="48">
        <v>17</v>
      </c>
      <c r="B440" s="48" t="s">
        <v>505</v>
      </c>
      <c r="C440" s="48" t="s">
        <v>509</v>
      </c>
      <c r="D440" s="48" t="s">
        <v>427</v>
      </c>
      <c r="E440" s="48" t="s">
        <v>428</v>
      </c>
      <c r="F440" s="49">
        <v>13</v>
      </c>
      <c r="G440" s="49">
        <v>18</v>
      </c>
      <c r="J440" s="49">
        <v>439</v>
      </c>
    </row>
    <row r="441" spans="1:13" s="49" customFormat="1" thickBot="1" x14ac:dyDescent="0.3">
      <c r="A441" s="48">
        <v>17</v>
      </c>
      <c r="B441" s="48" t="s">
        <v>505</v>
      </c>
      <c r="C441" s="48" t="s">
        <v>509</v>
      </c>
      <c r="D441" s="51" t="s">
        <v>427</v>
      </c>
      <c r="E441" s="51" t="s">
        <v>428</v>
      </c>
      <c r="F441" s="52">
        <v>14</v>
      </c>
      <c r="G441" s="52">
        <v>15</v>
      </c>
      <c r="H441" s="52">
        <v>248</v>
      </c>
      <c r="I441" s="52">
        <v>14</v>
      </c>
      <c r="J441" s="49">
        <v>440</v>
      </c>
    </row>
    <row r="442" spans="1:13" s="49" customFormat="1" thickTop="1" x14ac:dyDescent="0.25">
      <c r="A442" s="48">
        <v>18</v>
      </c>
      <c r="B442" s="48" t="s">
        <v>505</v>
      </c>
      <c r="C442" s="48" t="s">
        <v>509</v>
      </c>
      <c r="D442" s="48" t="s">
        <v>430</v>
      </c>
      <c r="E442" s="48" t="s">
        <v>431</v>
      </c>
      <c r="F442" s="49">
        <v>1</v>
      </c>
      <c r="G442" s="49">
        <v>16</v>
      </c>
      <c r="J442" s="49">
        <v>441</v>
      </c>
    </row>
    <row r="443" spans="1:13" s="49" customFormat="1" ht="15" x14ac:dyDescent="0.25">
      <c r="A443" s="48">
        <v>18</v>
      </c>
      <c r="B443" s="48" t="s">
        <v>505</v>
      </c>
      <c r="C443" s="48" t="s">
        <v>509</v>
      </c>
      <c r="D443" s="48" t="s">
        <v>430</v>
      </c>
      <c r="E443" s="48" t="s">
        <v>431</v>
      </c>
      <c r="F443" s="49">
        <v>2</v>
      </c>
      <c r="G443" s="49">
        <v>28</v>
      </c>
      <c r="J443" s="49">
        <v>442</v>
      </c>
    </row>
    <row r="444" spans="1:13" s="49" customFormat="1" ht="15" x14ac:dyDescent="0.25">
      <c r="A444" s="48">
        <v>18</v>
      </c>
      <c r="B444" s="48" t="s">
        <v>505</v>
      </c>
      <c r="C444" s="48" t="s">
        <v>509</v>
      </c>
      <c r="D444" s="48" t="s">
        <v>430</v>
      </c>
      <c r="E444" s="48" t="s">
        <v>431</v>
      </c>
      <c r="F444" s="49">
        <v>3</v>
      </c>
      <c r="G444" s="49">
        <v>10</v>
      </c>
      <c r="J444" s="49">
        <v>443</v>
      </c>
    </row>
    <row r="445" spans="1:13" s="49" customFormat="1" ht="15" x14ac:dyDescent="0.25">
      <c r="A445" s="48">
        <v>18</v>
      </c>
      <c r="B445" s="48" t="s">
        <v>505</v>
      </c>
      <c r="C445" s="48" t="s">
        <v>509</v>
      </c>
      <c r="D445" s="48" t="s">
        <v>430</v>
      </c>
      <c r="E445" s="48" t="s">
        <v>431</v>
      </c>
      <c r="F445" s="49">
        <v>4</v>
      </c>
      <c r="G445" s="49">
        <v>15</v>
      </c>
      <c r="J445" s="49">
        <v>444</v>
      </c>
    </row>
    <row r="446" spans="1:13" s="49" customFormat="1" ht="15" x14ac:dyDescent="0.25">
      <c r="A446" s="48">
        <v>18</v>
      </c>
      <c r="B446" s="48" t="s">
        <v>505</v>
      </c>
      <c r="C446" s="48" t="s">
        <v>509</v>
      </c>
      <c r="D446" s="48" t="s">
        <v>430</v>
      </c>
      <c r="E446" s="48" t="s">
        <v>431</v>
      </c>
      <c r="F446" s="49">
        <v>5</v>
      </c>
      <c r="G446" s="49">
        <v>24</v>
      </c>
      <c r="J446" s="49">
        <v>445</v>
      </c>
    </row>
    <row r="447" spans="1:13" s="49" customFormat="1" ht="15" x14ac:dyDescent="0.25">
      <c r="A447" s="48">
        <v>18</v>
      </c>
      <c r="B447" s="48" t="s">
        <v>505</v>
      </c>
      <c r="C447" s="48" t="s">
        <v>509</v>
      </c>
      <c r="D447" s="48" t="s">
        <v>430</v>
      </c>
      <c r="E447" s="48" t="s">
        <v>431</v>
      </c>
      <c r="F447" s="49">
        <v>6</v>
      </c>
      <c r="G447" s="49">
        <v>21</v>
      </c>
      <c r="J447" s="49">
        <v>446</v>
      </c>
    </row>
    <row r="448" spans="1:13" s="49" customFormat="1" ht="15" x14ac:dyDescent="0.25">
      <c r="A448" s="48">
        <v>18</v>
      </c>
      <c r="B448" s="48" t="s">
        <v>505</v>
      </c>
      <c r="C448" s="48" t="s">
        <v>509</v>
      </c>
      <c r="D448" s="48" t="s">
        <v>430</v>
      </c>
      <c r="E448" s="48" t="s">
        <v>431</v>
      </c>
      <c r="F448" s="49">
        <v>7</v>
      </c>
      <c r="G448" s="49">
        <v>32</v>
      </c>
      <c r="J448" s="49">
        <v>447</v>
      </c>
    </row>
    <row r="449" spans="1:10" s="49" customFormat="1" ht="15" x14ac:dyDescent="0.25">
      <c r="A449" s="48">
        <v>18</v>
      </c>
      <c r="B449" s="48" t="s">
        <v>505</v>
      </c>
      <c r="C449" s="48" t="s">
        <v>509</v>
      </c>
      <c r="D449" s="48" t="s">
        <v>430</v>
      </c>
      <c r="E449" s="48" t="s">
        <v>431</v>
      </c>
      <c r="F449" s="49">
        <v>8</v>
      </c>
      <c r="G449" s="49">
        <v>36</v>
      </c>
      <c r="J449" s="49">
        <v>448</v>
      </c>
    </row>
    <row r="450" spans="1:10" s="49" customFormat="1" ht="15" x14ac:dyDescent="0.25">
      <c r="A450" s="48">
        <v>18</v>
      </c>
      <c r="B450" s="48" t="s">
        <v>505</v>
      </c>
      <c r="C450" s="48" t="s">
        <v>509</v>
      </c>
      <c r="D450" s="48" t="s">
        <v>430</v>
      </c>
      <c r="E450" s="48" t="s">
        <v>431</v>
      </c>
      <c r="F450" s="49">
        <v>9</v>
      </c>
      <c r="G450" s="49">
        <v>14</v>
      </c>
      <c r="J450" s="49">
        <v>449</v>
      </c>
    </row>
    <row r="451" spans="1:10" s="49" customFormat="1" ht="15" x14ac:dyDescent="0.25">
      <c r="A451" s="48">
        <v>18</v>
      </c>
      <c r="B451" s="48" t="s">
        <v>505</v>
      </c>
      <c r="C451" s="48" t="s">
        <v>509</v>
      </c>
      <c r="D451" s="48" t="s">
        <v>430</v>
      </c>
      <c r="E451" s="48" t="s">
        <v>431</v>
      </c>
      <c r="F451" s="49">
        <v>10</v>
      </c>
      <c r="G451" s="49">
        <v>23</v>
      </c>
      <c r="J451" s="49">
        <v>450</v>
      </c>
    </row>
    <row r="452" spans="1:10" s="49" customFormat="1" ht="15" x14ac:dyDescent="0.25">
      <c r="A452" s="48">
        <v>18</v>
      </c>
      <c r="B452" s="48" t="s">
        <v>505</v>
      </c>
      <c r="C452" s="48" t="s">
        <v>509</v>
      </c>
      <c r="D452" s="48" t="s">
        <v>430</v>
      </c>
      <c r="E452" s="48" t="s">
        <v>431</v>
      </c>
      <c r="F452" s="49">
        <v>11</v>
      </c>
      <c r="G452" s="49">
        <v>23</v>
      </c>
      <c r="J452" s="49">
        <v>451</v>
      </c>
    </row>
    <row r="453" spans="1:10" s="49" customFormat="1" ht="15" x14ac:dyDescent="0.25">
      <c r="A453" s="48">
        <v>18</v>
      </c>
      <c r="B453" s="48" t="s">
        <v>505</v>
      </c>
      <c r="C453" s="48" t="s">
        <v>509</v>
      </c>
      <c r="D453" s="48" t="s">
        <v>430</v>
      </c>
      <c r="E453" s="48" t="s">
        <v>431</v>
      </c>
      <c r="F453" s="49">
        <v>12</v>
      </c>
      <c r="G453" s="49">
        <v>20</v>
      </c>
      <c r="J453" s="49">
        <v>452</v>
      </c>
    </row>
    <row r="454" spans="1:10" s="49" customFormat="1" ht="15" x14ac:dyDescent="0.25">
      <c r="A454" s="48">
        <v>18</v>
      </c>
      <c r="B454" s="48" t="s">
        <v>505</v>
      </c>
      <c r="C454" s="48" t="s">
        <v>509</v>
      </c>
      <c r="D454" s="48" t="s">
        <v>430</v>
      </c>
      <c r="E454" s="48" t="s">
        <v>431</v>
      </c>
      <c r="F454" s="49">
        <v>13</v>
      </c>
      <c r="G454" s="49">
        <v>20</v>
      </c>
      <c r="J454" s="49">
        <v>453</v>
      </c>
    </row>
    <row r="455" spans="1:10" s="49" customFormat="1" ht="15" x14ac:dyDescent="0.25">
      <c r="A455" s="48">
        <v>18</v>
      </c>
      <c r="B455" s="48" t="s">
        <v>505</v>
      </c>
      <c r="C455" s="48" t="s">
        <v>509</v>
      </c>
      <c r="D455" s="48" t="s">
        <v>430</v>
      </c>
      <c r="E455" s="48" t="s">
        <v>431</v>
      </c>
      <c r="F455" s="49">
        <v>14</v>
      </c>
      <c r="G455" s="49">
        <v>19</v>
      </c>
      <c r="J455" s="49">
        <v>454</v>
      </c>
    </row>
    <row r="456" spans="1:10" s="49" customFormat="1" ht="15" x14ac:dyDescent="0.25">
      <c r="A456" s="48">
        <v>18</v>
      </c>
      <c r="B456" s="48" t="s">
        <v>505</v>
      </c>
      <c r="C456" s="48" t="s">
        <v>509</v>
      </c>
      <c r="D456" s="48" t="s">
        <v>430</v>
      </c>
      <c r="E456" s="48" t="s">
        <v>431</v>
      </c>
      <c r="F456" s="49">
        <v>15</v>
      </c>
      <c r="G456" s="49">
        <v>14</v>
      </c>
      <c r="J456" s="49">
        <v>455</v>
      </c>
    </row>
    <row r="457" spans="1:10" s="49" customFormat="1" thickBot="1" x14ac:dyDescent="0.3">
      <c r="A457" s="48">
        <v>18</v>
      </c>
      <c r="B457" s="48" t="s">
        <v>505</v>
      </c>
      <c r="C457" s="48" t="s">
        <v>509</v>
      </c>
      <c r="D457" s="51" t="s">
        <v>430</v>
      </c>
      <c r="E457" s="51" t="s">
        <v>431</v>
      </c>
      <c r="F457" s="52">
        <v>16</v>
      </c>
      <c r="G457" s="52">
        <v>25</v>
      </c>
      <c r="H457" s="52">
        <v>340</v>
      </c>
      <c r="I457" s="52">
        <v>16</v>
      </c>
      <c r="J457" s="49">
        <v>456</v>
      </c>
    </row>
    <row r="458" spans="1:10" s="49" customFormat="1" thickTop="1" x14ac:dyDescent="0.25">
      <c r="A458" s="48">
        <v>19</v>
      </c>
      <c r="B458" s="48" t="s">
        <v>505</v>
      </c>
      <c r="C458" s="48" t="s">
        <v>509</v>
      </c>
      <c r="D458" s="48" t="s">
        <v>433</v>
      </c>
      <c r="E458" s="48" t="s">
        <v>434</v>
      </c>
      <c r="F458" s="49">
        <v>1</v>
      </c>
      <c r="G458" s="49">
        <v>22</v>
      </c>
      <c r="J458" s="49">
        <v>457</v>
      </c>
    </row>
    <row r="459" spans="1:10" s="49" customFormat="1" ht="15" x14ac:dyDescent="0.25">
      <c r="A459" s="48">
        <v>19</v>
      </c>
      <c r="B459" s="48" t="s">
        <v>505</v>
      </c>
      <c r="C459" s="48" t="s">
        <v>509</v>
      </c>
      <c r="D459" s="48" t="s">
        <v>433</v>
      </c>
      <c r="E459" s="48" t="s">
        <v>434</v>
      </c>
      <c r="F459" s="49">
        <v>2</v>
      </c>
      <c r="G459" s="49">
        <v>23</v>
      </c>
      <c r="J459" s="49">
        <v>458</v>
      </c>
    </row>
    <row r="460" spans="1:10" s="49" customFormat="1" ht="15" x14ac:dyDescent="0.25">
      <c r="A460" s="48">
        <v>19</v>
      </c>
      <c r="B460" s="48" t="s">
        <v>505</v>
      </c>
      <c r="C460" s="48" t="s">
        <v>509</v>
      </c>
      <c r="D460" s="48" t="s">
        <v>433</v>
      </c>
      <c r="E460" s="48" t="s">
        <v>434</v>
      </c>
      <c r="F460" s="49">
        <v>3</v>
      </c>
      <c r="G460" s="49">
        <v>15</v>
      </c>
      <c r="J460" s="49">
        <v>459</v>
      </c>
    </row>
    <row r="461" spans="1:10" s="49" customFormat="1" ht="15" x14ac:dyDescent="0.25">
      <c r="A461" s="48">
        <v>19</v>
      </c>
      <c r="B461" s="48" t="s">
        <v>505</v>
      </c>
      <c r="C461" s="48" t="s">
        <v>509</v>
      </c>
      <c r="D461" s="48" t="s">
        <v>433</v>
      </c>
      <c r="E461" s="48" t="s">
        <v>434</v>
      </c>
      <c r="F461" s="49">
        <v>4</v>
      </c>
      <c r="G461" s="49">
        <v>17</v>
      </c>
      <c r="J461" s="49">
        <v>460</v>
      </c>
    </row>
    <row r="462" spans="1:10" s="49" customFormat="1" ht="15" x14ac:dyDescent="0.25">
      <c r="A462" s="48">
        <v>19</v>
      </c>
      <c r="B462" s="48" t="s">
        <v>505</v>
      </c>
      <c r="C462" s="48" t="s">
        <v>509</v>
      </c>
      <c r="D462" s="48" t="s">
        <v>433</v>
      </c>
      <c r="E462" s="48" t="s">
        <v>434</v>
      </c>
      <c r="F462" s="49">
        <v>5</v>
      </c>
      <c r="G462" s="49">
        <v>14</v>
      </c>
      <c r="J462" s="49">
        <v>461</v>
      </c>
    </row>
    <row r="463" spans="1:10" s="49" customFormat="1" ht="15" x14ac:dyDescent="0.25">
      <c r="A463" s="48">
        <v>19</v>
      </c>
      <c r="B463" s="48" t="s">
        <v>505</v>
      </c>
      <c r="C463" s="48" t="s">
        <v>509</v>
      </c>
      <c r="D463" s="48" t="s">
        <v>433</v>
      </c>
      <c r="E463" s="48" t="s">
        <v>434</v>
      </c>
      <c r="F463" s="49">
        <v>6</v>
      </c>
      <c r="G463" s="49">
        <v>14</v>
      </c>
      <c r="J463" s="49">
        <v>462</v>
      </c>
    </row>
    <row r="464" spans="1:10" s="49" customFormat="1" ht="15" x14ac:dyDescent="0.25">
      <c r="A464" s="48">
        <v>19</v>
      </c>
      <c r="B464" s="48" t="s">
        <v>505</v>
      </c>
      <c r="C464" s="48" t="s">
        <v>509</v>
      </c>
      <c r="D464" s="48" t="s">
        <v>433</v>
      </c>
      <c r="E464" s="48" t="s">
        <v>434</v>
      </c>
      <c r="F464" s="49">
        <v>7</v>
      </c>
      <c r="G464" s="49">
        <v>10</v>
      </c>
      <c r="J464" s="49">
        <v>463</v>
      </c>
    </row>
    <row r="465" spans="1:10" s="49" customFormat="1" ht="15" x14ac:dyDescent="0.25">
      <c r="A465" s="48">
        <v>19</v>
      </c>
      <c r="B465" s="48" t="s">
        <v>505</v>
      </c>
      <c r="C465" s="48" t="s">
        <v>509</v>
      </c>
      <c r="D465" s="48" t="s">
        <v>433</v>
      </c>
      <c r="E465" s="48" t="s">
        <v>434</v>
      </c>
      <c r="F465" s="49">
        <v>8</v>
      </c>
      <c r="G465" s="49">
        <v>17</v>
      </c>
      <c r="J465" s="49">
        <v>464</v>
      </c>
    </row>
    <row r="466" spans="1:10" s="49" customFormat="1" ht="15" x14ac:dyDescent="0.25">
      <c r="A466" s="48">
        <v>19</v>
      </c>
      <c r="B466" s="48" t="s">
        <v>505</v>
      </c>
      <c r="C466" s="48" t="s">
        <v>509</v>
      </c>
      <c r="D466" s="48" t="s">
        <v>433</v>
      </c>
      <c r="E466" s="48" t="s">
        <v>434</v>
      </c>
      <c r="F466" s="49">
        <v>9</v>
      </c>
      <c r="G466" s="49">
        <v>32</v>
      </c>
      <c r="J466" s="49">
        <v>465</v>
      </c>
    </row>
    <row r="467" spans="1:10" s="49" customFormat="1" thickBot="1" x14ac:dyDescent="0.3">
      <c r="A467" s="48">
        <v>19</v>
      </c>
      <c r="B467" s="48" t="s">
        <v>505</v>
      </c>
      <c r="C467" s="48" t="s">
        <v>509</v>
      </c>
      <c r="D467" s="51" t="s">
        <v>433</v>
      </c>
      <c r="E467" s="51" t="s">
        <v>434</v>
      </c>
      <c r="F467" s="52">
        <v>10</v>
      </c>
      <c r="G467" s="52">
        <v>3</v>
      </c>
      <c r="H467" s="52">
        <v>167</v>
      </c>
      <c r="I467" s="52">
        <v>10</v>
      </c>
      <c r="J467" s="49">
        <v>466</v>
      </c>
    </row>
    <row r="468" spans="1:10" s="49" customFormat="1" thickTop="1" x14ac:dyDescent="0.25">
      <c r="A468" s="48">
        <v>20</v>
      </c>
      <c r="B468" s="48" t="s">
        <v>505</v>
      </c>
      <c r="C468" s="48" t="s">
        <v>509</v>
      </c>
      <c r="D468" s="48" t="s">
        <v>436</v>
      </c>
      <c r="E468" s="48" t="s">
        <v>437</v>
      </c>
      <c r="F468" s="49">
        <v>1</v>
      </c>
      <c r="G468" s="49">
        <v>64</v>
      </c>
      <c r="J468" s="49">
        <v>467</v>
      </c>
    </row>
    <row r="469" spans="1:10" s="49" customFormat="1" ht="15" x14ac:dyDescent="0.25">
      <c r="A469" s="48">
        <v>20</v>
      </c>
      <c r="B469" s="48" t="s">
        <v>505</v>
      </c>
      <c r="C469" s="48" t="s">
        <v>509</v>
      </c>
      <c r="D469" s="48" t="s">
        <v>436</v>
      </c>
      <c r="E469" s="48" t="s">
        <v>437</v>
      </c>
      <c r="F469" s="49">
        <v>2</v>
      </c>
      <c r="G469" s="49">
        <v>70</v>
      </c>
      <c r="J469" s="49">
        <v>468</v>
      </c>
    </row>
    <row r="470" spans="1:10" s="49" customFormat="1" ht="15" x14ac:dyDescent="0.25">
      <c r="A470" s="48">
        <v>20</v>
      </c>
      <c r="B470" s="48" t="s">
        <v>505</v>
      </c>
      <c r="C470" s="48" t="s">
        <v>509</v>
      </c>
      <c r="D470" s="48" t="s">
        <v>436</v>
      </c>
      <c r="E470" s="48" t="s">
        <v>437</v>
      </c>
      <c r="F470" s="49">
        <v>3</v>
      </c>
      <c r="G470" s="49">
        <v>60</v>
      </c>
      <c r="J470" s="49">
        <v>469</v>
      </c>
    </row>
    <row r="471" spans="1:10" s="49" customFormat="1" ht="15" x14ac:dyDescent="0.25">
      <c r="A471" s="48">
        <v>20</v>
      </c>
      <c r="B471" s="48" t="s">
        <v>505</v>
      </c>
      <c r="C471" s="48" t="s">
        <v>509</v>
      </c>
      <c r="D471" s="48" t="s">
        <v>436</v>
      </c>
      <c r="E471" s="48" t="s">
        <v>437</v>
      </c>
      <c r="F471" s="49">
        <v>4</v>
      </c>
      <c r="G471" s="49">
        <v>61</v>
      </c>
      <c r="J471" s="49">
        <v>470</v>
      </c>
    </row>
    <row r="472" spans="1:10" s="49" customFormat="1" ht="15" x14ac:dyDescent="0.25">
      <c r="A472" s="48">
        <v>20</v>
      </c>
      <c r="B472" s="48" t="s">
        <v>505</v>
      </c>
      <c r="C472" s="48" t="s">
        <v>509</v>
      </c>
      <c r="D472" s="48" t="s">
        <v>436</v>
      </c>
      <c r="E472" s="48" t="s">
        <v>437</v>
      </c>
      <c r="F472" s="49">
        <v>5</v>
      </c>
      <c r="G472" s="49">
        <v>68</v>
      </c>
      <c r="J472" s="49">
        <v>471</v>
      </c>
    </row>
    <row r="473" spans="1:10" s="49" customFormat="1" ht="15" x14ac:dyDescent="0.25">
      <c r="A473" s="48">
        <v>20</v>
      </c>
      <c r="B473" s="48" t="s">
        <v>505</v>
      </c>
      <c r="C473" s="48" t="s">
        <v>509</v>
      </c>
      <c r="D473" s="48" t="s">
        <v>436</v>
      </c>
      <c r="E473" s="48" t="s">
        <v>437</v>
      </c>
      <c r="F473" s="49">
        <v>6</v>
      </c>
      <c r="G473" s="49">
        <v>63</v>
      </c>
      <c r="J473" s="49">
        <v>472</v>
      </c>
    </row>
    <row r="474" spans="1:10" s="49" customFormat="1" ht="15" x14ac:dyDescent="0.25">
      <c r="A474" s="48">
        <v>20</v>
      </c>
      <c r="B474" s="48" t="s">
        <v>505</v>
      </c>
      <c r="C474" s="48" t="s">
        <v>509</v>
      </c>
      <c r="D474" s="48" t="s">
        <v>436</v>
      </c>
      <c r="E474" s="48" t="s">
        <v>437</v>
      </c>
      <c r="F474" s="49">
        <v>7</v>
      </c>
      <c r="G474" s="49">
        <v>50</v>
      </c>
      <c r="J474" s="49">
        <v>473</v>
      </c>
    </row>
    <row r="475" spans="1:10" s="49" customFormat="1" ht="15" x14ac:dyDescent="0.25">
      <c r="A475" s="48">
        <v>20</v>
      </c>
      <c r="B475" s="48" t="s">
        <v>505</v>
      </c>
      <c r="C475" s="48" t="s">
        <v>509</v>
      </c>
      <c r="D475" s="48" t="s">
        <v>436</v>
      </c>
      <c r="E475" s="48" t="s">
        <v>437</v>
      </c>
      <c r="F475" s="49">
        <v>8</v>
      </c>
      <c r="G475" s="49">
        <v>32</v>
      </c>
      <c r="J475" s="49">
        <v>474</v>
      </c>
    </row>
    <row r="476" spans="1:10" s="49" customFormat="1" ht="15" x14ac:dyDescent="0.25">
      <c r="A476" s="48">
        <v>20</v>
      </c>
      <c r="B476" s="48" t="s">
        <v>505</v>
      </c>
      <c r="C476" s="48" t="s">
        <v>509</v>
      </c>
      <c r="D476" s="48" t="s">
        <v>436</v>
      </c>
      <c r="E476" s="48" t="s">
        <v>437</v>
      </c>
      <c r="F476" s="49">
        <v>9</v>
      </c>
      <c r="G476" s="49">
        <v>73</v>
      </c>
      <c r="J476" s="49">
        <v>475</v>
      </c>
    </row>
    <row r="477" spans="1:10" s="49" customFormat="1" ht="15" x14ac:dyDescent="0.25">
      <c r="A477" s="48">
        <v>20</v>
      </c>
      <c r="B477" s="48" t="s">
        <v>505</v>
      </c>
      <c r="C477" s="48" t="s">
        <v>509</v>
      </c>
      <c r="D477" s="48" t="s">
        <v>436</v>
      </c>
      <c r="E477" s="48" t="s">
        <v>437</v>
      </c>
      <c r="F477" s="49">
        <v>10</v>
      </c>
      <c r="G477" s="49">
        <v>89</v>
      </c>
      <c r="J477" s="49">
        <v>476</v>
      </c>
    </row>
    <row r="478" spans="1:10" s="49" customFormat="1" ht="15" x14ac:dyDescent="0.25">
      <c r="A478" s="48">
        <v>20</v>
      </c>
      <c r="B478" s="48" t="s">
        <v>505</v>
      </c>
      <c r="C478" s="48" t="s">
        <v>509</v>
      </c>
      <c r="D478" s="48" t="s">
        <v>436</v>
      </c>
      <c r="E478" s="48" t="s">
        <v>437</v>
      </c>
      <c r="F478" s="49">
        <v>11</v>
      </c>
      <c r="G478" s="49">
        <v>74</v>
      </c>
      <c r="J478" s="49">
        <v>477</v>
      </c>
    </row>
    <row r="479" spans="1:10" s="49" customFormat="1" ht="15" x14ac:dyDescent="0.25">
      <c r="A479" s="48">
        <v>20</v>
      </c>
      <c r="B479" s="48" t="s">
        <v>505</v>
      </c>
      <c r="C479" s="48" t="s">
        <v>509</v>
      </c>
      <c r="D479" s="48" t="s">
        <v>436</v>
      </c>
      <c r="E479" s="48" t="s">
        <v>437</v>
      </c>
      <c r="F479" s="49">
        <v>12</v>
      </c>
      <c r="G479" s="49">
        <v>53</v>
      </c>
      <c r="J479" s="49">
        <v>478</v>
      </c>
    </row>
    <row r="480" spans="1:10" s="49" customFormat="1" ht="15" x14ac:dyDescent="0.25">
      <c r="A480" s="48">
        <v>20</v>
      </c>
      <c r="B480" s="48" t="s">
        <v>505</v>
      </c>
      <c r="C480" s="48" t="s">
        <v>509</v>
      </c>
      <c r="D480" s="48" t="s">
        <v>436</v>
      </c>
      <c r="E480" s="48" t="s">
        <v>437</v>
      </c>
      <c r="F480" s="49">
        <v>13</v>
      </c>
      <c r="G480" s="49">
        <v>53</v>
      </c>
      <c r="J480" s="49">
        <v>479</v>
      </c>
    </row>
    <row r="481" spans="1:10" s="49" customFormat="1" ht="15" x14ac:dyDescent="0.25">
      <c r="A481" s="48">
        <v>20</v>
      </c>
      <c r="B481" s="48" t="s">
        <v>505</v>
      </c>
      <c r="C481" s="48" t="s">
        <v>509</v>
      </c>
      <c r="D481" s="48" t="s">
        <v>436</v>
      </c>
      <c r="E481" s="48" t="s">
        <v>437</v>
      </c>
      <c r="F481" s="49">
        <v>14</v>
      </c>
      <c r="G481" s="49">
        <v>49</v>
      </c>
      <c r="J481" s="49">
        <v>480</v>
      </c>
    </row>
    <row r="482" spans="1:10" s="49" customFormat="1" ht="15" x14ac:dyDescent="0.25">
      <c r="A482" s="48">
        <v>20</v>
      </c>
      <c r="B482" s="48" t="s">
        <v>505</v>
      </c>
      <c r="C482" s="48" t="s">
        <v>509</v>
      </c>
      <c r="D482" s="48" t="s">
        <v>436</v>
      </c>
      <c r="E482" s="48" t="s">
        <v>437</v>
      </c>
      <c r="F482" s="49">
        <v>15</v>
      </c>
      <c r="G482" s="49">
        <v>41</v>
      </c>
      <c r="J482" s="49">
        <v>481</v>
      </c>
    </row>
    <row r="483" spans="1:10" s="49" customFormat="1" thickBot="1" x14ac:dyDescent="0.3">
      <c r="A483" s="48">
        <v>20</v>
      </c>
      <c r="B483" s="48" t="s">
        <v>505</v>
      </c>
      <c r="C483" s="48" t="s">
        <v>509</v>
      </c>
      <c r="D483" s="51" t="s">
        <v>436</v>
      </c>
      <c r="E483" s="51" t="s">
        <v>437</v>
      </c>
      <c r="F483" s="52">
        <v>16</v>
      </c>
      <c r="G483" s="52">
        <v>24</v>
      </c>
      <c r="H483" s="52">
        <v>924</v>
      </c>
      <c r="I483" s="52">
        <v>16</v>
      </c>
      <c r="J483" s="49">
        <v>482</v>
      </c>
    </row>
    <row r="484" spans="1:10" s="49" customFormat="1" thickTop="1" x14ac:dyDescent="0.25">
      <c r="A484" s="48">
        <v>21</v>
      </c>
      <c r="B484" s="48" t="s">
        <v>505</v>
      </c>
      <c r="C484" s="48" t="s">
        <v>509</v>
      </c>
      <c r="D484" s="48" t="s">
        <v>438</v>
      </c>
      <c r="E484" s="48" t="s">
        <v>439</v>
      </c>
      <c r="F484" s="49">
        <v>1</v>
      </c>
      <c r="G484" s="49">
        <v>36</v>
      </c>
      <c r="J484" s="49">
        <v>483</v>
      </c>
    </row>
    <row r="485" spans="1:10" s="49" customFormat="1" ht="15" x14ac:dyDescent="0.25">
      <c r="A485" s="48">
        <v>21</v>
      </c>
      <c r="B485" s="48" t="s">
        <v>505</v>
      </c>
      <c r="C485" s="48" t="s">
        <v>509</v>
      </c>
      <c r="D485" s="48" t="s">
        <v>438</v>
      </c>
      <c r="E485" s="48" t="s">
        <v>439</v>
      </c>
      <c r="F485" s="49">
        <v>2</v>
      </c>
      <c r="G485" s="49">
        <v>32</v>
      </c>
      <c r="J485" s="49">
        <v>484</v>
      </c>
    </row>
    <row r="486" spans="1:10" s="49" customFormat="1" ht="15" x14ac:dyDescent="0.25">
      <c r="A486" s="48">
        <v>21</v>
      </c>
      <c r="B486" s="48" t="s">
        <v>505</v>
      </c>
      <c r="C486" s="48" t="s">
        <v>509</v>
      </c>
      <c r="D486" s="48" t="s">
        <v>438</v>
      </c>
      <c r="E486" s="48" t="s">
        <v>439</v>
      </c>
      <c r="F486" s="49">
        <v>3</v>
      </c>
      <c r="G486" s="49">
        <v>40</v>
      </c>
      <c r="J486" s="49">
        <v>485</v>
      </c>
    </row>
    <row r="487" spans="1:10" s="49" customFormat="1" ht="15" x14ac:dyDescent="0.25">
      <c r="A487" s="48">
        <v>21</v>
      </c>
      <c r="B487" s="48" t="s">
        <v>505</v>
      </c>
      <c r="C487" s="48" t="s">
        <v>509</v>
      </c>
      <c r="D487" s="48" t="s">
        <v>438</v>
      </c>
      <c r="E487" s="48" t="s">
        <v>439</v>
      </c>
      <c r="F487" s="49">
        <v>4</v>
      </c>
      <c r="G487" s="49">
        <v>50</v>
      </c>
      <c r="J487" s="49">
        <v>486</v>
      </c>
    </row>
    <row r="488" spans="1:10" s="49" customFormat="1" ht="15" x14ac:dyDescent="0.25">
      <c r="A488" s="48">
        <v>21</v>
      </c>
      <c r="B488" s="48" t="s">
        <v>505</v>
      </c>
      <c r="C488" s="48" t="s">
        <v>509</v>
      </c>
      <c r="D488" s="48" t="s">
        <v>438</v>
      </c>
      <c r="E488" s="48" t="s">
        <v>439</v>
      </c>
      <c r="F488" s="49">
        <v>5</v>
      </c>
      <c r="G488" s="49">
        <v>27</v>
      </c>
      <c r="J488" s="49">
        <v>487</v>
      </c>
    </row>
    <row r="489" spans="1:10" s="49" customFormat="1" ht="15" x14ac:dyDescent="0.25">
      <c r="A489" s="48">
        <v>21</v>
      </c>
      <c r="B489" s="48" t="s">
        <v>505</v>
      </c>
      <c r="C489" s="48" t="s">
        <v>509</v>
      </c>
      <c r="D489" s="48" t="s">
        <v>438</v>
      </c>
      <c r="E489" s="48" t="s">
        <v>439</v>
      </c>
      <c r="F489" s="49">
        <v>6</v>
      </c>
      <c r="G489" s="49">
        <v>31</v>
      </c>
      <c r="J489" s="49">
        <v>488</v>
      </c>
    </row>
    <row r="490" spans="1:10" s="49" customFormat="1" ht="15" x14ac:dyDescent="0.25">
      <c r="A490" s="48">
        <v>21</v>
      </c>
      <c r="B490" s="48" t="s">
        <v>505</v>
      </c>
      <c r="C490" s="48" t="s">
        <v>509</v>
      </c>
      <c r="D490" s="48" t="s">
        <v>438</v>
      </c>
      <c r="E490" s="48" t="s">
        <v>439</v>
      </c>
      <c r="F490" s="49">
        <v>7</v>
      </c>
      <c r="G490" s="49">
        <v>42</v>
      </c>
      <c r="J490" s="49">
        <v>489</v>
      </c>
    </row>
    <row r="491" spans="1:10" s="49" customFormat="1" ht="15" x14ac:dyDescent="0.25">
      <c r="A491" s="48">
        <v>21</v>
      </c>
      <c r="B491" s="48" t="s">
        <v>505</v>
      </c>
      <c r="C491" s="48" t="s">
        <v>509</v>
      </c>
      <c r="D491" s="48" t="s">
        <v>438</v>
      </c>
      <c r="E491" s="48" t="s">
        <v>439</v>
      </c>
      <c r="F491" s="49">
        <v>8</v>
      </c>
      <c r="G491" s="49">
        <v>36</v>
      </c>
      <c r="J491" s="49">
        <v>490</v>
      </c>
    </row>
    <row r="492" spans="1:10" s="49" customFormat="1" ht="15" x14ac:dyDescent="0.25">
      <c r="A492" s="48">
        <v>21</v>
      </c>
      <c r="B492" s="48" t="s">
        <v>505</v>
      </c>
      <c r="C492" s="48" t="s">
        <v>509</v>
      </c>
      <c r="D492" s="48" t="s">
        <v>438</v>
      </c>
      <c r="E492" s="48" t="s">
        <v>439</v>
      </c>
      <c r="F492" s="49">
        <v>9</v>
      </c>
      <c r="G492" s="49">
        <v>29</v>
      </c>
      <c r="J492" s="49">
        <v>491</v>
      </c>
    </row>
    <row r="493" spans="1:10" s="49" customFormat="1" ht="15" x14ac:dyDescent="0.25">
      <c r="A493" s="48">
        <v>21</v>
      </c>
      <c r="B493" s="48" t="s">
        <v>505</v>
      </c>
      <c r="C493" s="48" t="s">
        <v>509</v>
      </c>
      <c r="D493" s="48" t="s">
        <v>438</v>
      </c>
      <c r="E493" s="48" t="s">
        <v>439</v>
      </c>
      <c r="F493" s="49">
        <v>10</v>
      </c>
      <c r="G493" s="49">
        <v>38</v>
      </c>
      <c r="J493" s="49">
        <v>492</v>
      </c>
    </row>
    <row r="494" spans="1:10" s="49" customFormat="1" ht="15" x14ac:dyDescent="0.25">
      <c r="A494" s="48">
        <v>21</v>
      </c>
      <c r="B494" s="48" t="s">
        <v>505</v>
      </c>
      <c r="C494" s="48" t="s">
        <v>509</v>
      </c>
      <c r="D494" s="48" t="s">
        <v>438</v>
      </c>
      <c r="E494" s="48" t="s">
        <v>439</v>
      </c>
      <c r="F494" s="49">
        <v>11</v>
      </c>
      <c r="G494" s="49">
        <v>38</v>
      </c>
      <c r="J494" s="49">
        <v>493</v>
      </c>
    </row>
    <row r="495" spans="1:10" s="49" customFormat="1" ht="15" x14ac:dyDescent="0.25">
      <c r="A495" s="48">
        <v>21</v>
      </c>
      <c r="B495" s="48" t="s">
        <v>505</v>
      </c>
      <c r="C495" s="48" t="s">
        <v>509</v>
      </c>
      <c r="D495" s="48" t="s">
        <v>438</v>
      </c>
      <c r="E495" s="48" t="s">
        <v>439</v>
      </c>
      <c r="F495" s="49">
        <v>12</v>
      </c>
      <c r="G495" s="49">
        <v>45</v>
      </c>
      <c r="J495" s="49">
        <v>494</v>
      </c>
    </row>
    <row r="496" spans="1:10" s="49" customFormat="1" ht="15" x14ac:dyDescent="0.25">
      <c r="A496" s="48">
        <v>21</v>
      </c>
      <c r="B496" s="48" t="s">
        <v>505</v>
      </c>
      <c r="C496" s="48" t="s">
        <v>509</v>
      </c>
      <c r="D496" s="48" t="s">
        <v>438</v>
      </c>
      <c r="E496" s="48" t="s">
        <v>439</v>
      </c>
      <c r="F496" s="49">
        <v>13</v>
      </c>
      <c r="G496" s="49">
        <v>26</v>
      </c>
      <c r="J496" s="49">
        <v>495</v>
      </c>
    </row>
    <row r="497" spans="1:10" s="49" customFormat="1" ht="15" x14ac:dyDescent="0.25">
      <c r="A497" s="48">
        <v>21</v>
      </c>
      <c r="B497" s="48" t="s">
        <v>505</v>
      </c>
      <c r="C497" s="48" t="s">
        <v>509</v>
      </c>
      <c r="D497" s="48" t="s">
        <v>438</v>
      </c>
      <c r="E497" s="48" t="s">
        <v>439</v>
      </c>
      <c r="F497" s="49">
        <v>14</v>
      </c>
      <c r="G497" s="49">
        <v>46</v>
      </c>
      <c r="J497" s="49">
        <v>496</v>
      </c>
    </row>
    <row r="498" spans="1:10" s="49" customFormat="1" thickBot="1" x14ac:dyDescent="0.3">
      <c r="A498" s="48">
        <v>21</v>
      </c>
      <c r="B498" s="48" t="s">
        <v>505</v>
      </c>
      <c r="C498" s="48" t="s">
        <v>509</v>
      </c>
      <c r="D498" s="51" t="s">
        <v>438</v>
      </c>
      <c r="E498" s="51" t="s">
        <v>439</v>
      </c>
      <c r="F498" s="52">
        <v>15</v>
      </c>
      <c r="G498" s="52">
        <v>39</v>
      </c>
      <c r="H498" s="52">
        <v>555</v>
      </c>
      <c r="I498" s="52">
        <v>15</v>
      </c>
      <c r="J498" s="49">
        <v>497</v>
      </c>
    </row>
    <row r="499" spans="1:10" s="49" customFormat="1" ht="30.75" thickTop="1" x14ac:dyDescent="0.25">
      <c r="A499" s="48">
        <v>22</v>
      </c>
      <c r="B499" s="48" t="s">
        <v>505</v>
      </c>
      <c r="C499" s="48" t="s">
        <v>510</v>
      </c>
      <c r="D499" s="48" t="s">
        <v>442</v>
      </c>
      <c r="E499" s="48" t="s">
        <v>443</v>
      </c>
      <c r="F499" s="49">
        <v>1</v>
      </c>
      <c r="G499" s="49">
        <v>22</v>
      </c>
      <c r="J499" s="49">
        <v>498</v>
      </c>
    </row>
    <row r="500" spans="1:10" s="49" customFormat="1" ht="30" x14ac:dyDescent="0.25">
      <c r="A500" s="48">
        <v>22</v>
      </c>
      <c r="B500" s="48" t="s">
        <v>505</v>
      </c>
      <c r="C500" s="48" t="s">
        <v>510</v>
      </c>
      <c r="D500" s="48" t="s">
        <v>442</v>
      </c>
      <c r="E500" s="48" t="s">
        <v>443</v>
      </c>
      <c r="F500" s="49">
        <v>2</v>
      </c>
      <c r="G500" s="49">
        <v>13</v>
      </c>
      <c r="J500" s="49">
        <v>499</v>
      </c>
    </row>
    <row r="501" spans="1:10" s="49" customFormat="1" ht="30" x14ac:dyDescent="0.25">
      <c r="A501" s="48">
        <v>22</v>
      </c>
      <c r="B501" s="48" t="s">
        <v>505</v>
      </c>
      <c r="C501" s="48" t="s">
        <v>510</v>
      </c>
      <c r="D501" s="48" t="s">
        <v>442</v>
      </c>
      <c r="E501" s="48" t="s">
        <v>443</v>
      </c>
      <c r="F501" s="49">
        <v>3</v>
      </c>
      <c r="G501" s="49">
        <v>26</v>
      </c>
      <c r="J501" s="49">
        <v>500</v>
      </c>
    </row>
    <row r="502" spans="1:10" s="49" customFormat="1" ht="30" x14ac:dyDescent="0.25">
      <c r="A502" s="48">
        <v>22</v>
      </c>
      <c r="B502" s="48" t="s">
        <v>505</v>
      </c>
      <c r="C502" s="48" t="s">
        <v>510</v>
      </c>
      <c r="D502" s="48" t="s">
        <v>442</v>
      </c>
      <c r="E502" s="48" t="s">
        <v>443</v>
      </c>
      <c r="F502" s="49">
        <v>4</v>
      </c>
      <c r="G502" s="49">
        <v>21</v>
      </c>
      <c r="J502" s="49">
        <v>501</v>
      </c>
    </row>
    <row r="503" spans="1:10" s="49" customFormat="1" ht="30" x14ac:dyDescent="0.25">
      <c r="A503" s="48">
        <v>22</v>
      </c>
      <c r="B503" s="48" t="s">
        <v>505</v>
      </c>
      <c r="C503" s="48" t="s">
        <v>510</v>
      </c>
      <c r="D503" s="48" t="s">
        <v>442</v>
      </c>
      <c r="E503" s="48" t="s">
        <v>443</v>
      </c>
      <c r="F503" s="49">
        <v>5</v>
      </c>
      <c r="G503" s="49">
        <v>27</v>
      </c>
      <c r="J503" s="49">
        <v>502</v>
      </c>
    </row>
    <row r="504" spans="1:10" s="49" customFormat="1" ht="30" x14ac:dyDescent="0.25">
      <c r="A504" s="48">
        <v>22</v>
      </c>
      <c r="B504" s="48" t="s">
        <v>505</v>
      </c>
      <c r="C504" s="48" t="s">
        <v>510</v>
      </c>
      <c r="D504" s="48" t="s">
        <v>442</v>
      </c>
      <c r="E504" s="48" t="s">
        <v>443</v>
      </c>
      <c r="F504" s="49">
        <v>6</v>
      </c>
      <c r="G504" s="49">
        <v>30</v>
      </c>
      <c r="J504" s="49">
        <v>503</v>
      </c>
    </row>
    <row r="505" spans="1:10" s="49" customFormat="1" ht="30" x14ac:dyDescent="0.25">
      <c r="A505" s="48">
        <v>22</v>
      </c>
      <c r="B505" s="48" t="s">
        <v>505</v>
      </c>
      <c r="C505" s="48" t="s">
        <v>510</v>
      </c>
      <c r="D505" s="48" t="s">
        <v>442</v>
      </c>
      <c r="E505" s="48" t="s">
        <v>443</v>
      </c>
      <c r="F505" s="49">
        <v>7</v>
      </c>
      <c r="G505" s="49">
        <v>21</v>
      </c>
      <c r="J505" s="49">
        <v>504</v>
      </c>
    </row>
    <row r="506" spans="1:10" s="49" customFormat="1" ht="30" x14ac:dyDescent="0.25">
      <c r="A506" s="48">
        <v>22</v>
      </c>
      <c r="B506" s="48" t="s">
        <v>505</v>
      </c>
      <c r="C506" s="48" t="s">
        <v>510</v>
      </c>
      <c r="D506" s="48" t="s">
        <v>442</v>
      </c>
      <c r="E506" s="48" t="s">
        <v>443</v>
      </c>
      <c r="F506" s="49">
        <v>8</v>
      </c>
      <c r="G506" s="49">
        <v>22</v>
      </c>
      <c r="J506" s="49">
        <v>505</v>
      </c>
    </row>
    <row r="507" spans="1:10" s="49" customFormat="1" ht="30" x14ac:dyDescent="0.25">
      <c r="A507" s="48">
        <v>22</v>
      </c>
      <c r="B507" s="48" t="s">
        <v>505</v>
      </c>
      <c r="C507" s="48" t="s">
        <v>510</v>
      </c>
      <c r="D507" s="48" t="s">
        <v>442</v>
      </c>
      <c r="E507" s="48" t="s">
        <v>443</v>
      </c>
      <c r="F507" s="49">
        <v>9</v>
      </c>
      <c r="G507" s="49">
        <v>35</v>
      </c>
      <c r="J507" s="49">
        <v>506</v>
      </c>
    </row>
    <row r="508" spans="1:10" s="49" customFormat="1" ht="30" x14ac:dyDescent="0.25">
      <c r="A508" s="48">
        <v>22</v>
      </c>
      <c r="B508" s="48" t="s">
        <v>505</v>
      </c>
      <c r="C508" s="48" t="s">
        <v>510</v>
      </c>
      <c r="D508" s="48" t="s">
        <v>442</v>
      </c>
      <c r="E508" s="48" t="s">
        <v>443</v>
      </c>
      <c r="F508" s="49">
        <v>10</v>
      </c>
      <c r="G508" s="49">
        <v>22</v>
      </c>
      <c r="J508" s="49">
        <v>507</v>
      </c>
    </row>
    <row r="509" spans="1:10" s="49" customFormat="1" ht="30" x14ac:dyDescent="0.25">
      <c r="A509" s="48">
        <v>22</v>
      </c>
      <c r="B509" s="48" t="s">
        <v>505</v>
      </c>
      <c r="C509" s="48" t="s">
        <v>510</v>
      </c>
      <c r="D509" s="48" t="s">
        <v>442</v>
      </c>
      <c r="E509" s="48" t="s">
        <v>443</v>
      </c>
      <c r="F509" s="49">
        <v>11</v>
      </c>
      <c r="G509" s="49">
        <v>20</v>
      </c>
      <c r="J509" s="49">
        <v>508</v>
      </c>
    </row>
    <row r="510" spans="1:10" s="49" customFormat="1" ht="30" x14ac:dyDescent="0.25">
      <c r="A510" s="48">
        <v>22</v>
      </c>
      <c r="B510" s="48" t="s">
        <v>505</v>
      </c>
      <c r="C510" s="48" t="s">
        <v>510</v>
      </c>
      <c r="D510" s="48" t="s">
        <v>442</v>
      </c>
      <c r="E510" s="48" t="s">
        <v>443</v>
      </c>
      <c r="F510" s="49">
        <v>12</v>
      </c>
      <c r="G510" s="49">
        <v>25</v>
      </c>
      <c r="J510" s="49">
        <v>509</v>
      </c>
    </row>
    <row r="511" spans="1:10" s="49" customFormat="1" ht="30" x14ac:dyDescent="0.25">
      <c r="A511" s="48">
        <v>22</v>
      </c>
      <c r="B511" s="48" t="s">
        <v>505</v>
      </c>
      <c r="C511" s="48" t="s">
        <v>510</v>
      </c>
      <c r="D511" s="48" t="s">
        <v>442</v>
      </c>
      <c r="E511" s="48" t="s">
        <v>443</v>
      </c>
      <c r="F511" s="49">
        <v>13</v>
      </c>
      <c r="G511" s="49">
        <v>28</v>
      </c>
      <c r="J511" s="49">
        <v>510</v>
      </c>
    </row>
    <row r="512" spans="1:10" s="49" customFormat="1" ht="30" x14ac:dyDescent="0.25">
      <c r="A512" s="48">
        <v>22</v>
      </c>
      <c r="B512" s="48" t="s">
        <v>505</v>
      </c>
      <c r="C512" s="48" t="s">
        <v>510</v>
      </c>
      <c r="D512" s="48" t="s">
        <v>442</v>
      </c>
      <c r="E512" s="48" t="s">
        <v>443</v>
      </c>
      <c r="F512" s="49">
        <v>14</v>
      </c>
      <c r="G512" s="49">
        <v>22</v>
      </c>
      <c r="J512" s="49">
        <v>511</v>
      </c>
    </row>
    <row r="513" spans="1:10" s="49" customFormat="1" ht="30" x14ac:dyDescent="0.25">
      <c r="A513" s="48">
        <v>22</v>
      </c>
      <c r="B513" s="48" t="s">
        <v>505</v>
      </c>
      <c r="C513" s="48" t="s">
        <v>510</v>
      </c>
      <c r="D513" s="48" t="s">
        <v>442</v>
      </c>
      <c r="E513" s="48" t="s">
        <v>443</v>
      </c>
      <c r="F513" s="49">
        <v>15</v>
      </c>
      <c r="G513" s="49">
        <v>35</v>
      </c>
      <c r="J513" s="49">
        <v>512</v>
      </c>
    </row>
    <row r="514" spans="1:10" s="49" customFormat="1" ht="30" x14ac:dyDescent="0.25">
      <c r="A514" s="48">
        <v>22</v>
      </c>
      <c r="B514" s="48" t="s">
        <v>505</v>
      </c>
      <c r="C514" s="48" t="s">
        <v>510</v>
      </c>
      <c r="D514" s="48" t="s">
        <v>442</v>
      </c>
      <c r="E514" s="48" t="s">
        <v>443</v>
      </c>
      <c r="F514" s="49">
        <v>16</v>
      </c>
      <c r="G514" s="49">
        <v>22</v>
      </c>
      <c r="J514" s="49">
        <v>513</v>
      </c>
    </row>
    <row r="515" spans="1:10" s="49" customFormat="1" ht="30" x14ac:dyDescent="0.25">
      <c r="A515" s="48">
        <v>22</v>
      </c>
      <c r="B515" s="48" t="s">
        <v>505</v>
      </c>
      <c r="C515" s="48" t="s">
        <v>510</v>
      </c>
      <c r="D515" s="48" t="s">
        <v>442</v>
      </c>
      <c r="E515" s="48" t="s">
        <v>443</v>
      </c>
      <c r="F515" s="49">
        <v>17</v>
      </c>
      <c r="G515" s="49">
        <v>16</v>
      </c>
      <c r="J515" s="49">
        <v>514</v>
      </c>
    </row>
    <row r="516" spans="1:10" s="49" customFormat="1" ht="30" x14ac:dyDescent="0.25">
      <c r="A516" s="48">
        <v>22</v>
      </c>
      <c r="B516" s="48" t="s">
        <v>505</v>
      </c>
      <c r="C516" s="48" t="s">
        <v>510</v>
      </c>
      <c r="D516" s="48" t="s">
        <v>442</v>
      </c>
      <c r="E516" s="48" t="s">
        <v>443</v>
      </c>
      <c r="F516" s="49">
        <v>18</v>
      </c>
      <c r="G516" s="49">
        <v>21</v>
      </c>
      <c r="J516" s="49">
        <v>515</v>
      </c>
    </row>
    <row r="517" spans="1:10" s="49" customFormat="1" ht="30" x14ac:dyDescent="0.25">
      <c r="A517" s="48">
        <v>22</v>
      </c>
      <c r="B517" s="48" t="s">
        <v>505</v>
      </c>
      <c r="C517" s="48" t="s">
        <v>510</v>
      </c>
      <c r="D517" s="48" t="s">
        <v>442</v>
      </c>
      <c r="E517" s="48" t="s">
        <v>443</v>
      </c>
      <c r="F517" s="49">
        <v>19</v>
      </c>
      <c r="G517" s="49">
        <v>29</v>
      </c>
      <c r="J517" s="49">
        <v>516</v>
      </c>
    </row>
    <row r="518" spans="1:10" s="49" customFormat="1" ht="30" x14ac:dyDescent="0.25">
      <c r="A518" s="48">
        <v>22</v>
      </c>
      <c r="B518" s="48" t="s">
        <v>505</v>
      </c>
      <c r="C518" s="48" t="s">
        <v>510</v>
      </c>
      <c r="D518" s="48" t="s">
        <v>442</v>
      </c>
      <c r="E518" s="48" t="s">
        <v>443</v>
      </c>
      <c r="F518" s="49">
        <v>20</v>
      </c>
      <c r="G518" s="49">
        <v>29</v>
      </c>
      <c r="J518" s="49">
        <v>517</v>
      </c>
    </row>
    <row r="519" spans="1:10" s="49" customFormat="1" ht="30" x14ac:dyDescent="0.25">
      <c r="A519" s="48">
        <v>22</v>
      </c>
      <c r="B519" s="48" t="s">
        <v>505</v>
      </c>
      <c r="C519" s="48" t="s">
        <v>510</v>
      </c>
      <c r="D519" s="48" t="s">
        <v>442</v>
      </c>
      <c r="E519" s="48" t="s">
        <v>443</v>
      </c>
      <c r="F519" s="49">
        <v>21</v>
      </c>
      <c r="G519" s="49">
        <v>34</v>
      </c>
      <c r="J519" s="49">
        <v>518</v>
      </c>
    </row>
    <row r="520" spans="1:10" s="49" customFormat="1" ht="30" x14ac:dyDescent="0.25">
      <c r="A520" s="48">
        <v>22</v>
      </c>
      <c r="B520" s="48" t="s">
        <v>505</v>
      </c>
      <c r="C520" s="48" t="s">
        <v>510</v>
      </c>
      <c r="D520" s="48" t="s">
        <v>442</v>
      </c>
      <c r="E520" s="48" t="s">
        <v>443</v>
      </c>
      <c r="F520" s="49">
        <v>22</v>
      </c>
      <c r="G520" s="49">
        <v>30</v>
      </c>
      <c r="J520" s="49">
        <v>519</v>
      </c>
    </row>
    <row r="521" spans="1:10" s="49" customFormat="1" ht="30" x14ac:dyDescent="0.25">
      <c r="A521" s="48">
        <v>22</v>
      </c>
      <c r="B521" s="48" t="s">
        <v>505</v>
      </c>
      <c r="C521" s="48" t="s">
        <v>510</v>
      </c>
      <c r="D521" s="48" t="s">
        <v>442</v>
      </c>
      <c r="E521" s="48" t="s">
        <v>443</v>
      </c>
      <c r="F521" s="49">
        <v>23</v>
      </c>
      <c r="G521" s="49">
        <v>17</v>
      </c>
      <c r="J521" s="49">
        <v>520</v>
      </c>
    </row>
    <row r="522" spans="1:10" s="49" customFormat="1" ht="30" x14ac:dyDescent="0.25">
      <c r="A522" s="48">
        <v>22</v>
      </c>
      <c r="B522" s="48" t="s">
        <v>505</v>
      </c>
      <c r="C522" s="48" t="s">
        <v>510</v>
      </c>
      <c r="D522" s="48" t="s">
        <v>442</v>
      </c>
      <c r="E522" s="48" t="s">
        <v>443</v>
      </c>
      <c r="F522" s="49">
        <v>24</v>
      </c>
      <c r="G522" s="49">
        <v>25</v>
      </c>
      <c r="J522" s="49">
        <v>521</v>
      </c>
    </row>
    <row r="523" spans="1:10" s="49" customFormat="1" ht="30" x14ac:dyDescent="0.25">
      <c r="A523" s="48">
        <v>22</v>
      </c>
      <c r="B523" s="48" t="s">
        <v>505</v>
      </c>
      <c r="C523" s="48" t="s">
        <v>510</v>
      </c>
      <c r="D523" s="48" t="s">
        <v>442</v>
      </c>
      <c r="E523" s="48" t="s">
        <v>443</v>
      </c>
      <c r="F523" s="49">
        <v>25</v>
      </c>
      <c r="G523" s="49">
        <v>6</v>
      </c>
      <c r="J523" s="49">
        <v>522</v>
      </c>
    </row>
    <row r="524" spans="1:10" s="49" customFormat="1" ht="30" x14ac:dyDescent="0.25">
      <c r="A524" s="48">
        <v>22</v>
      </c>
      <c r="B524" s="48" t="s">
        <v>505</v>
      </c>
      <c r="C524" s="48" t="s">
        <v>510</v>
      </c>
      <c r="D524" s="48" t="s">
        <v>442</v>
      </c>
      <c r="E524" s="48" t="s">
        <v>443</v>
      </c>
      <c r="F524" s="49">
        <v>26</v>
      </c>
      <c r="G524" s="49">
        <v>14</v>
      </c>
      <c r="J524" s="49">
        <v>523</v>
      </c>
    </row>
    <row r="525" spans="1:10" s="49" customFormat="1" ht="30" x14ac:dyDescent="0.25">
      <c r="A525" s="48">
        <v>22</v>
      </c>
      <c r="B525" s="48" t="s">
        <v>505</v>
      </c>
      <c r="C525" s="48" t="s">
        <v>510</v>
      </c>
      <c r="D525" s="48" t="s">
        <v>442</v>
      </c>
      <c r="E525" s="48" t="s">
        <v>443</v>
      </c>
      <c r="F525" s="49">
        <v>27</v>
      </c>
      <c r="G525" s="49">
        <v>23</v>
      </c>
      <c r="J525" s="49">
        <v>524</v>
      </c>
    </row>
    <row r="526" spans="1:10" s="49" customFormat="1" ht="30" x14ac:dyDescent="0.25">
      <c r="A526" s="48">
        <v>22</v>
      </c>
      <c r="B526" s="48" t="s">
        <v>505</v>
      </c>
      <c r="C526" s="48" t="s">
        <v>510</v>
      </c>
      <c r="D526" s="48" t="s">
        <v>442</v>
      </c>
      <c r="E526" s="48" t="s">
        <v>443</v>
      </c>
      <c r="F526" s="49">
        <v>28</v>
      </c>
      <c r="G526" s="49">
        <v>28</v>
      </c>
      <c r="J526" s="49">
        <v>525</v>
      </c>
    </row>
    <row r="527" spans="1:10" s="49" customFormat="1" ht="30" x14ac:dyDescent="0.25">
      <c r="A527" s="48">
        <v>22</v>
      </c>
      <c r="B527" s="48" t="s">
        <v>505</v>
      </c>
      <c r="C527" s="48" t="s">
        <v>510</v>
      </c>
      <c r="D527" s="48" t="s">
        <v>442</v>
      </c>
      <c r="E527" s="48" t="s">
        <v>443</v>
      </c>
      <c r="F527" s="49">
        <v>29</v>
      </c>
      <c r="G527" s="49">
        <v>25</v>
      </c>
      <c r="J527" s="49">
        <v>526</v>
      </c>
    </row>
    <row r="528" spans="1:10" s="49" customFormat="1" ht="30" x14ac:dyDescent="0.25">
      <c r="A528" s="48">
        <v>22</v>
      </c>
      <c r="B528" s="48" t="s">
        <v>505</v>
      </c>
      <c r="C528" s="48" t="s">
        <v>510</v>
      </c>
      <c r="D528" s="48" t="s">
        <v>442</v>
      </c>
      <c r="E528" s="48" t="s">
        <v>443</v>
      </c>
      <c r="F528" s="49">
        <v>30</v>
      </c>
      <c r="G528" s="49">
        <v>31</v>
      </c>
      <c r="J528" s="49">
        <v>527</v>
      </c>
    </row>
    <row r="529" spans="1:10" s="49" customFormat="1" ht="30" x14ac:dyDescent="0.25">
      <c r="A529" s="48">
        <v>22</v>
      </c>
      <c r="B529" s="48" t="s">
        <v>505</v>
      </c>
      <c r="C529" s="48" t="s">
        <v>510</v>
      </c>
      <c r="D529" s="48" t="s">
        <v>442</v>
      </c>
      <c r="E529" s="48" t="s">
        <v>443</v>
      </c>
      <c r="F529" s="49">
        <v>31</v>
      </c>
      <c r="G529" s="49">
        <v>37</v>
      </c>
      <c r="J529" s="49">
        <v>528</v>
      </c>
    </row>
    <row r="530" spans="1:10" s="49" customFormat="1" ht="30" x14ac:dyDescent="0.25">
      <c r="A530" s="48">
        <v>22</v>
      </c>
      <c r="B530" s="48" t="s">
        <v>505</v>
      </c>
      <c r="C530" s="48" t="s">
        <v>510</v>
      </c>
      <c r="D530" s="48" t="s">
        <v>442</v>
      </c>
      <c r="E530" s="48" t="s">
        <v>443</v>
      </c>
      <c r="F530" s="49">
        <v>32</v>
      </c>
      <c r="G530" s="49">
        <v>22</v>
      </c>
      <c r="J530" s="49">
        <v>529</v>
      </c>
    </row>
    <row r="531" spans="1:10" s="49" customFormat="1" ht="30" x14ac:dyDescent="0.25">
      <c r="A531" s="48">
        <v>22</v>
      </c>
      <c r="B531" s="48" t="s">
        <v>505</v>
      </c>
      <c r="C531" s="48" t="s">
        <v>510</v>
      </c>
      <c r="D531" s="48" t="s">
        <v>442</v>
      </c>
      <c r="E531" s="48" t="s">
        <v>443</v>
      </c>
      <c r="F531" s="49">
        <v>33</v>
      </c>
      <c r="G531" s="49">
        <v>33</v>
      </c>
      <c r="J531" s="49">
        <v>530</v>
      </c>
    </row>
    <row r="532" spans="1:10" s="49" customFormat="1" ht="30" x14ac:dyDescent="0.25">
      <c r="A532" s="48">
        <v>22</v>
      </c>
      <c r="B532" s="48" t="s">
        <v>505</v>
      </c>
      <c r="C532" s="48" t="s">
        <v>510</v>
      </c>
      <c r="D532" s="48" t="s">
        <v>442</v>
      </c>
      <c r="E532" s="48" t="s">
        <v>443</v>
      </c>
      <c r="F532" s="49">
        <v>34</v>
      </c>
      <c r="G532" s="49">
        <v>37</v>
      </c>
      <c r="J532" s="49">
        <v>531</v>
      </c>
    </row>
    <row r="533" spans="1:10" s="49" customFormat="1" ht="30" x14ac:dyDescent="0.25">
      <c r="A533" s="48">
        <v>22</v>
      </c>
      <c r="B533" s="48" t="s">
        <v>505</v>
      </c>
      <c r="C533" s="48" t="s">
        <v>510</v>
      </c>
      <c r="D533" s="48" t="s">
        <v>442</v>
      </c>
      <c r="E533" s="48" t="s">
        <v>443</v>
      </c>
      <c r="F533" s="49">
        <v>35</v>
      </c>
      <c r="G533" s="49">
        <v>16</v>
      </c>
      <c r="J533" s="49">
        <v>532</v>
      </c>
    </row>
    <row r="534" spans="1:10" s="49" customFormat="1" ht="30" x14ac:dyDescent="0.25">
      <c r="A534" s="48">
        <v>22</v>
      </c>
      <c r="B534" s="48" t="s">
        <v>505</v>
      </c>
      <c r="C534" s="48" t="s">
        <v>510</v>
      </c>
      <c r="D534" s="48" t="s">
        <v>442</v>
      </c>
      <c r="E534" s="48" t="s">
        <v>443</v>
      </c>
      <c r="F534" s="49">
        <v>36</v>
      </c>
      <c r="G534" s="49">
        <v>30</v>
      </c>
      <c r="J534" s="49">
        <v>533</v>
      </c>
    </row>
    <row r="535" spans="1:10" s="49" customFormat="1" ht="30" x14ac:dyDescent="0.25">
      <c r="A535" s="48">
        <v>22</v>
      </c>
      <c r="B535" s="48" t="s">
        <v>505</v>
      </c>
      <c r="C535" s="48" t="s">
        <v>510</v>
      </c>
      <c r="D535" s="48" t="s">
        <v>442</v>
      </c>
      <c r="E535" s="48" t="s">
        <v>443</v>
      </c>
      <c r="F535" s="49">
        <v>37</v>
      </c>
      <c r="G535" s="49">
        <v>24</v>
      </c>
      <c r="J535" s="49">
        <v>534</v>
      </c>
    </row>
    <row r="536" spans="1:10" s="49" customFormat="1" ht="30" x14ac:dyDescent="0.25">
      <c r="A536" s="48">
        <v>22</v>
      </c>
      <c r="B536" s="48" t="s">
        <v>505</v>
      </c>
      <c r="C536" s="48" t="s">
        <v>510</v>
      </c>
      <c r="D536" s="48" t="s">
        <v>442</v>
      </c>
      <c r="E536" s="48" t="s">
        <v>443</v>
      </c>
      <c r="F536" s="49">
        <v>38</v>
      </c>
      <c r="G536" s="49">
        <v>41</v>
      </c>
      <c r="J536" s="49">
        <v>535</v>
      </c>
    </row>
    <row r="537" spans="1:10" s="49" customFormat="1" ht="30" x14ac:dyDescent="0.25">
      <c r="A537" s="48">
        <v>22</v>
      </c>
      <c r="B537" s="48" t="s">
        <v>505</v>
      </c>
      <c r="C537" s="48" t="s">
        <v>510</v>
      </c>
      <c r="D537" s="48" t="s">
        <v>442</v>
      </c>
      <c r="E537" s="48" t="s">
        <v>443</v>
      </c>
      <c r="F537" s="49">
        <v>39</v>
      </c>
      <c r="G537" s="49">
        <v>30</v>
      </c>
      <c r="J537" s="49">
        <v>536</v>
      </c>
    </row>
    <row r="538" spans="1:10" s="49" customFormat="1" ht="30" x14ac:dyDescent="0.25">
      <c r="A538" s="48">
        <v>22</v>
      </c>
      <c r="B538" s="48" t="s">
        <v>505</v>
      </c>
      <c r="C538" s="48" t="s">
        <v>510</v>
      </c>
      <c r="D538" s="48" t="s">
        <v>442</v>
      </c>
      <c r="E538" s="48" t="s">
        <v>443</v>
      </c>
      <c r="F538" s="49">
        <v>40</v>
      </c>
      <c r="G538" s="49">
        <v>32</v>
      </c>
      <c r="J538" s="49">
        <v>537</v>
      </c>
    </row>
    <row r="539" spans="1:10" s="49" customFormat="1" ht="30" x14ac:dyDescent="0.25">
      <c r="A539" s="48">
        <v>22</v>
      </c>
      <c r="B539" s="48" t="s">
        <v>505</v>
      </c>
      <c r="C539" s="48" t="s">
        <v>510</v>
      </c>
      <c r="D539" s="48" t="s">
        <v>442</v>
      </c>
      <c r="E539" s="48" t="s">
        <v>443</v>
      </c>
      <c r="F539" s="49">
        <v>41</v>
      </c>
      <c r="G539" s="49">
        <v>26</v>
      </c>
      <c r="J539" s="49">
        <v>538</v>
      </c>
    </row>
    <row r="540" spans="1:10" s="49" customFormat="1" ht="30.75" thickBot="1" x14ac:dyDescent="0.3">
      <c r="A540" s="48">
        <v>22</v>
      </c>
      <c r="B540" s="48" t="s">
        <v>505</v>
      </c>
      <c r="C540" s="48" t="s">
        <v>510</v>
      </c>
      <c r="D540" s="51" t="s">
        <v>442</v>
      </c>
      <c r="E540" s="51" t="s">
        <v>443</v>
      </c>
      <c r="F540" s="52">
        <v>42</v>
      </c>
      <c r="G540" s="52">
        <v>17</v>
      </c>
      <c r="H540" s="52"/>
      <c r="I540" s="52">
        <v>42</v>
      </c>
      <c r="J540" s="49">
        <v>539</v>
      </c>
    </row>
    <row r="541" spans="1:10" s="49" customFormat="1" ht="30.75" thickTop="1" x14ac:dyDescent="0.25">
      <c r="A541" s="48">
        <v>23</v>
      </c>
      <c r="B541" s="48" t="s">
        <v>505</v>
      </c>
      <c r="C541" s="48" t="s">
        <v>510</v>
      </c>
      <c r="D541" s="48" t="s">
        <v>446</v>
      </c>
      <c r="E541" s="48" t="s">
        <v>447</v>
      </c>
      <c r="F541" s="49">
        <v>1</v>
      </c>
      <c r="G541" s="49">
        <v>6</v>
      </c>
      <c r="J541" s="49">
        <v>540</v>
      </c>
    </row>
    <row r="542" spans="1:10" s="49" customFormat="1" ht="30" x14ac:dyDescent="0.25">
      <c r="A542" s="48">
        <v>23</v>
      </c>
      <c r="B542" s="48" t="s">
        <v>505</v>
      </c>
      <c r="C542" s="48" t="s">
        <v>510</v>
      </c>
      <c r="D542" s="48" t="s">
        <v>446</v>
      </c>
      <c r="E542" s="48" t="s">
        <v>447</v>
      </c>
      <c r="F542" s="49">
        <v>2</v>
      </c>
      <c r="G542" s="49">
        <v>12</v>
      </c>
      <c r="J542" s="49">
        <v>541</v>
      </c>
    </row>
    <row r="543" spans="1:10" s="49" customFormat="1" ht="30" x14ac:dyDescent="0.25">
      <c r="A543" s="48">
        <v>23</v>
      </c>
      <c r="B543" s="48" t="s">
        <v>505</v>
      </c>
      <c r="C543" s="48" t="s">
        <v>510</v>
      </c>
      <c r="D543" s="48" t="s">
        <v>446</v>
      </c>
      <c r="E543" s="48" t="s">
        <v>447</v>
      </c>
      <c r="F543" s="49">
        <v>3</v>
      </c>
      <c r="G543" s="49">
        <v>9</v>
      </c>
      <c r="J543" s="49">
        <v>542</v>
      </c>
    </row>
    <row r="544" spans="1:10" s="49" customFormat="1" ht="30" x14ac:dyDescent="0.25">
      <c r="A544" s="48">
        <v>23</v>
      </c>
      <c r="B544" s="48" t="s">
        <v>505</v>
      </c>
      <c r="C544" s="48" t="s">
        <v>510</v>
      </c>
      <c r="D544" s="48" t="s">
        <v>446</v>
      </c>
      <c r="E544" s="48" t="s">
        <v>447</v>
      </c>
      <c r="F544" s="49">
        <v>4</v>
      </c>
      <c r="G544" s="49">
        <v>9</v>
      </c>
      <c r="J544" s="49">
        <v>543</v>
      </c>
    </row>
    <row r="545" spans="1:10" s="49" customFormat="1" ht="30" x14ac:dyDescent="0.25">
      <c r="A545" s="48">
        <v>23</v>
      </c>
      <c r="B545" s="48" t="s">
        <v>505</v>
      </c>
      <c r="C545" s="48" t="s">
        <v>510</v>
      </c>
      <c r="D545" s="48" t="s">
        <v>446</v>
      </c>
      <c r="E545" s="48" t="s">
        <v>447</v>
      </c>
      <c r="F545" s="49">
        <v>5</v>
      </c>
      <c r="G545" s="49">
        <v>13</v>
      </c>
      <c r="J545" s="49">
        <v>544</v>
      </c>
    </row>
    <row r="546" spans="1:10" s="49" customFormat="1" ht="30" x14ac:dyDescent="0.25">
      <c r="A546" s="48">
        <v>23</v>
      </c>
      <c r="B546" s="48" t="s">
        <v>505</v>
      </c>
      <c r="C546" s="48" t="s">
        <v>510</v>
      </c>
      <c r="D546" s="48" t="s">
        <v>446</v>
      </c>
      <c r="E546" s="48" t="s">
        <v>447</v>
      </c>
      <c r="F546" s="49">
        <v>6</v>
      </c>
      <c r="G546" s="49">
        <v>11</v>
      </c>
      <c r="J546" s="49">
        <v>545</v>
      </c>
    </row>
    <row r="547" spans="1:10" s="49" customFormat="1" ht="30" x14ac:dyDescent="0.25">
      <c r="A547" s="48">
        <v>23</v>
      </c>
      <c r="B547" s="48" t="s">
        <v>505</v>
      </c>
      <c r="C547" s="48" t="s">
        <v>510</v>
      </c>
      <c r="D547" s="48" t="s">
        <v>446</v>
      </c>
      <c r="E547" s="48" t="s">
        <v>447</v>
      </c>
      <c r="F547" s="49">
        <v>7</v>
      </c>
      <c r="G547" s="49">
        <v>18</v>
      </c>
      <c r="J547" s="49">
        <v>546</v>
      </c>
    </row>
    <row r="548" spans="1:10" s="49" customFormat="1" ht="30" x14ac:dyDescent="0.25">
      <c r="A548" s="48">
        <v>23</v>
      </c>
      <c r="B548" s="48" t="s">
        <v>505</v>
      </c>
      <c r="C548" s="48" t="s">
        <v>510</v>
      </c>
      <c r="D548" s="48" t="s">
        <v>446</v>
      </c>
      <c r="E548" s="48" t="s">
        <v>447</v>
      </c>
      <c r="F548" s="49">
        <v>8</v>
      </c>
      <c r="G548" s="49">
        <v>10</v>
      </c>
      <c r="J548" s="49">
        <v>547</v>
      </c>
    </row>
    <row r="549" spans="1:10" s="49" customFormat="1" ht="30" x14ac:dyDescent="0.25">
      <c r="A549" s="48">
        <v>23</v>
      </c>
      <c r="B549" s="48" t="s">
        <v>505</v>
      </c>
      <c r="C549" s="48" t="s">
        <v>510</v>
      </c>
      <c r="D549" s="48" t="s">
        <v>446</v>
      </c>
      <c r="E549" s="48" t="s">
        <v>447</v>
      </c>
      <c r="F549" s="49">
        <v>9</v>
      </c>
      <c r="G549" s="49">
        <v>39</v>
      </c>
      <c r="J549" s="49">
        <v>548</v>
      </c>
    </row>
    <row r="550" spans="1:10" s="49" customFormat="1" ht="30" x14ac:dyDescent="0.25">
      <c r="A550" s="48">
        <v>23</v>
      </c>
      <c r="B550" s="48" t="s">
        <v>505</v>
      </c>
      <c r="C550" s="48" t="s">
        <v>510</v>
      </c>
      <c r="D550" s="48" t="s">
        <v>446</v>
      </c>
      <c r="E550" s="48" t="s">
        <v>447</v>
      </c>
      <c r="F550" s="49">
        <v>10</v>
      </c>
      <c r="G550" s="49">
        <v>7</v>
      </c>
      <c r="J550" s="49">
        <v>549</v>
      </c>
    </row>
    <row r="551" spans="1:10" s="49" customFormat="1" ht="30" x14ac:dyDescent="0.25">
      <c r="A551" s="48">
        <v>23</v>
      </c>
      <c r="B551" s="48" t="s">
        <v>505</v>
      </c>
      <c r="C551" s="48" t="s">
        <v>510</v>
      </c>
      <c r="D551" s="48" t="s">
        <v>446</v>
      </c>
      <c r="E551" s="48" t="s">
        <v>447</v>
      </c>
      <c r="F551" s="49">
        <v>11</v>
      </c>
      <c r="G551" s="49">
        <v>9</v>
      </c>
      <c r="J551" s="49">
        <v>550</v>
      </c>
    </row>
    <row r="552" spans="1:10" s="49" customFormat="1" ht="30" x14ac:dyDescent="0.25">
      <c r="A552" s="48">
        <v>23</v>
      </c>
      <c r="B552" s="48" t="s">
        <v>505</v>
      </c>
      <c r="C552" s="48" t="s">
        <v>510</v>
      </c>
      <c r="D552" s="48" t="s">
        <v>446</v>
      </c>
      <c r="E552" s="48" t="s">
        <v>447</v>
      </c>
      <c r="F552" s="49">
        <v>12</v>
      </c>
      <c r="G552" s="49">
        <v>6</v>
      </c>
      <c r="J552" s="49">
        <v>551</v>
      </c>
    </row>
    <row r="553" spans="1:10" s="49" customFormat="1" ht="30" x14ac:dyDescent="0.25">
      <c r="A553" s="48">
        <v>23</v>
      </c>
      <c r="B553" s="48" t="s">
        <v>505</v>
      </c>
      <c r="C553" s="48" t="s">
        <v>510</v>
      </c>
      <c r="D553" s="48" t="s">
        <v>446</v>
      </c>
      <c r="E553" s="48" t="s">
        <v>447</v>
      </c>
      <c r="F553" s="49">
        <v>13</v>
      </c>
      <c r="G553" s="49">
        <v>7</v>
      </c>
      <c r="J553" s="49">
        <v>552</v>
      </c>
    </row>
    <row r="554" spans="1:10" s="49" customFormat="1" ht="30" x14ac:dyDescent="0.25">
      <c r="A554" s="48">
        <v>23</v>
      </c>
      <c r="B554" s="48" t="s">
        <v>505</v>
      </c>
      <c r="C554" s="48" t="s">
        <v>510</v>
      </c>
      <c r="D554" s="48" t="s">
        <v>446</v>
      </c>
      <c r="E554" s="48" t="s">
        <v>447</v>
      </c>
      <c r="F554" s="49">
        <v>14</v>
      </c>
      <c r="G554" s="49">
        <v>5</v>
      </c>
      <c r="J554" s="49">
        <v>553</v>
      </c>
    </row>
    <row r="555" spans="1:10" s="49" customFormat="1" ht="30" x14ac:dyDescent="0.25">
      <c r="A555" s="48">
        <v>23</v>
      </c>
      <c r="B555" s="48" t="s">
        <v>505</v>
      </c>
      <c r="C555" s="48" t="s">
        <v>510</v>
      </c>
      <c r="D555" s="48" t="s">
        <v>446</v>
      </c>
      <c r="E555" s="48" t="s">
        <v>447</v>
      </c>
      <c r="F555" s="49">
        <v>15</v>
      </c>
      <c r="G555" s="49">
        <v>11</v>
      </c>
      <c r="J555" s="49">
        <v>554</v>
      </c>
    </row>
    <row r="556" spans="1:10" s="49" customFormat="1" ht="30" x14ac:dyDescent="0.25">
      <c r="A556" s="48">
        <v>23</v>
      </c>
      <c r="B556" s="48" t="s">
        <v>505</v>
      </c>
      <c r="C556" s="48" t="s">
        <v>510</v>
      </c>
      <c r="D556" s="48" t="s">
        <v>446</v>
      </c>
      <c r="E556" s="48" t="s">
        <v>447</v>
      </c>
      <c r="F556" s="49">
        <v>16</v>
      </c>
      <c r="G556" s="49">
        <v>15</v>
      </c>
      <c r="J556" s="49">
        <v>555</v>
      </c>
    </row>
    <row r="557" spans="1:10" s="49" customFormat="1" ht="30" x14ac:dyDescent="0.25">
      <c r="A557" s="48">
        <v>23</v>
      </c>
      <c r="B557" s="48" t="s">
        <v>505</v>
      </c>
      <c r="C557" s="48" t="s">
        <v>510</v>
      </c>
      <c r="D557" s="48" t="s">
        <v>446</v>
      </c>
      <c r="E557" s="48" t="s">
        <v>447</v>
      </c>
      <c r="F557" s="49">
        <v>17</v>
      </c>
      <c r="G557" s="49">
        <v>51</v>
      </c>
      <c r="J557" s="49">
        <v>556</v>
      </c>
    </row>
    <row r="558" spans="1:10" s="49" customFormat="1" ht="30" x14ac:dyDescent="0.25">
      <c r="A558" s="48">
        <v>23</v>
      </c>
      <c r="B558" s="48" t="s">
        <v>505</v>
      </c>
      <c r="C558" s="48" t="s">
        <v>510</v>
      </c>
      <c r="D558" s="48" t="s">
        <v>446</v>
      </c>
      <c r="E558" s="48" t="s">
        <v>447</v>
      </c>
      <c r="F558" s="49">
        <v>18</v>
      </c>
      <c r="G558" s="49">
        <v>15</v>
      </c>
      <c r="J558" s="49">
        <v>557</v>
      </c>
    </row>
    <row r="559" spans="1:10" s="49" customFormat="1" ht="30" x14ac:dyDescent="0.25">
      <c r="A559" s="48">
        <v>23</v>
      </c>
      <c r="B559" s="48" t="s">
        <v>505</v>
      </c>
      <c r="C559" s="48" t="s">
        <v>510</v>
      </c>
      <c r="D559" s="48" t="s">
        <v>446</v>
      </c>
      <c r="E559" s="48" t="s">
        <v>447</v>
      </c>
      <c r="F559" s="49">
        <v>19</v>
      </c>
      <c r="G559" s="49">
        <v>10</v>
      </c>
      <c r="J559" s="49">
        <v>558</v>
      </c>
    </row>
    <row r="560" spans="1:10" s="49" customFormat="1" ht="30" x14ac:dyDescent="0.25">
      <c r="A560" s="48">
        <v>23</v>
      </c>
      <c r="B560" s="48" t="s">
        <v>505</v>
      </c>
      <c r="C560" s="48" t="s">
        <v>510</v>
      </c>
      <c r="D560" s="48" t="s">
        <v>446</v>
      </c>
      <c r="E560" s="48" t="s">
        <v>447</v>
      </c>
      <c r="F560" s="49">
        <v>20</v>
      </c>
      <c r="G560" s="49">
        <v>14</v>
      </c>
      <c r="J560" s="49">
        <v>559</v>
      </c>
    </row>
    <row r="561" spans="1:10" s="49" customFormat="1" ht="30" x14ac:dyDescent="0.25">
      <c r="A561" s="48">
        <v>23</v>
      </c>
      <c r="B561" s="48" t="s">
        <v>505</v>
      </c>
      <c r="C561" s="48" t="s">
        <v>510</v>
      </c>
      <c r="D561" s="48" t="s">
        <v>446</v>
      </c>
      <c r="E561" s="48" t="s">
        <v>447</v>
      </c>
      <c r="F561" s="49">
        <v>21</v>
      </c>
      <c r="G561" s="49">
        <v>32</v>
      </c>
      <c r="J561" s="49">
        <v>560</v>
      </c>
    </row>
    <row r="562" spans="1:10" s="49" customFormat="1" ht="30" x14ac:dyDescent="0.25">
      <c r="A562" s="48">
        <v>23</v>
      </c>
      <c r="B562" s="48" t="s">
        <v>505</v>
      </c>
      <c r="C562" s="48" t="s">
        <v>510</v>
      </c>
      <c r="D562" s="48" t="s">
        <v>446</v>
      </c>
      <c r="E562" s="48" t="s">
        <v>447</v>
      </c>
      <c r="F562" s="49">
        <v>22</v>
      </c>
      <c r="G562" s="49">
        <v>6</v>
      </c>
      <c r="J562" s="49">
        <v>561</v>
      </c>
    </row>
    <row r="563" spans="1:10" s="49" customFormat="1" ht="30" x14ac:dyDescent="0.25">
      <c r="A563" s="48">
        <v>23</v>
      </c>
      <c r="B563" s="48" t="s">
        <v>505</v>
      </c>
      <c r="C563" s="48" t="s">
        <v>510</v>
      </c>
      <c r="D563" s="48" t="s">
        <v>446</v>
      </c>
      <c r="E563" s="48" t="s">
        <v>447</v>
      </c>
      <c r="F563" s="49">
        <v>23</v>
      </c>
      <c r="G563" s="49">
        <v>10</v>
      </c>
      <c r="J563" s="49">
        <v>562</v>
      </c>
    </row>
    <row r="564" spans="1:10" s="49" customFormat="1" ht="30" x14ac:dyDescent="0.25">
      <c r="A564" s="48">
        <v>23</v>
      </c>
      <c r="B564" s="48" t="s">
        <v>505</v>
      </c>
      <c r="C564" s="48" t="s">
        <v>510</v>
      </c>
      <c r="D564" s="48" t="s">
        <v>446</v>
      </c>
      <c r="E564" s="48" t="s">
        <v>447</v>
      </c>
      <c r="F564" s="49">
        <v>24</v>
      </c>
      <c r="G564" s="49">
        <v>22</v>
      </c>
      <c r="J564" s="49">
        <v>563</v>
      </c>
    </row>
    <row r="565" spans="1:10" s="49" customFormat="1" ht="30" x14ac:dyDescent="0.25">
      <c r="A565" s="48">
        <v>23</v>
      </c>
      <c r="B565" s="48" t="s">
        <v>505</v>
      </c>
      <c r="C565" s="48" t="s">
        <v>510</v>
      </c>
      <c r="D565" s="48" t="s">
        <v>446</v>
      </c>
      <c r="E565" s="48" t="s">
        <v>447</v>
      </c>
      <c r="F565" s="49">
        <v>25</v>
      </c>
      <c r="G565" s="49">
        <v>12</v>
      </c>
      <c r="J565" s="49">
        <v>564</v>
      </c>
    </row>
    <row r="566" spans="1:10" s="49" customFormat="1" ht="30" x14ac:dyDescent="0.25">
      <c r="A566" s="48">
        <v>23</v>
      </c>
      <c r="B566" s="48" t="s">
        <v>505</v>
      </c>
      <c r="C566" s="48" t="s">
        <v>510</v>
      </c>
      <c r="D566" s="48" t="s">
        <v>446</v>
      </c>
      <c r="E566" s="48" t="s">
        <v>447</v>
      </c>
      <c r="F566" s="49">
        <v>26</v>
      </c>
      <c r="G566" s="49">
        <v>14</v>
      </c>
      <c r="J566" s="49">
        <v>565</v>
      </c>
    </row>
    <row r="567" spans="1:10" s="49" customFormat="1" ht="30" x14ac:dyDescent="0.25">
      <c r="A567" s="48">
        <v>23</v>
      </c>
      <c r="B567" s="48" t="s">
        <v>505</v>
      </c>
      <c r="C567" s="48" t="s">
        <v>510</v>
      </c>
      <c r="D567" s="48" t="s">
        <v>446</v>
      </c>
      <c r="E567" s="48" t="s">
        <v>447</v>
      </c>
      <c r="F567" s="49">
        <v>27</v>
      </c>
      <c r="G567" s="49">
        <v>9</v>
      </c>
      <c r="J567" s="49">
        <v>566</v>
      </c>
    </row>
    <row r="568" spans="1:10" s="49" customFormat="1" ht="30" x14ac:dyDescent="0.25">
      <c r="A568" s="48">
        <v>23</v>
      </c>
      <c r="B568" s="48" t="s">
        <v>505</v>
      </c>
      <c r="C568" s="48" t="s">
        <v>510</v>
      </c>
      <c r="D568" s="48" t="s">
        <v>446</v>
      </c>
      <c r="E568" s="48" t="s">
        <v>447</v>
      </c>
      <c r="F568" s="49">
        <v>28</v>
      </c>
      <c r="G568" s="49">
        <v>11</v>
      </c>
      <c r="J568" s="49">
        <v>567</v>
      </c>
    </row>
    <row r="569" spans="1:10" s="49" customFormat="1" ht="30" x14ac:dyDescent="0.25">
      <c r="A569" s="48">
        <v>23</v>
      </c>
      <c r="B569" s="48" t="s">
        <v>505</v>
      </c>
      <c r="C569" s="48" t="s">
        <v>510</v>
      </c>
      <c r="D569" s="48" t="s">
        <v>446</v>
      </c>
      <c r="E569" s="48" t="s">
        <v>447</v>
      </c>
      <c r="F569" s="49">
        <v>29</v>
      </c>
      <c r="G569" s="49">
        <v>13</v>
      </c>
      <c r="J569" s="49">
        <v>568</v>
      </c>
    </row>
    <row r="570" spans="1:10" s="49" customFormat="1" ht="30" x14ac:dyDescent="0.25">
      <c r="A570" s="48">
        <v>23</v>
      </c>
      <c r="B570" s="48" t="s">
        <v>505</v>
      </c>
      <c r="C570" s="48" t="s">
        <v>510</v>
      </c>
      <c r="D570" s="48" t="s">
        <v>446</v>
      </c>
      <c r="E570" s="48" t="s">
        <v>447</v>
      </c>
      <c r="F570" s="49">
        <v>30</v>
      </c>
      <c r="G570" s="49">
        <v>25</v>
      </c>
      <c r="J570" s="49">
        <v>569</v>
      </c>
    </row>
    <row r="571" spans="1:10" s="49" customFormat="1" ht="30" x14ac:dyDescent="0.25">
      <c r="A571" s="48">
        <v>23</v>
      </c>
      <c r="B571" s="48" t="s">
        <v>505</v>
      </c>
      <c r="C571" s="48" t="s">
        <v>510</v>
      </c>
      <c r="D571" s="48" t="s">
        <v>446</v>
      </c>
      <c r="E571" s="48" t="s">
        <v>447</v>
      </c>
      <c r="F571" s="49">
        <v>31</v>
      </c>
      <c r="G571" s="49">
        <v>11</v>
      </c>
      <c r="J571" s="49">
        <v>570</v>
      </c>
    </row>
    <row r="572" spans="1:10" s="49" customFormat="1" ht="30" x14ac:dyDescent="0.25">
      <c r="A572" s="48">
        <v>23</v>
      </c>
      <c r="B572" s="48" t="s">
        <v>505</v>
      </c>
      <c r="C572" s="48" t="s">
        <v>510</v>
      </c>
      <c r="D572" s="48" t="s">
        <v>446</v>
      </c>
      <c r="E572" s="48" t="s">
        <v>447</v>
      </c>
      <c r="F572" s="49">
        <v>32</v>
      </c>
      <c r="G572" s="49">
        <v>22</v>
      </c>
      <c r="J572" s="49">
        <v>571</v>
      </c>
    </row>
    <row r="573" spans="1:10" s="49" customFormat="1" ht="30" x14ac:dyDescent="0.25">
      <c r="A573" s="48">
        <v>23</v>
      </c>
      <c r="B573" s="48" t="s">
        <v>505</v>
      </c>
      <c r="C573" s="48" t="s">
        <v>510</v>
      </c>
      <c r="D573" s="48" t="s">
        <v>446</v>
      </c>
      <c r="E573" s="48" t="s">
        <v>447</v>
      </c>
      <c r="F573" s="49">
        <v>33</v>
      </c>
      <c r="G573" s="49">
        <v>23</v>
      </c>
      <c r="J573" s="49">
        <v>572</v>
      </c>
    </row>
    <row r="574" spans="1:10" s="49" customFormat="1" ht="30" x14ac:dyDescent="0.25">
      <c r="A574" s="48">
        <v>23</v>
      </c>
      <c r="B574" s="48" t="s">
        <v>505</v>
      </c>
      <c r="C574" s="48" t="s">
        <v>510</v>
      </c>
      <c r="D574" s="48" t="s">
        <v>446</v>
      </c>
      <c r="E574" s="48" t="s">
        <v>447</v>
      </c>
      <c r="F574" s="49">
        <v>34</v>
      </c>
      <c r="G574" s="49">
        <v>28</v>
      </c>
      <c r="J574" s="49">
        <v>573</v>
      </c>
    </row>
    <row r="575" spans="1:10" s="49" customFormat="1" ht="30" x14ac:dyDescent="0.25">
      <c r="A575" s="48">
        <v>23</v>
      </c>
      <c r="B575" s="48" t="s">
        <v>505</v>
      </c>
      <c r="C575" s="48" t="s">
        <v>510</v>
      </c>
      <c r="D575" s="48" t="s">
        <v>446</v>
      </c>
      <c r="E575" s="48" t="s">
        <v>447</v>
      </c>
      <c r="F575" s="49">
        <v>35</v>
      </c>
      <c r="G575" s="49">
        <v>13</v>
      </c>
      <c r="J575" s="49">
        <v>574</v>
      </c>
    </row>
    <row r="576" spans="1:10" s="49" customFormat="1" ht="30" x14ac:dyDescent="0.25">
      <c r="A576" s="48">
        <v>23</v>
      </c>
      <c r="B576" s="48" t="s">
        <v>505</v>
      </c>
      <c r="C576" s="48" t="s">
        <v>510</v>
      </c>
      <c r="D576" s="48" t="s">
        <v>446</v>
      </c>
      <c r="E576" s="48" t="s">
        <v>447</v>
      </c>
      <c r="F576" s="49">
        <v>36</v>
      </c>
      <c r="G576" s="49">
        <v>40</v>
      </c>
      <c r="J576" s="49">
        <v>575</v>
      </c>
    </row>
    <row r="577" spans="1:10" s="49" customFormat="1" ht="30" x14ac:dyDescent="0.25">
      <c r="A577" s="48">
        <v>23</v>
      </c>
      <c r="B577" s="48" t="s">
        <v>505</v>
      </c>
      <c r="C577" s="48" t="s">
        <v>510</v>
      </c>
      <c r="D577" s="48" t="s">
        <v>446</v>
      </c>
      <c r="E577" s="48" t="s">
        <v>447</v>
      </c>
      <c r="F577" s="49">
        <v>37</v>
      </c>
      <c r="G577" s="49">
        <v>23</v>
      </c>
      <c r="J577" s="49">
        <v>576</v>
      </c>
    </row>
    <row r="578" spans="1:10" s="49" customFormat="1" ht="30" x14ac:dyDescent="0.25">
      <c r="A578" s="48">
        <v>23</v>
      </c>
      <c r="B578" s="48" t="s">
        <v>505</v>
      </c>
      <c r="C578" s="48" t="s">
        <v>510</v>
      </c>
      <c r="D578" s="48" t="s">
        <v>446</v>
      </c>
      <c r="E578" s="48" t="s">
        <v>447</v>
      </c>
      <c r="F578" s="49">
        <v>38</v>
      </c>
      <c r="G578" s="49">
        <v>14</v>
      </c>
      <c r="J578" s="49">
        <v>577</v>
      </c>
    </row>
    <row r="579" spans="1:10" s="49" customFormat="1" ht="30" x14ac:dyDescent="0.25">
      <c r="A579" s="48">
        <v>23</v>
      </c>
      <c r="B579" s="48" t="s">
        <v>505</v>
      </c>
      <c r="C579" s="48" t="s">
        <v>510</v>
      </c>
      <c r="D579" s="48" t="s">
        <v>446</v>
      </c>
      <c r="E579" s="48" t="s">
        <v>447</v>
      </c>
      <c r="F579" s="49">
        <v>39</v>
      </c>
      <c r="G579" s="49">
        <v>18</v>
      </c>
      <c r="J579" s="49">
        <v>578</v>
      </c>
    </row>
    <row r="580" spans="1:10" s="49" customFormat="1" ht="30" x14ac:dyDescent="0.25">
      <c r="A580" s="48">
        <v>23</v>
      </c>
      <c r="B580" s="48" t="s">
        <v>505</v>
      </c>
      <c r="C580" s="48" t="s">
        <v>510</v>
      </c>
      <c r="D580" s="48" t="s">
        <v>446</v>
      </c>
      <c r="E580" s="48" t="s">
        <v>447</v>
      </c>
      <c r="F580" s="49">
        <v>40</v>
      </c>
      <c r="G580" s="49">
        <v>14</v>
      </c>
      <c r="J580" s="49">
        <v>579</v>
      </c>
    </row>
    <row r="581" spans="1:10" s="49" customFormat="1" ht="30" x14ac:dyDescent="0.25">
      <c r="A581" s="48">
        <v>23</v>
      </c>
      <c r="B581" s="48" t="s">
        <v>505</v>
      </c>
      <c r="C581" s="48" t="s">
        <v>510</v>
      </c>
      <c r="D581" s="48" t="s">
        <v>446</v>
      </c>
      <c r="E581" s="48" t="s">
        <v>447</v>
      </c>
      <c r="F581" s="49">
        <v>41</v>
      </c>
      <c r="G581" s="49">
        <v>12</v>
      </c>
      <c r="J581" s="49">
        <v>580</v>
      </c>
    </row>
    <row r="582" spans="1:10" s="49" customFormat="1" ht="30" x14ac:dyDescent="0.25">
      <c r="A582" s="48">
        <v>23</v>
      </c>
      <c r="B582" s="48" t="s">
        <v>505</v>
      </c>
      <c r="C582" s="48" t="s">
        <v>510</v>
      </c>
      <c r="D582" s="48" t="s">
        <v>446</v>
      </c>
      <c r="E582" s="48" t="s">
        <v>447</v>
      </c>
      <c r="F582" s="49">
        <v>42</v>
      </c>
      <c r="G582" s="49">
        <v>5</v>
      </c>
      <c r="J582" s="49">
        <v>581</v>
      </c>
    </row>
    <row r="583" spans="1:10" s="49" customFormat="1" ht="30" x14ac:dyDescent="0.25">
      <c r="A583" s="48">
        <v>23</v>
      </c>
      <c r="B583" s="48" t="s">
        <v>505</v>
      </c>
      <c r="C583" s="48" t="s">
        <v>510</v>
      </c>
      <c r="D583" s="48" t="s">
        <v>446</v>
      </c>
      <c r="E583" s="48" t="s">
        <v>447</v>
      </c>
      <c r="F583" s="49">
        <v>43</v>
      </c>
      <c r="G583" s="49">
        <v>27</v>
      </c>
      <c r="J583" s="49">
        <v>582</v>
      </c>
    </row>
    <row r="584" spans="1:10" s="49" customFormat="1" ht="30" x14ac:dyDescent="0.25">
      <c r="A584" s="48">
        <v>23</v>
      </c>
      <c r="B584" s="48" t="s">
        <v>505</v>
      </c>
      <c r="C584" s="48" t="s">
        <v>510</v>
      </c>
      <c r="D584" s="48" t="s">
        <v>446</v>
      </c>
      <c r="E584" s="48" t="s">
        <v>447</v>
      </c>
      <c r="F584" s="49">
        <v>44</v>
      </c>
      <c r="G584" s="49">
        <v>18</v>
      </c>
      <c r="J584" s="49">
        <v>583</v>
      </c>
    </row>
    <row r="585" spans="1:10" s="49" customFormat="1" ht="30" x14ac:dyDescent="0.25">
      <c r="A585" s="48">
        <v>23</v>
      </c>
      <c r="B585" s="48" t="s">
        <v>505</v>
      </c>
      <c r="C585" s="48" t="s">
        <v>510</v>
      </c>
      <c r="D585" s="48" t="s">
        <v>446</v>
      </c>
      <c r="E585" s="48" t="s">
        <v>447</v>
      </c>
      <c r="F585" s="49">
        <v>45</v>
      </c>
      <c r="G585" s="49">
        <v>12</v>
      </c>
      <c r="J585" s="49">
        <v>584</v>
      </c>
    </row>
    <row r="586" spans="1:10" s="49" customFormat="1" ht="30" x14ac:dyDescent="0.25">
      <c r="A586" s="48">
        <v>23</v>
      </c>
      <c r="B586" s="48" t="s">
        <v>505</v>
      </c>
      <c r="C586" s="48" t="s">
        <v>510</v>
      </c>
      <c r="D586" s="48" t="s">
        <v>446</v>
      </c>
      <c r="E586" s="48" t="s">
        <v>447</v>
      </c>
      <c r="F586" s="49">
        <v>46</v>
      </c>
      <c r="G586" s="49">
        <v>10</v>
      </c>
      <c r="J586" s="49">
        <v>585</v>
      </c>
    </row>
    <row r="587" spans="1:10" s="49" customFormat="1" ht="30" x14ac:dyDescent="0.25">
      <c r="A587" s="48">
        <v>23</v>
      </c>
      <c r="B587" s="48" t="s">
        <v>505</v>
      </c>
      <c r="C587" s="48" t="s">
        <v>510</v>
      </c>
      <c r="D587" s="48" t="s">
        <v>446</v>
      </c>
      <c r="E587" s="48" t="s">
        <v>447</v>
      </c>
      <c r="F587" s="49">
        <v>47</v>
      </c>
      <c r="G587" s="49">
        <v>15</v>
      </c>
      <c r="J587" s="49">
        <v>586</v>
      </c>
    </row>
    <row r="588" spans="1:10" s="49" customFormat="1" ht="30" x14ac:dyDescent="0.25">
      <c r="A588" s="48">
        <v>23</v>
      </c>
      <c r="B588" s="48" t="s">
        <v>505</v>
      </c>
      <c r="C588" s="48" t="s">
        <v>510</v>
      </c>
      <c r="D588" s="48" t="s">
        <v>446</v>
      </c>
      <c r="E588" s="48" t="s">
        <v>447</v>
      </c>
      <c r="F588" s="49">
        <v>48</v>
      </c>
      <c r="G588" s="49">
        <v>21</v>
      </c>
      <c r="J588" s="49">
        <v>587</v>
      </c>
    </row>
    <row r="589" spans="1:10" s="49" customFormat="1" ht="30" x14ac:dyDescent="0.25">
      <c r="A589" s="48">
        <v>23</v>
      </c>
      <c r="B589" s="48" t="s">
        <v>505</v>
      </c>
      <c r="C589" s="48" t="s">
        <v>510</v>
      </c>
      <c r="D589" s="48" t="s">
        <v>446</v>
      </c>
      <c r="E589" s="48" t="s">
        <v>447</v>
      </c>
      <c r="F589" s="49">
        <v>49</v>
      </c>
      <c r="G589" s="49">
        <v>23</v>
      </c>
      <c r="J589" s="49">
        <v>588</v>
      </c>
    </row>
    <row r="590" spans="1:10" s="49" customFormat="1" ht="30" x14ac:dyDescent="0.25">
      <c r="A590" s="48">
        <v>23</v>
      </c>
      <c r="B590" s="48" t="s">
        <v>505</v>
      </c>
      <c r="C590" s="48" t="s">
        <v>510</v>
      </c>
      <c r="D590" s="48" t="s">
        <v>446</v>
      </c>
      <c r="E590" s="48" t="s">
        <v>447</v>
      </c>
      <c r="F590" s="49">
        <v>50</v>
      </c>
      <c r="G590" s="49">
        <v>21</v>
      </c>
      <c r="J590" s="49">
        <v>589</v>
      </c>
    </row>
    <row r="591" spans="1:10" s="49" customFormat="1" ht="30" x14ac:dyDescent="0.25">
      <c r="A591" s="48">
        <v>23</v>
      </c>
      <c r="B591" s="48" t="s">
        <v>505</v>
      </c>
      <c r="C591" s="48" t="s">
        <v>510</v>
      </c>
      <c r="D591" s="48" t="s">
        <v>446</v>
      </c>
      <c r="E591" s="48" t="s">
        <v>447</v>
      </c>
      <c r="F591" s="49">
        <v>51</v>
      </c>
      <c r="G591" s="49">
        <v>11</v>
      </c>
      <c r="J591" s="49">
        <v>590</v>
      </c>
    </row>
    <row r="592" spans="1:10" s="49" customFormat="1" ht="30" x14ac:dyDescent="0.25">
      <c r="A592" s="48">
        <v>23</v>
      </c>
      <c r="B592" s="48" t="s">
        <v>505</v>
      </c>
      <c r="C592" s="48" t="s">
        <v>510</v>
      </c>
      <c r="D592" s="48" t="s">
        <v>446</v>
      </c>
      <c r="E592" s="48" t="s">
        <v>447</v>
      </c>
      <c r="F592" s="49">
        <v>52</v>
      </c>
      <c r="G592" s="49">
        <v>7</v>
      </c>
      <c r="J592" s="49">
        <v>591</v>
      </c>
    </row>
    <row r="593" spans="1:10" s="49" customFormat="1" ht="30" x14ac:dyDescent="0.25">
      <c r="A593" s="48">
        <v>23</v>
      </c>
      <c r="B593" s="48" t="s">
        <v>505</v>
      </c>
      <c r="C593" s="48" t="s">
        <v>510</v>
      </c>
      <c r="D593" s="48" t="s">
        <v>446</v>
      </c>
      <c r="E593" s="48" t="s">
        <v>447</v>
      </c>
      <c r="F593" s="49">
        <v>53</v>
      </c>
      <c r="G593" s="49">
        <v>9</v>
      </c>
      <c r="J593" s="49">
        <v>592</v>
      </c>
    </row>
    <row r="594" spans="1:10" s="49" customFormat="1" ht="30" x14ac:dyDescent="0.25">
      <c r="A594" s="48">
        <v>23</v>
      </c>
      <c r="B594" s="48" t="s">
        <v>505</v>
      </c>
      <c r="C594" s="48" t="s">
        <v>510</v>
      </c>
      <c r="D594" s="48" t="s">
        <v>446</v>
      </c>
      <c r="E594" s="48" t="s">
        <v>447</v>
      </c>
      <c r="F594" s="49">
        <v>54</v>
      </c>
      <c r="G594" s="49">
        <v>24</v>
      </c>
      <c r="J594" s="49">
        <v>593</v>
      </c>
    </row>
    <row r="595" spans="1:10" s="49" customFormat="1" ht="30" x14ac:dyDescent="0.25">
      <c r="A595" s="48">
        <v>23</v>
      </c>
      <c r="B595" s="48" t="s">
        <v>505</v>
      </c>
      <c r="C595" s="48" t="s">
        <v>510</v>
      </c>
      <c r="D595" s="48" t="s">
        <v>446</v>
      </c>
      <c r="E595" s="48" t="s">
        <v>447</v>
      </c>
      <c r="F595" s="49">
        <v>55</v>
      </c>
      <c r="G595" s="49">
        <v>14</v>
      </c>
      <c r="J595" s="49">
        <v>594</v>
      </c>
    </row>
    <row r="596" spans="1:10" s="49" customFormat="1" ht="30" x14ac:dyDescent="0.25">
      <c r="A596" s="48">
        <v>23</v>
      </c>
      <c r="B596" s="48" t="s">
        <v>505</v>
      </c>
      <c r="C596" s="48" t="s">
        <v>510</v>
      </c>
      <c r="D596" s="48" t="s">
        <v>446</v>
      </c>
      <c r="E596" s="48" t="s">
        <v>447</v>
      </c>
      <c r="F596" s="49">
        <v>56</v>
      </c>
      <c r="G596" s="49">
        <v>12</v>
      </c>
      <c r="J596" s="49">
        <v>595</v>
      </c>
    </row>
    <row r="597" spans="1:10" s="49" customFormat="1" ht="30" x14ac:dyDescent="0.25">
      <c r="A597" s="48">
        <v>23</v>
      </c>
      <c r="B597" s="48" t="s">
        <v>505</v>
      </c>
      <c r="C597" s="48" t="s">
        <v>510</v>
      </c>
      <c r="D597" s="48" t="s">
        <v>446</v>
      </c>
      <c r="E597" s="48" t="s">
        <v>447</v>
      </c>
      <c r="F597" s="49">
        <v>57</v>
      </c>
      <c r="G597" s="49">
        <v>12</v>
      </c>
      <c r="J597" s="49">
        <v>596</v>
      </c>
    </row>
    <row r="598" spans="1:10" s="49" customFormat="1" ht="30" x14ac:dyDescent="0.25">
      <c r="A598" s="48">
        <v>23</v>
      </c>
      <c r="B598" s="48" t="s">
        <v>505</v>
      </c>
      <c r="C598" s="48" t="s">
        <v>510</v>
      </c>
      <c r="D598" s="48" t="s">
        <v>446</v>
      </c>
      <c r="E598" s="48" t="s">
        <v>447</v>
      </c>
      <c r="F598" s="49">
        <v>58</v>
      </c>
      <c r="G598" s="49">
        <v>18</v>
      </c>
      <c r="J598" s="49">
        <v>597</v>
      </c>
    </row>
    <row r="599" spans="1:10" s="49" customFormat="1" ht="30" x14ac:dyDescent="0.25">
      <c r="A599" s="48">
        <v>23</v>
      </c>
      <c r="B599" s="48" t="s">
        <v>505</v>
      </c>
      <c r="C599" s="48" t="s">
        <v>510</v>
      </c>
      <c r="D599" s="48" t="s">
        <v>446</v>
      </c>
      <c r="E599" s="48" t="s">
        <v>447</v>
      </c>
      <c r="F599" s="49">
        <v>59</v>
      </c>
      <c r="G599" s="49">
        <v>14</v>
      </c>
      <c r="J599" s="49">
        <v>598</v>
      </c>
    </row>
    <row r="600" spans="1:10" s="49" customFormat="1" ht="30" x14ac:dyDescent="0.25">
      <c r="A600" s="48">
        <v>23</v>
      </c>
      <c r="B600" s="48" t="s">
        <v>505</v>
      </c>
      <c r="C600" s="48" t="s">
        <v>510</v>
      </c>
      <c r="D600" s="48" t="s">
        <v>446</v>
      </c>
      <c r="E600" s="48" t="s">
        <v>447</v>
      </c>
      <c r="F600" s="49">
        <v>60</v>
      </c>
      <c r="G600" s="49">
        <v>9</v>
      </c>
      <c r="J600" s="49">
        <v>599</v>
      </c>
    </row>
    <row r="601" spans="1:10" s="49" customFormat="1" ht="30" x14ac:dyDescent="0.25">
      <c r="A601" s="48">
        <v>23</v>
      </c>
      <c r="B601" s="48" t="s">
        <v>505</v>
      </c>
      <c r="C601" s="48" t="s">
        <v>510</v>
      </c>
      <c r="D601" s="48" t="s">
        <v>446</v>
      </c>
      <c r="E601" s="48" t="s">
        <v>447</v>
      </c>
      <c r="F601" s="49">
        <v>61</v>
      </c>
      <c r="G601" s="49">
        <v>13</v>
      </c>
      <c r="J601" s="49">
        <v>600</v>
      </c>
    </row>
    <row r="602" spans="1:10" s="49" customFormat="1" ht="30" x14ac:dyDescent="0.25">
      <c r="A602" s="48">
        <v>23</v>
      </c>
      <c r="B602" s="48" t="s">
        <v>505</v>
      </c>
      <c r="C602" s="48" t="s">
        <v>510</v>
      </c>
      <c r="D602" s="48" t="s">
        <v>446</v>
      </c>
      <c r="E602" s="48" t="s">
        <v>447</v>
      </c>
      <c r="F602" s="49">
        <v>62</v>
      </c>
      <c r="G602" s="49">
        <v>12</v>
      </c>
      <c r="J602" s="49">
        <v>601</v>
      </c>
    </row>
    <row r="603" spans="1:10" s="49" customFormat="1" ht="30" x14ac:dyDescent="0.25">
      <c r="A603" s="48">
        <v>23</v>
      </c>
      <c r="B603" s="48" t="s">
        <v>505</v>
      </c>
      <c r="C603" s="48" t="s">
        <v>510</v>
      </c>
      <c r="D603" s="48" t="s">
        <v>446</v>
      </c>
      <c r="E603" s="48" t="s">
        <v>447</v>
      </c>
      <c r="F603" s="49">
        <v>63</v>
      </c>
      <c r="G603" s="49">
        <v>11</v>
      </c>
      <c r="J603" s="49">
        <v>602</v>
      </c>
    </row>
    <row r="604" spans="1:10" s="49" customFormat="1" ht="30" x14ac:dyDescent="0.25">
      <c r="A604" s="48">
        <v>23</v>
      </c>
      <c r="B604" s="48" t="s">
        <v>505</v>
      </c>
      <c r="C604" s="48" t="s">
        <v>510</v>
      </c>
      <c r="D604" s="48" t="s">
        <v>446</v>
      </c>
      <c r="E604" s="48" t="s">
        <v>447</v>
      </c>
      <c r="F604" s="49">
        <v>64</v>
      </c>
      <c r="G604" s="49">
        <v>14</v>
      </c>
      <c r="J604" s="49">
        <v>603</v>
      </c>
    </row>
    <row r="605" spans="1:10" s="49" customFormat="1" ht="30" x14ac:dyDescent="0.25">
      <c r="A605" s="48">
        <v>23</v>
      </c>
      <c r="B605" s="48" t="s">
        <v>505</v>
      </c>
      <c r="C605" s="48" t="s">
        <v>510</v>
      </c>
      <c r="D605" s="48" t="s">
        <v>446</v>
      </c>
      <c r="E605" s="48" t="s">
        <v>447</v>
      </c>
      <c r="F605" s="49">
        <v>65</v>
      </c>
      <c r="G605" s="49">
        <v>20</v>
      </c>
      <c r="J605" s="49">
        <v>604</v>
      </c>
    </row>
    <row r="606" spans="1:10" s="49" customFormat="1" ht="30" x14ac:dyDescent="0.25">
      <c r="A606" s="48">
        <v>23</v>
      </c>
      <c r="B606" s="48" t="s">
        <v>505</v>
      </c>
      <c r="C606" s="48" t="s">
        <v>510</v>
      </c>
      <c r="D606" s="48" t="s">
        <v>446</v>
      </c>
      <c r="E606" s="48" t="s">
        <v>447</v>
      </c>
      <c r="F606" s="49">
        <v>66</v>
      </c>
      <c r="G606" s="49">
        <v>8</v>
      </c>
      <c r="J606" s="49">
        <v>605</v>
      </c>
    </row>
    <row r="607" spans="1:10" s="49" customFormat="1" ht="30" x14ac:dyDescent="0.25">
      <c r="A607" s="48">
        <v>23</v>
      </c>
      <c r="B607" s="48" t="s">
        <v>505</v>
      </c>
      <c r="C607" s="48" t="s">
        <v>510</v>
      </c>
      <c r="D607" s="48" t="s">
        <v>446</v>
      </c>
      <c r="E607" s="48" t="s">
        <v>447</v>
      </c>
      <c r="F607" s="49">
        <v>67</v>
      </c>
      <c r="G607" s="49">
        <v>36</v>
      </c>
      <c r="J607" s="49">
        <v>606</v>
      </c>
    </row>
    <row r="608" spans="1:10" s="49" customFormat="1" ht="30" x14ac:dyDescent="0.25">
      <c r="A608" s="48">
        <v>23</v>
      </c>
      <c r="B608" s="48" t="s">
        <v>505</v>
      </c>
      <c r="C608" s="48" t="s">
        <v>510</v>
      </c>
      <c r="D608" s="48" t="s">
        <v>446</v>
      </c>
      <c r="E608" s="48" t="s">
        <v>447</v>
      </c>
      <c r="F608" s="49">
        <v>68</v>
      </c>
      <c r="G608" s="49">
        <v>37</v>
      </c>
      <c r="J608" s="49">
        <v>607</v>
      </c>
    </row>
    <row r="609" spans="1:10" s="49" customFormat="1" ht="30" x14ac:dyDescent="0.25">
      <c r="A609" s="48">
        <v>23</v>
      </c>
      <c r="B609" s="48" t="s">
        <v>505</v>
      </c>
      <c r="C609" s="48" t="s">
        <v>510</v>
      </c>
      <c r="D609" s="48" t="s">
        <v>446</v>
      </c>
      <c r="E609" s="48" t="s">
        <v>447</v>
      </c>
      <c r="F609" s="49">
        <v>69</v>
      </c>
      <c r="G609" s="49">
        <v>6</v>
      </c>
      <c r="J609" s="49">
        <v>608</v>
      </c>
    </row>
    <row r="610" spans="1:10" s="49" customFormat="1" ht="30" x14ac:dyDescent="0.25">
      <c r="A610" s="48">
        <v>23</v>
      </c>
      <c r="B610" s="48" t="s">
        <v>505</v>
      </c>
      <c r="C610" s="48" t="s">
        <v>510</v>
      </c>
      <c r="D610" s="48" t="s">
        <v>446</v>
      </c>
      <c r="E610" s="48" t="s">
        <v>447</v>
      </c>
      <c r="F610" s="49">
        <v>70</v>
      </c>
      <c r="G610" s="49">
        <v>24</v>
      </c>
      <c r="J610" s="49">
        <v>609</v>
      </c>
    </row>
    <row r="611" spans="1:10" s="49" customFormat="1" ht="30" x14ac:dyDescent="0.25">
      <c r="A611" s="48">
        <v>23</v>
      </c>
      <c r="B611" s="48" t="s">
        <v>505</v>
      </c>
      <c r="C611" s="48" t="s">
        <v>510</v>
      </c>
      <c r="D611" s="48" t="s">
        <v>446</v>
      </c>
      <c r="E611" s="48" t="s">
        <v>447</v>
      </c>
      <c r="F611" s="49">
        <v>71</v>
      </c>
      <c r="G611" s="49">
        <v>19</v>
      </c>
      <c r="J611" s="49">
        <v>610</v>
      </c>
    </row>
    <row r="612" spans="1:10" s="49" customFormat="1" ht="30" x14ac:dyDescent="0.25">
      <c r="A612" s="48">
        <v>23</v>
      </c>
      <c r="B612" s="48" t="s">
        <v>505</v>
      </c>
      <c r="C612" s="48" t="s">
        <v>510</v>
      </c>
      <c r="D612" s="48" t="s">
        <v>446</v>
      </c>
      <c r="E612" s="48" t="s">
        <v>447</v>
      </c>
      <c r="F612" s="49">
        <v>72</v>
      </c>
      <c r="G612" s="49">
        <v>28</v>
      </c>
      <c r="J612" s="49">
        <v>611</v>
      </c>
    </row>
    <row r="613" spans="1:10" s="49" customFormat="1" ht="30" x14ac:dyDescent="0.25">
      <c r="A613" s="48">
        <v>23</v>
      </c>
      <c r="B613" s="48" t="s">
        <v>505</v>
      </c>
      <c r="C613" s="48" t="s">
        <v>510</v>
      </c>
      <c r="D613" s="48" t="s">
        <v>446</v>
      </c>
      <c r="E613" s="48" t="s">
        <v>447</v>
      </c>
      <c r="F613" s="49">
        <v>73</v>
      </c>
      <c r="G613" s="49">
        <v>23</v>
      </c>
      <c r="J613" s="49">
        <v>612</v>
      </c>
    </row>
    <row r="614" spans="1:10" s="49" customFormat="1" ht="30" x14ac:dyDescent="0.25">
      <c r="A614" s="48">
        <v>23</v>
      </c>
      <c r="B614" s="48" t="s">
        <v>505</v>
      </c>
      <c r="C614" s="48" t="s">
        <v>510</v>
      </c>
      <c r="D614" s="48" t="s">
        <v>446</v>
      </c>
      <c r="E614" s="48" t="s">
        <v>447</v>
      </c>
      <c r="F614" s="49">
        <v>74</v>
      </c>
      <c r="G614" s="49">
        <v>11</v>
      </c>
      <c r="J614" s="49">
        <v>613</v>
      </c>
    </row>
    <row r="615" spans="1:10" s="49" customFormat="1" ht="30" x14ac:dyDescent="0.25">
      <c r="A615" s="48">
        <v>23</v>
      </c>
      <c r="B615" s="48" t="s">
        <v>505</v>
      </c>
      <c r="C615" s="48" t="s">
        <v>510</v>
      </c>
      <c r="D615" s="48" t="s">
        <v>446</v>
      </c>
      <c r="E615" s="48" t="s">
        <v>447</v>
      </c>
      <c r="F615" s="49">
        <v>75</v>
      </c>
      <c r="G615" s="49">
        <v>13</v>
      </c>
      <c r="J615" s="49">
        <v>614</v>
      </c>
    </row>
    <row r="616" spans="1:10" s="49" customFormat="1" ht="30" x14ac:dyDescent="0.25">
      <c r="A616" s="48">
        <v>23</v>
      </c>
      <c r="B616" s="48" t="s">
        <v>505</v>
      </c>
      <c r="C616" s="48" t="s">
        <v>510</v>
      </c>
      <c r="D616" s="48" t="s">
        <v>446</v>
      </c>
      <c r="E616" s="48" t="s">
        <v>447</v>
      </c>
      <c r="F616" s="49">
        <v>76</v>
      </c>
      <c r="G616" s="49">
        <v>21</v>
      </c>
      <c r="J616" s="49">
        <v>615</v>
      </c>
    </row>
    <row r="617" spans="1:10" s="49" customFormat="1" ht="30" x14ac:dyDescent="0.25">
      <c r="A617" s="48">
        <v>23</v>
      </c>
      <c r="B617" s="48" t="s">
        <v>505</v>
      </c>
      <c r="C617" s="48" t="s">
        <v>510</v>
      </c>
      <c r="D617" s="48" t="s">
        <v>446</v>
      </c>
      <c r="E617" s="48" t="s">
        <v>447</v>
      </c>
      <c r="F617" s="49">
        <v>77</v>
      </c>
      <c r="G617" s="49">
        <v>72</v>
      </c>
      <c r="J617" s="49">
        <v>616</v>
      </c>
    </row>
    <row r="618" spans="1:10" s="49" customFormat="1" ht="30" x14ac:dyDescent="0.25">
      <c r="A618" s="48">
        <v>23</v>
      </c>
      <c r="B618" s="48" t="s">
        <v>505</v>
      </c>
      <c r="C618" s="48" t="s">
        <v>510</v>
      </c>
      <c r="D618" s="48" t="s">
        <v>446</v>
      </c>
      <c r="E618" s="48" t="s">
        <v>447</v>
      </c>
      <c r="F618" s="49">
        <v>78</v>
      </c>
      <c r="G618" s="49">
        <v>13</v>
      </c>
      <c r="J618" s="49">
        <v>617</v>
      </c>
    </row>
    <row r="619" spans="1:10" s="49" customFormat="1" ht="30" x14ac:dyDescent="0.25">
      <c r="A619" s="48">
        <v>23</v>
      </c>
      <c r="B619" s="48" t="s">
        <v>505</v>
      </c>
      <c r="C619" s="48" t="s">
        <v>510</v>
      </c>
      <c r="D619" s="48" t="s">
        <v>446</v>
      </c>
      <c r="E619" s="48" t="s">
        <v>447</v>
      </c>
      <c r="F619" s="49">
        <v>79</v>
      </c>
      <c r="G619" s="49">
        <v>20</v>
      </c>
      <c r="J619" s="49">
        <v>618</v>
      </c>
    </row>
    <row r="620" spans="1:10" s="49" customFormat="1" ht="30" x14ac:dyDescent="0.25">
      <c r="A620" s="48">
        <v>23</v>
      </c>
      <c r="B620" s="48" t="s">
        <v>505</v>
      </c>
      <c r="C620" s="48" t="s">
        <v>510</v>
      </c>
      <c r="D620" s="48" t="s">
        <v>446</v>
      </c>
      <c r="E620" s="48" t="s">
        <v>447</v>
      </c>
      <c r="F620" s="49">
        <v>80</v>
      </c>
      <c r="G620" s="49">
        <v>17</v>
      </c>
      <c r="J620" s="49">
        <v>619</v>
      </c>
    </row>
    <row r="621" spans="1:10" s="49" customFormat="1" ht="30" x14ac:dyDescent="0.25">
      <c r="A621" s="48">
        <v>23</v>
      </c>
      <c r="B621" s="48" t="s">
        <v>505</v>
      </c>
      <c r="C621" s="48" t="s">
        <v>510</v>
      </c>
      <c r="D621" s="48" t="s">
        <v>446</v>
      </c>
      <c r="E621" s="48" t="s">
        <v>447</v>
      </c>
      <c r="F621" s="49">
        <v>81</v>
      </c>
      <c r="G621" s="49">
        <v>8</v>
      </c>
      <c r="J621" s="49">
        <v>620</v>
      </c>
    </row>
    <row r="622" spans="1:10" s="49" customFormat="1" ht="30" x14ac:dyDescent="0.25">
      <c r="A622" s="48">
        <v>23</v>
      </c>
      <c r="B622" s="48" t="s">
        <v>505</v>
      </c>
      <c r="C622" s="48" t="s">
        <v>510</v>
      </c>
      <c r="D622" s="48" t="s">
        <v>446</v>
      </c>
      <c r="E622" s="48" t="s">
        <v>447</v>
      </c>
      <c r="F622" s="49">
        <v>82</v>
      </c>
      <c r="G622" s="49">
        <v>19</v>
      </c>
      <c r="J622" s="49">
        <v>621</v>
      </c>
    </row>
    <row r="623" spans="1:10" s="49" customFormat="1" ht="30" x14ac:dyDescent="0.25">
      <c r="A623" s="48">
        <v>23</v>
      </c>
      <c r="B623" s="48" t="s">
        <v>505</v>
      </c>
      <c r="C623" s="48" t="s">
        <v>510</v>
      </c>
      <c r="D623" s="48" t="s">
        <v>446</v>
      </c>
      <c r="E623" s="48" t="s">
        <v>447</v>
      </c>
      <c r="F623" s="49">
        <v>83</v>
      </c>
      <c r="G623" s="49">
        <v>13</v>
      </c>
      <c r="J623" s="49">
        <v>622</v>
      </c>
    </row>
    <row r="624" spans="1:10" s="49" customFormat="1" ht="30" x14ac:dyDescent="0.25">
      <c r="A624" s="48">
        <v>23</v>
      </c>
      <c r="B624" s="48" t="s">
        <v>505</v>
      </c>
      <c r="C624" s="48" t="s">
        <v>510</v>
      </c>
      <c r="D624" s="48" t="s">
        <v>446</v>
      </c>
      <c r="E624" s="48" t="s">
        <v>447</v>
      </c>
      <c r="F624" s="49">
        <v>84</v>
      </c>
      <c r="G624" s="49">
        <v>14</v>
      </c>
      <c r="J624" s="49">
        <v>623</v>
      </c>
    </row>
    <row r="625" spans="1:10" s="49" customFormat="1" ht="30" x14ac:dyDescent="0.25">
      <c r="A625" s="48">
        <v>23</v>
      </c>
      <c r="B625" s="48" t="s">
        <v>505</v>
      </c>
      <c r="C625" s="48" t="s">
        <v>510</v>
      </c>
      <c r="D625" s="48" t="s">
        <v>446</v>
      </c>
      <c r="E625" s="48" t="s">
        <v>447</v>
      </c>
      <c r="F625" s="49">
        <v>85</v>
      </c>
      <c r="G625" s="49">
        <v>17</v>
      </c>
      <c r="J625" s="49">
        <v>624</v>
      </c>
    </row>
    <row r="626" spans="1:10" s="49" customFormat="1" ht="30" x14ac:dyDescent="0.25">
      <c r="A626" s="48">
        <v>23</v>
      </c>
      <c r="B626" s="48" t="s">
        <v>505</v>
      </c>
      <c r="C626" s="48" t="s">
        <v>510</v>
      </c>
      <c r="D626" s="48" t="s">
        <v>446</v>
      </c>
      <c r="E626" s="48" t="s">
        <v>447</v>
      </c>
      <c r="F626" s="49">
        <v>86</v>
      </c>
      <c r="G626" s="49">
        <v>7</v>
      </c>
      <c r="J626" s="49">
        <v>625</v>
      </c>
    </row>
    <row r="627" spans="1:10" s="49" customFormat="1" ht="30" x14ac:dyDescent="0.25">
      <c r="A627" s="48">
        <v>23</v>
      </c>
      <c r="B627" s="48" t="s">
        <v>505</v>
      </c>
      <c r="C627" s="48" t="s">
        <v>510</v>
      </c>
      <c r="D627" s="48" t="s">
        <v>446</v>
      </c>
      <c r="E627" s="48" t="s">
        <v>447</v>
      </c>
      <c r="F627" s="49">
        <v>87</v>
      </c>
      <c r="G627" s="49">
        <v>19</v>
      </c>
      <c r="J627" s="49">
        <v>626</v>
      </c>
    </row>
    <row r="628" spans="1:10" s="49" customFormat="1" ht="30" x14ac:dyDescent="0.25">
      <c r="A628" s="48">
        <v>23</v>
      </c>
      <c r="B628" s="48" t="s">
        <v>505</v>
      </c>
      <c r="C628" s="48" t="s">
        <v>510</v>
      </c>
      <c r="D628" s="48" t="s">
        <v>446</v>
      </c>
      <c r="E628" s="48" t="s">
        <v>447</v>
      </c>
      <c r="F628" s="49">
        <v>88</v>
      </c>
      <c r="G628" s="49">
        <v>53</v>
      </c>
      <c r="J628" s="49">
        <v>627</v>
      </c>
    </row>
    <row r="629" spans="1:10" s="49" customFormat="1" ht="30" x14ac:dyDescent="0.25">
      <c r="A629" s="48">
        <v>23</v>
      </c>
      <c r="B629" s="48" t="s">
        <v>505</v>
      </c>
      <c r="C629" s="48" t="s">
        <v>510</v>
      </c>
      <c r="D629" s="48" t="s">
        <v>446</v>
      </c>
      <c r="E629" s="48" t="s">
        <v>447</v>
      </c>
      <c r="F629" s="49">
        <v>89</v>
      </c>
      <c r="G629" s="49">
        <v>17</v>
      </c>
      <c r="J629" s="49">
        <v>628</v>
      </c>
    </row>
    <row r="630" spans="1:10" s="49" customFormat="1" ht="30" x14ac:dyDescent="0.25">
      <c r="A630" s="48">
        <v>23</v>
      </c>
      <c r="B630" s="48" t="s">
        <v>505</v>
      </c>
      <c r="C630" s="48" t="s">
        <v>510</v>
      </c>
      <c r="D630" s="48" t="s">
        <v>446</v>
      </c>
      <c r="E630" s="48" t="s">
        <v>447</v>
      </c>
      <c r="F630" s="49">
        <v>90</v>
      </c>
      <c r="G630" s="49">
        <v>16</v>
      </c>
      <c r="J630" s="49">
        <v>629</v>
      </c>
    </row>
    <row r="631" spans="1:10" s="49" customFormat="1" ht="30" x14ac:dyDescent="0.25">
      <c r="A631" s="48">
        <v>23</v>
      </c>
      <c r="B631" s="48" t="s">
        <v>505</v>
      </c>
      <c r="C631" s="48" t="s">
        <v>510</v>
      </c>
      <c r="D631" s="48" t="s">
        <v>446</v>
      </c>
      <c r="E631" s="48" t="s">
        <v>447</v>
      </c>
      <c r="F631" s="49">
        <v>91</v>
      </c>
      <c r="G631" s="49">
        <v>16</v>
      </c>
      <c r="J631" s="49">
        <v>630</v>
      </c>
    </row>
    <row r="632" spans="1:10" s="49" customFormat="1" ht="30" x14ac:dyDescent="0.25">
      <c r="A632" s="48">
        <v>23</v>
      </c>
      <c r="B632" s="48" t="s">
        <v>505</v>
      </c>
      <c r="C632" s="48" t="s">
        <v>510</v>
      </c>
      <c r="D632" s="48" t="s">
        <v>446</v>
      </c>
      <c r="E632" s="48" t="s">
        <v>447</v>
      </c>
      <c r="F632" s="49">
        <v>92</v>
      </c>
      <c r="G632" s="49">
        <v>5</v>
      </c>
      <c r="J632" s="49">
        <v>631</v>
      </c>
    </row>
    <row r="633" spans="1:10" s="49" customFormat="1" ht="30" x14ac:dyDescent="0.25">
      <c r="A633" s="48">
        <v>23</v>
      </c>
      <c r="B633" s="48" t="s">
        <v>505</v>
      </c>
      <c r="C633" s="48" t="s">
        <v>510</v>
      </c>
      <c r="D633" s="48" t="s">
        <v>446</v>
      </c>
      <c r="E633" s="48" t="s">
        <v>447</v>
      </c>
      <c r="F633" s="49">
        <v>93</v>
      </c>
      <c r="G633" s="49">
        <v>23</v>
      </c>
      <c r="J633" s="49">
        <v>632</v>
      </c>
    </row>
    <row r="634" spans="1:10" s="49" customFormat="1" ht="30" x14ac:dyDescent="0.25">
      <c r="A634" s="48">
        <v>23</v>
      </c>
      <c r="B634" s="48" t="s">
        <v>505</v>
      </c>
      <c r="C634" s="48" t="s">
        <v>510</v>
      </c>
      <c r="D634" s="48" t="s">
        <v>446</v>
      </c>
      <c r="E634" s="48" t="s">
        <v>447</v>
      </c>
      <c r="F634" s="49">
        <v>94</v>
      </c>
      <c r="G634" s="49">
        <v>11</v>
      </c>
      <c r="J634" s="49">
        <v>633</v>
      </c>
    </row>
    <row r="635" spans="1:10" s="49" customFormat="1" ht="30" x14ac:dyDescent="0.25">
      <c r="A635" s="48">
        <v>23</v>
      </c>
      <c r="B635" s="48" t="s">
        <v>505</v>
      </c>
      <c r="C635" s="48" t="s">
        <v>510</v>
      </c>
      <c r="D635" s="48" t="s">
        <v>446</v>
      </c>
      <c r="E635" s="48" t="s">
        <v>447</v>
      </c>
      <c r="F635" s="49">
        <v>95</v>
      </c>
      <c r="G635" s="49">
        <v>13</v>
      </c>
      <c r="J635" s="49">
        <v>634</v>
      </c>
    </row>
    <row r="636" spans="1:10" s="49" customFormat="1" ht="30" x14ac:dyDescent="0.25">
      <c r="A636" s="48">
        <v>23</v>
      </c>
      <c r="B636" s="48" t="s">
        <v>505</v>
      </c>
      <c r="C636" s="48" t="s">
        <v>510</v>
      </c>
      <c r="D636" s="48" t="s">
        <v>446</v>
      </c>
      <c r="E636" s="48" t="s">
        <v>447</v>
      </c>
      <c r="F636" s="49">
        <v>96</v>
      </c>
      <c r="G636" s="49">
        <v>12</v>
      </c>
      <c r="J636" s="49">
        <v>635</v>
      </c>
    </row>
    <row r="637" spans="1:10" s="49" customFormat="1" ht="30" x14ac:dyDescent="0.25">
      <c r="A637" s="48">
        <v>23</v>
      </c>
      <c r="B637" s="48" t="s">
        <v>505</v>
      </c>
      <c r="C637" s="48" t="s">
        <v>510</v>
      </c>
      <c r="D637" s="48" t="s">
        <v>446</v>
      </c>
      <c r="E637" s="48" t="s">
        <v>447</v>
      </c>
      <c r="F637" s="49">
        <v>97</v>
      </c>
      <c r="G637" s="49">
        <v>9</v>
      </c>
      <c r="J637" s="49">
        <v>636</v>
      </c>
    </row>
    <row r="638" spans="1:10" s="49" customFormat="1" ht="30" x14ac:dyDescent="0.25">
      <c r="A638" s="48">
        <v>23</v>
      </c>
      <c r="B638" s="48" t="s">
        <v>505</v>
      </c>
      <c r="C638" s="48" t="s">
        <v>510</v>
      </c>
      <c r="D638" s="48" t="s">
        <v>446</v>
      </c>
      <c r="E638" s="48" t="s">
        <v>447</v>
      </c>
      <c r="F638" s="49">
        <v>98</v>
      </c>
      <c r="G638" s="49">
        <v>9</v>
      </c>
      <c r="J638" s="49">
        <v>637</v>
      </c>
    </row>
    <row r="639" spans="1:10" s="49" customFormat="1" ht="30" x14ac:dyDescent="0.25">
      <c r="A639" s="48">
        <v>23</v>
      </c>
      <c r="B639" s="48" t="s">
        <v>505</v>
      </c>
      <c r="C639" s="48" t="s">
        <v>510</v>
      </c>
      <c r="D639" s="48" t="s">
        <v>446</v>
      </c>
      <c r="E639" s="48" t="s">
        <v>447</v>
      </c>
      <c r="F639" s="49">
        <v>99</v>
      </c>
      <c r="G639" s="49">
        <v>5</v>
      </c>
      <c r="J639" s="49">
        <v>638</v>
      </c>
    </row>
    <row r="640" spans="1:10" s="49" customFormat="1" ht="30" x14ac:dyDescent="0.25">
      <c r="A640" s="48">
        <v>23</v>
      </c>
      <c r="B640" s="48" t="s">
        <v>505</v>
      </c>
      <c r="C640" s="48" t="s">
        <v>510</v>
      </c>
      <c r="D640" s="48" t="s">
        <v>446</v>
      </c>
      <c r="E640" s="48" t="s">
        <v>447</v>
      </c>
      <c r="F640" s="49">
        <v>100</v>
      </c>
      <c r="G640" s="49">
        <v>8</v>
      </c>
      <c r="J640" s="49">
        <v>639</v>
      </c>
    </row>
    <row r="641" spans="1:10" s="49" customFormat="1" ht="30" x14ac:dyDescent="0.25">
      <c r="A641" s="48">
        <v>23</v>
      </c>
      <c r="B641" s="48" t="s">
        <v>505</v>
      </c>
      <c r="C641" s="48" t="s">
        <v>510</v>
      </c>
      <c r="D641" s="48" t="s">
        <v>446</v>
      </c>
      <c r="E641" s="48" t="s">
        <v>447</v>
      </c>
      <c r="F641" s="49">
        <v>101</v>
      </c>
      <c r="G641" s="49">
        <v>29</v>
      </c>
      <c r="J641" s="49">
        <v>640</v>
      </c>
    </row>
    <row r="642" spans="1:10" s="49" customFormat="1" ht="30" x14ac:dyDescent="0.25">
      <c r="A642" s="48">
        <v>23</v>
      </c>
      <c r="B642" s="48" t="s">
        <v>505</v>
      </c>
      <c r="C642" s="48" t="s">
        <v>510</v>
      </c>
      <c r="D642" s="48" t="s">
        <v>446</v>
      </c>
      <c r="E642" s="48" t="s">
        <v>447</v>
      </c>
      <c r="F642" s="49">
        <v>102</v>
      </c>
      <c r="G642" s="49">
        <v>22</v>
      </c>
      <c r="J642" s="49">
        <v>641</v>
      </c>
    </row>
    <row r="643" spans="1:10" s="49" customFormat="1" ht="30" x14ac:dyDescent="0.25">
      <c r="A643" s="48">
        <v>23</v>
      </c>
      <c r="B643" s="48" t="s">
        <v>505</v>
      </c>
      <c r="C643" s="48" t="s">
        <v>510</v>
      </c>
      <c r="D643" s="48" t="s">
        <v>446</v>
      </c>
      <c r="E643" s="48" t="s">
        <v>447</v>
      </c>
      <c r="F643" s="49">
        <v>103</v>
      </c>
      <c r="G643" s="49">
        <v>35</v>
      </c>
      <c r="J643" s="49">
        <v>642</v>
      </c>
    </row>
    <row r="644" spans="1:10" s="49" customFormat="1" ht="30" x14ac:dyDescent="0.25">
      <c r="A644" s="48">
        <v>23</v>
      </c>
      <c r="B644" s="48" t="s">
        <v>505</v>
      </c>
      <c r="C644" s="48" t="s">
        <v>510</v>
      </c>
      <c r="D644" s="48" t="s">
        <v>446</v>
      </c>
      <c r="E644" s="48" t="s">
        <v>447</v>
      </c>
      <c r="F644" s="49">
        <v>104</v>
      </c>
      <c r="G644" s="49">
        <v>45</v>
      </c>
      <c r="J644" s="49">
        <v>643</v>
      </c>
    </row>
    <row r="645" spans="1:10" s="49" customFormat="1" ht="30" x14ac:dyDescent="0.25">
      <c r="A645" s="48">
        <v>23</v>
      </c>
      <c r="B645" s="48" t="s">
        <v>505</v>
      </c>
      <c r="C645" s="48" t="s">
        <v>510</v>
      </c>
      <c r="D645" s="48" t="s">
        <v>446</v>
      </c>
      <c r="E645" s="48" t="s">
        <v>447</v>
      </c>
      <c r="F645" s="49">
        <v>105</v>
      </c>
      <c r="G645" s="49">
        <v>48</v>
      </c>
      <c r="J645" s="49">
        <v>644</v>
      </c>
    </row>
    <row r="646" spans="1:10" s="49" customFormat="1" ht="30" x14ac:dyDescent="0.25">
      <c r="A646" s="48">
        <v>23</v>
      </c>
      <c r="B646" s="48" t="s">
        <v>505</v>
      </c>
      <c r="C646" s="48" t="s">
        <v>510</v>
      </c>
      <c r="D646" s="48" t="s">
        <v>446</v>
      </c>
      <c r="E646" s="48" t="s">
        <v>447</v>
      </c>
      <c r="F646" s="49">
        <v>106</v>
      </c>
      <c r="G646" s="49">
        <v>43</v>
      </c>
      <c r="J646" s="49">
        <v>645</v>
      </c>
    </row>
    <row r="647" spans="1:10" s="49" customFormat="1" ht="30" x14ac:dyDescent="0.25">
      <c r="A647" s="48">
        <v>23</v>
      </c>
      <c r="B647" s="48" t="s">
        <v>505</v>
      </c>
      <c r="C647" s="48" t="s">
        <v>510</v>
      </c>
      <c r="D647" s="48" t="s">
        <v>446</v>
      </c>
      <c r="E647" s="48" t="s">
        <v>447</v>
      </c>
      <c r="F647" s="49">
        <v>107</v>
      </c>
      <c r="G647" s="49">
        <v>14</v>
      </c>
      <c r="J647" s="49">
        <v>646</v>
      </c>
    </row>
    <row r="648" spans="1:10" s="49" customFormat="1" ht="30" x14ac:dyDescent="0.25">
      <c r="A648" s="48">
        <v>23</v>
      </c>
      <c r="B648" s="48" t="s">
        <v>505</v>
      </c>
      <c r="C648" s="48" t="s">
        <v>510</v>
      </c>
      <c r="D648" s="48" t="s">
        <v>446</v>
      </c>
      <c r="E648" s="48" t="s">
        <v>447</v>
      </c>
      <c r="F648" s="49">
        <v>108</v>
      </c>
      <c r="G648" s="49">
        <v>31</v>
      </c>
      <c r="J648" s="49">
        <v>647</v>
      </c>
    </row>
    <row r="649" spans="1:10" s="49" customFormat="1" ht="30" x14ac:dyDescent="0.25">
      <c r="A649" s="48">
        <v>23</v>
      </c>
      <c r="B649" s="48" t="s">
        <v>505</v>
      </c>
      <c r="C649" s="48" t="s">
        <v>510</v>
      </c>
      <c r="D649" s="48" t="s">
        <v>446</v>
      </c>
      <c r="E649" s="48" t="s">
        <v>447</v>
      </c>
      <c r="F649" s="49">
        <v>109</v>
      </c>
      <c r="G649" s="49">
        <v>7</v>
      </c>
      <c r="J649" s="49">
        <v>648</v>
      </c>
    </row>
    <row r="650" spans="1:10" s="49" customFormat="1" ht="30" x14ac:dyDescent="0.25">
      <c r="A650" s="48">
        <v>23</v>
      </c>
      <c r="B650" s="48" t="s">
        <v>505</v>
      </c>
      <c r="C650" s="48" t="s">
        <v>510</v>
      </c>
      <c r="D650" s="48" t="s">
        <v>446</v>
      </c>
      <c r="E650" s="48" t="s">
        <v>447</v>
      </c>
      <c r="F650" s="49">
        <v>110</v>
      </c>
      <c r="G650" s="49">
        <v>10</v>
      </c>
      <c r="J650" s="49">
        <v>649</v>
      </c>
    </row>
    <row r="651" spans="1:10" s="49" customFormat="1" ht="30" x14ac:dyDescent="0.25">
      <c r="A651" s="48">
        <v>23</v>
      </c>
      <c r="B651" s="48" t="s">
        <v>505</v>
      </c>
      <c r="C651" s="48" t="s">
        <v>510</v>
      </c>
      <c r="D651" s="48" t="s">
        <v>446</v>
      </c>
      <c r="E651" s="48" t="s">
        <v>447</v>
      </c>
      <c r="F651" s="49">
        <v>111</v>
      </c>
      <c r="G651" s="49">
        <v>10</v>
      </c>
      <c r="J651" s="49">
        <v>650</v>
      </c>
    </row>
    <row r="652" spans="1:10" s="49" customFormat="1" ht="30" x14ac:dyDescent="0.25">
      <c r="A652" s="48">
        <v>23</v>
      </c>
      <c r="B652" s="48" t="s">
        <v>505</v>
      </c>
      <c r="C652" s="48" t="s">
        <v>510</v>
      </c>
      <c r="D652" s="48" t="s">
        <v>446</v>
      </c>
      <c r="E652" s="48" t="s">
        <v>447</v>
      </c>
      <c r="F652" s="49">
        <v>112</v>
      </c>
      <c r="G652" s="49">
        <v>9</v>
      </c>
      <c r="J652" s="49">
        <v>651</v>
      </c>
    </row>
    <row r="653" spans="1:10" s="49" customFormat="1" ht="30" x14ac:dyDescent="0.25">
      <c r="A653" s="48">
        <v>23</v>
      </c>
      <c r="B653" s="48" t="s">
        <v>505</v>
      </c>
      <c r="C653" s="48" t="s">
        <v>510</v>
      </c>
      <c r="D653" s="48" t="s">
        <v>446</v>
      </c>
      <c r="E653" s="48" t="s">
        <v>447</v>
      </c>
      <c r="F653" s="49">
        <v>113</v>
      </c>
      <c r="G653" s="49">
        <v>26</v>
      </c>
      <c r="J653" s="49">
        <v>652</v>
      </c>
    </row>
    <row r="654" spans="1:10" s="49" customFormat="1" ht="30" x14ac:dyDescent="0.25">
      <c r="A654" s="48">
        <v>23</v>
      </c>
      <c r="B654" s="48" t="s">
        <v>505</v>
      </c>
      <c r="C654" s="48" t="s">
        <v>510</v>
      </c>
      <c r="D654" s="48" t="s">
        <v>446</v>
      </c>
      <c r="E654" s="48" t="s">
        <v>447</v>
      </c>
      <c r="F654" s="49">
        <v>114</v>
      </c>
      <c r="G654" s="49">
        <v>9</v>
      </c>
      <c r="J654" s="49">
        <v>653</v>
      </c>
    </row>
    <row r="655" spans="1:10" s="49" customFormat="1" ht="30" x14ac:dyDescent="0.25">
      <c r="A655" s="48">
        <v>23</v>
      </c>
      <c r="B655" s="48" t="s">
        <v>505</v>
      </c>
      <c r="C655" s="48" t="s">
        <v>510</v>
      </c>
      <c r="D655" s="48" t="s">
        <v>446</v>
      </c>
      <c r="E655" s="48" t="s">
        <v>447</v>
      </c>
      <c r="F655" s="49">
        <v>115</v>
      </c>
      <c r="G655" s="49">
        <v>19</v>
      </c>
      <c r="J655" s="49">
        <v>654</v>
      </c>
    </row>
    <row r="656" spans="1:10" s="49" customFormat="1" ht="30" x14ac:dyDescent="0.25">
      <c r="A656" s="48">
        <v>23</v>
      </c>
      <c r="B656" s="48" t="s">
        <v>505</v>
      </c>
      <c r="C656" s="48" t="s">
        <v>510</v>
      </c>
      <c r="D656" s="48" t="s">
        <v>446</v>
      </c>
      <c r="E656" s="48" t="s">
        <v>447</v>
      </c>
      <c r="F656" s="49">
        <v>116</v>
      </c>
      <c r="G656" s="49">
        <v>2</v>
      </c>
      <c r="J656" s="49">
        <v>655</v>
      </c>
    </row>
    <row r="657" spans="1:10" s="49" customFormat="1" ht="30" x14ac:dyDescent="0.25">
      <c r="A657" s="48">
        <v>23</v>
      </c>
      <c r="B657" s="48" t="s">
        <v>505</v>
      </c>
      <c r="C657" s="48" t="s">
        <v>510</v>
      </c>
      <c r="D657" s="48" t="s">
        <v>446</v>
      </c>
      <c r="E657" s="48" t="s">
        <v>447</v>
      </c>
      <c r="F657" s="49">
        <v>117</v>
      </c>
      <c r="G657" s="49">
        <v>29</v>
      </c>
      <c r="J657" s="49">
        <v>656</v>
      </c>
    </row>
    <row r="658" spans="1:10" s="49" customFormat="1" ht="30" x14ac:dyDescent="0.25">
      <c r="A658" s="48">
        <v>23</v>
      </c>
      <c r="B658" s="48" t="s">
        <v>505</v>
      </c>
      <c r="C658" s="48" t="s">
        <v>510</v>
      </c>
      <c r="D658" s="48" t="s">
        <v>446</v>
      </c>
      <c r="E658" s="48" t="s">
        <v>447</v>
      </c>
      <c r="F658" s="49">
        <v>118</v>
      </c>
      <c r="G658" s="49">
        <v>176</v>
      </c>
      <c r="J658" s="49">
        <v>657</v>
      </c>
    </row>
    <row r="659" spans="1:10" s="49" customFormat="1" ht="30" x14ac:dyDescent="0.25">
      <c r="A659" s="48">
        <v>23</v>
      </c>
      <c r="B659" s="48" t="s">
        <v>505</v>
      </c>
      <c r="C659" s="48" t="s">
        <v>510</v>
      </c>
      <c r="D659" s="48" t="s">
        <v>446</v>
      </c>
      <c r="E659" s="48" t="s">
        <v>447</v>
      </c>
      <c r="F659" s="49">
        <v>119</v>
      </c>
      <c r="G659" s="49">
        <v>7</v>
      </c>
      <c r="J659" s="49">
        <v>658</v>
      </c>
    </row>
    <row r="660" spans="1:10" s="49" customFormat="1" ht="30" x14ac:dyDescent="0.25">
      <c r="A660" s="48">
        <v>23</v>
      </c>
      <c r="B660" s="48" t="s">
        <v>505</v>
      </c>
      <c r="C660" s="48" t="s">
        <v>510</v>
      </c>
      <c r="D660" s="48" t="s">
        <v>446</v>
      </c>
      <c r="E660" s="48" t="s">
        <v>447</v>
      </c>
      <c r="F660" s="49">
        <v>120</v>
      </c>
      <c r="G660" s="49">
        <v>8</v>
      </c>
      <c r="J660" s="49">
        <v>659</v>
      </c>
    </row>
    <row r="661" spans="1:10" s="49" customFormat="1" ht="30" x14ac:dyDescent="0.25">
      <c r="A661" s="48">
        <v>23</v>
      </c>
      <c r="B661" s="48" t="s">
        <v>505</v>
      </c>
      <c r="C661" s="48" t="s">
        <v>510</v>
      </c>
      <c r="D661" s="48" t="s">
        <v>446</v>
      </c>
      <c r="E661" s="48" t="s">
        <v>447</v>
      </c>
      <c r="F661" s="49">
        <v>121</v>
      </c>
      <c r="G661" s="49">
        <v>9</v>
      </c>
      <c r="J661" s="49">
        <v>660</v>
      </c>
    </row>
    <row r="662" spans="1:10" s="49" customFormat="1" ht="30" x14ac:dyDescent="0.25">
      <c r="A662" s="48">
        <v>23</v>
      </c>
      <c r="B662" s="48" t="s">
        <v>505</v>
      </c>
      <c r="C662" s="48" t="s">
        <v>510</v>
      </c>
      <c r="D662" s="48" t="s">
        <v>446</v>
      </c>
      <c r="E662" s="48" t="s">
        <v>447</v>
      </c>
      <c r="F662" s="49">
        <v>122</v>
      </c>
      <c r="G662" s="49">
        <v>4</v>
      </c>
      <c r="J662" s="49">
        <v>661</v>
      </c>
    </row>
    <row r="663" spans="1:10" s="49" customFormat="1" ht="30" x14ac:dyDescent="0.25">
      <c r="A663" s="48">
        <v>23</v>
      </c>
      <c r="B663" s="48" t="s">
        <v>505</v>
      </c>
      <c r="C663" s="48" t="s">
        <v>510</v>
      </c>
      <c r="D663" s="48" t="s">
        <v>446</v>
      </c>
      <c r="E663" s="48" t="s">
        <v>447</v>
      </c>
      <c r="F663" s="49">
        <v>123</v>
      </c>
      <c r="G663" s="49">
        <v>8</v>
      </c>
      <c r="J663" s="49">
        <v>662</v>
      </c>
    </row>
    <row r="664" spans="1:10" s="49" customFormat="1" ht="30" x14ac:dyDescent="0.25">
      <c r="A664" s="48">
        <v>23</v>
      </c>
      <c r="B664" s="48" t="s">
        <v>505</v>
      </c>
      <c r="C664" s="48" t="s">
        <v>510</v>
      </c>
      <c r="D664" s="48" t="s">
        <v>446</v>
      </c>
      <c r="E664" s="48" t="s">
        <v>447</v>
      </c>
      <c r="F664" s="49">
        <v>124</v>
      </c>
      <c r="G664" s="49">
        <v>5</v>
      </c>
      <c r="J664" s="49">
        <v>663</v>
      </c>
    </row>
    <row r="665" spans="1:10" s="49" customFormat="1" ht="30" x14ac:dyDescent="0.25">
      <c r="A665" s="48">
        <v>23</v>
      </c>
      <c r="B665" s="48" t="s">
        <v>505</v>
      </c>
      <c r="C665" s="48" t="s">
        <v>510</v>
      </c>
      <c r="D665" s="48" t="s">
        <v>446</v>
      </c>
      <c r="E665" s="48" t="s">
        <v>447</v>
      </c>
      <c r="F665" s="49">
        <v>125</v>
      </c>
      <c r="G665" s="49">
        <v>6</v>
      </c>
      <c r="J665" s="49">
        <v>664</v>
      </c>
    </row>
    <row r="666" spans="1:10" s="49" customFormat="1" ht="30" x14ac:dyDescent="0.25">
      <c r="A666" s="48">
        <v>23</v>
      </c>
      <c r="B666" s="48" t="s">
        <v>505</v>
      </c>
      <c r="C666" s="48" t="s">
        <v>510</v>
      </c>
      <c r="D666" s="48" t="s">
        <v>446</v>
      </c>
      <c r="E666" s="48" t="s">
        <v>447</v>
      </c>
      <c r="F666" s="49">
        <v>126</v>
      </c>
      <c r="G666" s="49">
        <v>5</v>
      </c>
      <c r="J666" s="49">
        <v>665</v>
      </c>
    </row>
    <row r="667" spans="1:10" s="49" customFormat="1" ht="30" x14ac:dyDescent="0.25">
      <c r="A667" s="48">
        <v>23</v>
      </c>
      <c r="B667" s="48" t="s">
        <v>505</v>
      </c>
      <c r="C667" s="48" t="s">
        <v>510</v>
      </c>
      <c r="D667" s="48" t="s">
        <v>446</v>
      </c>
      <c r="E667" s="48" t="s">
        <v>447</v>
      </c>
      <c r="F667" s="49">
        <v>127</v>
      </c>
      <c r="G667" s="49">
        <v>6</v>
      </c>
      <c r="J667" s="49">
        <v>666</v>
      </c>
    </row>
    <row r="668" spans="1:10" s="49" customFormat="1" ht="30" x14ac:dyDescent="0.25">
      <c r="A668" s="48">
        <v>23</v>
      </c>
      <c r="B668" s="48" t="s">
        <v>505</v>
      </c>
      <c r="C668" s="48" t="s">
        <v>510</v>
      </c>
      <c r="D668" s="48" t="s">
        <v>446</v>
      </c>
      <c r="E668" s="48" t="s">
        <v>447</v>
      </c>
      <c r="F668" s="49">
        <v>128</v>
      </c>
      <c r="G668" s="49">
        <v>8</v>
      </c>
      <c r="J668" s="49">
        <v>667</v>
      </c>
    </row>
    <row r="669" spans="1:10" s="49" customFormat="1" ht="30" x14ac:dyDescent="0.25">
      <c r="A669" s="48">
        <v>23</v>
      </c>
      <c r="B669" s="48" t="s">
        <v>505</v>
      </c>
      <c r="C669" s="48" t="s">
        <v>510</v>
      </c>
      <c r="D669" s="48" t="s">
        <v>446</v>
      </c>
      <c r="E669" s="48" t="s">
        <v>447</v>
      </c>
      <c r="F669" s="49">
        <v>129</v>
      </c>
      <c r="G669" s="49">
        <v>8</v>
      </c>
      <c r="J669" s="49">
        <v>668</v>
      </c>
    </row>
    <row r="670" spans="1:10" s="49" customFormat="1" ht="30" x14ac:dyDescent="0.25">
      <c r="A670" s="48">
        <v>23</v>
      </c>
      <c r="B670" s="48" t="s">
        <v>505</v>
      </c>
      <c r="C670" s="48" t="s">
        <v>510</v>
      </c>
      <c r="D670" s="48" t="s">
        <v>446</v>
      </c>
      <c r="E670" s="48" t="s">
        <v>447</v>
      </c>
      <c r="F670" s="49">
        <v>130</v>
      </c>
      <c r="G670" s="49">
        <v>3</v>
      </c>
      <c r="J670" s="49">
        <v>669</v>
      </c>
    </row>
    <row r="671" spans="1:10" s="49" customFormat="1" ht="30" x14ac:dyDescent="0.25">
      <c r="A671" s="48">
        <v>23</v>
      </c>
      <c r="B671" s="48" t="s">
        <v>505</v>
      </c>
      <c r="C671" s="48" t="s">
        <v>510</v>
      </c>
      <c r="D671" s="48" t="s">
        <v>446</v>
      </c>
      <c r="E671" s="48" t="s">
        <v>447</v>
      </c>
      <c r="F671" s="49">
        <v>131</v>
      </c>
      <c r="G671" s="49">
        <v>18</v>
      </c>
      <c r="J671" s="49">
        <v>670</v>
      </c>
    </row>
    <row r="672" spans="1:10" s="49" customFormat="1" ht="30" x14ac:dyDescent="0.25">
      <c r="A672" s="48">
        <v>23</v>
      </c>
      <c r="B672" s="48" t="s">
        <v>505</v>
      </c>
      <c r="C672" s="48" t="s">
        <v>510</v>
      </c>
      <c r="D672" s="48" t="s">
        <v>446</v>
      </c>
      <c r="E672" s="48" t="s">
        <v>447</v>
      </c>
      <c r="F672" s="49">
        <v>132</v>
      </c>
      <c r="G672" s="49">
        <v>3</v>
      </c>
      <c r="J672" s="49">
        <v>671</v>
      </c>
    </row>
    <row r="673" spans="1:10" s="49" customFormat="1" ht="30" x14ac:dyDescent="0.25">
      <c r="A673" s="48">
        <v>23</v>
      </c>
      <c r="B673" s="48" t="s">
        <v>505</v>
      </c>
      <c r="C673" s="48" t="s">
        <v>510</v>
      </c>
      <c r="D673" s="48" t="s">
        <v>446</v>
      </c>
      <c r="E673" s="48" t="s">
        <v>447</v>
      </c>
      <c r="F673" s="49">
        <v>133</v>
      </c>
      <c r="G673" s="49">
        <v>3</v>
      </c>
      <c r="J673" s="49">
        <v>672</v>
      </c>
    </row>
    <row r="674" spans="1:10" s="49" customFormat="1" ht="30" x14ac:dyDescent="0.25">
      <c r="A674" s="48">
        <v>23</v>
      </c>
      <c r="B674" s="48" t="s">
        <v>505</v>
      </c>
      <c r="C674" s="48" t="s">
        <v>510</v>
      </c>
      <c r="D674" s="48" t="s">
        <v>446</v>
      </c>
      <c r="E674" s="48" t="s">
        <v>447</v>
      </c>
      <c r="F674" s="49">
        <v>134</v>
      </c>
      <c r="G674" s="49">
        <v>21</v>
      </c>
      <c r="J674" s="49">
        <v>673</v>
      </c>
    </row>
    <row r="675" spans="1:10" s="49" customFormat="1" ht="30" x14ac:dyDescent="0.25">
      <c r="A675" s="48">
        <v>23</v>
      </c>
      <c r="B675" s="48" t="s">
        <v>505</v>
      </c>
      <c r="C675" s="48" t="s">
        <v>510</v>
      </c>
      <c r="D675" s="48" t="s">
        <v>446</v>
      </c>
      <c r="E675" s="48" t="s">
        <v>447</v>
      </c>
      <c r="F675" s="49">
        <v>135</v>
      </c>
      <c r="G675" s="49">
        <v>26</v>
      </c>
      <c r="J675" s="49">
        <v>674</v>
      </c>
    </row>
    <row r="676" spans="1:10" s="49" customFormat="1" ht="30" x14ac:dyDescent="0.25">
      <c r="A676" s="48">
        <v>23</v>
      </c>
      <c r="B676" s="48" t="s">
        <v>505</v>
      </c>
      <c r="C676" s="48" t="s">
        <v>510</v>
      </c>
      <c r="D676" s="48" t="s">
        <v>446</v>
      </c>
      <c r="E676" s="48" t="s">
        <v>447</v>
      </c>
      <c r="F676" s="49">
        <v>136</v>
      </c>
      <c r="G676" s="49">
        <v>9</v>
      </c>
      <c r="J676" s="49">
        <v>675</v>
      </c>
    </row>
    <row r="677" spans="1:10" s="49" customFormat="1" ht="30" x14ac:dyDescent="0.25">
      <c r="A677" s="48">
        <v>23</v>
      </c>
      <c r="B677" s="48" t="s">
        <v>505</v>
      </c>
      <c r="C677" s="48" t="s">
        <v>510</v>
      </c>
      <c r="D677" s="48" t="s">
        <v>446</v>
      </c>
      <c r="E677" s="48" t="s">
        <v>447</v>
      </c>
      <c r="F677" s="49">
        <v>137</v>
      </c>
      <c r="G677" s="49">
        <v>8</v>
      </c>
      <c r="J677" s="49">
        <v>676</v>
      </c>
    </row>
    <row r="678" spans="1:10" s="49" customFormat="1" ht="30" x14ac:dyDescent="0.25">
      <c r="A678" s="48">
        <v>23</v>
      </c>
      <c r="B678" s="48" t="s">
        <v>505</v>
      </c>
      <c r="C678" s="48" t="s">
        <v>510</v>
      </c>
      <c r="D678" s="48" t="s">
        <v>446</v>
      </c>
      <c r="E678" s="48" t="s">
        <v>447</v>
      </c>
      <c r="F678" s="49">
        <v>138</v>
      </c>
      <c r="G678" s="49">
        <v>24</v>
      </c>
      <c r="J678" s="49">
        <v>677</v>
      </c>
    </row>
    <row r="679" spans="1:10" s="49" customFormat="1" ht="30" x14ac:dyDescent="0.25">
      <c r="A679" s="48">
        <v>23</v>
      </c>
      <c r="B679" s="48" t="s">
        <v>505</v>
      </c>
      <c r="C679" s="48" t="s">
        <v>510</v>
      </c>
      <c r="D679" s="48" t="s">
        <v>446</v>
      </c>
      <c r="E679" s="48" t="s">
        <v>447</v>
      </c>
      <c r="F679" s="49">
        <v>139</v>
      </c>
      <c r="G679" s="49">
        <v>14</v>
      </c>
      <c r="J679" s="49">
        <v>678</v>
      </c>
    </row>
    <row r="680" spans="1:10" s="49" customFormat="1" ht="30" x14ac:dyDescent="0.25">
      <c r="A680" s="48">
        <v>23</v>
      </c>
      <c r="B680" s="48" t="s">
        <v>505</v>
      </c>
      <c r="C680" s="48" t="s">
        <v>510</v>
      </c>
      <c r="D680" s="48" t="s">
        <v>446</v>
      </c>
      <c r="E680" s="48" t="s">
        <v>447</v>
      </c>
      <c r="F680" s="49">
        <v>140</v>
      </c>
      <c r="G680" s="49">
        <v>10</v>
      </c>
      <c r="J680" s="49">
        <v>679</v>
      </c>
    </row>
    <row r="681" spans="1:10" s="49" customFormat="1" ht="30" x14ac:dyDescent="0.25">
      <c r="A681" s="48">
        <v>23</v>
      </c>
      <c r="B681" s="48" t="s">
        <v>505</v>
      </c>
      <c r="C681" s="48" t="s">
        <v>510</v>
      </c>
      <c r="D681" s="48" t="s">
        <v>446</v>
      </c>
      <c r="E681" s="48" t="s">
        <v>447</v>
      </c>
      <c r="F681" s="49">
        <v>141</v>
      </c>
      <c r="G681" s="49">
        <v>8</v>
      </c>
      <c r="J681" s="49">
        <v>680</v>
      </c>
    </row>
    <row r="682" spans="1:10" s="49" customFormat="1" ht="30" x14ac:dyDescent="0.25">
      <c r="A682" s="48">
        <v>23</v>
      </c>
      <c r="B682" s="48" t="s">
        <v>505</v>
      </c>
      <c r="C682" s="48" t="s">
        <v>510</v>
      </c>
      <c r="D682" s="48" t="s">
        <v>446</v>
      </c>
      <c r="E682" s="48" t="s">
        <v>447</v>
      </c>
      <c r="F682" s="49">
        <v>142</v>
      </c>
      <c r="G682" s="49">
        <v>12</v>
      </c>
      <c r="J682" s="49">
        <v>681</v>
      </c>
    </row>
    <row r="683" spans="1:10" s="49" customFormat="1" ht="30" x14ac:dyDescent="0.25">
      <c r="A683" s="48">
        <v>23</v>
      </c>
      <c r="B683" s="48" t="s">
        <v>505</v>
      </c>
      <c r="C683" s="48" t="s">
        <v>510</v>
      </c>
      <c r="D683" s="48" t="s">
        <v>446</v>
      </c>
      <c r="E683" s="48" t="s">
        <v>447</v>
      </c>
      <c r="F683" s="49">
        <v>143</v>
      </c>
      <c r="G683" s="49">
        <v>15</v>
      </c>
      <c r="J683" s="49">
        <v>682</v>
      </c>
    </row>
    <row r="684" spans="1:10" s="49" customFormat="1" ht="30" x14ac:dyDescent="0.25">
      <c r="A684" s="48">
        <v>23</v>
      </c>
      <c r="B684" s="48" t="s">
        <v>505</v>
      </c>
      <c r="C684" s="48" t="s">
        <v>510</v>
      </c>
      <c r="D684" s="48" t="s">
        <v>446</v>
      </c>
      <c r="E684" s="48" t="s">
        <v>447</v>
      </c>
      <c r="F684" s="49">
        <v>144</v>
      </c>
      <c r="G684" s="49">
        <v>21</v>
      </c>
      <c r="J684" s="49">
        <v>683</v>
      </c>
    </row>
    <row r="685" spans="1:10" s="49" customFormat="1" ht="30" x14ac:dyDescent="0.25">
      <c r="A685" s="48">
        <v>23</v>
      </c>
      <c r="B685" s="48" t="s">
        <v>505</v>
      </c>
      <c r="C685" s="48" t="s">
        <v>510</v>
      </c>
      <c r="D685" s="48" t="s">
        <v>446</v>
      </c>
      <c r="E685" s="48" t="s">
        <v>447</v>
      </c>
      <c r="F685" s="49">
        <v>145</v>
      </c>
      <c r="G685" s="49">
        <v>10</v>
      </c>
      <c r="J685" s="49">
        <v>684</v>
      </c>
    </row>
    <row r="686" spans="1:10" s="49" customFormat="1" ht="30" x14ac:dyDescent="0.25">
      <c r="A686" s="48">
        <v>23</v>
      </c>
      <c r="B686" s="48" t="s">
        <v>505</v>
      </c>
      <c r="C686" s="48" t="s">
        <v>510</v>
      </c>
      <c r="D686" s="48" t="s">
        <v>446</v>
      </c>
      <c r="E686" s="48" t="s">
        <v>447</v>
      </c>
      <c r="F686" s="49">
        <v>146</v>
      </c>
      <c r="G686" s="49">
        <v>11</v>
      </c>
      <c r="J686" s="49">
        <v>685</v>
      </c>
    </row>
    <row r="687" spans="1:10" s="49" customFormat="1" ht="30" x14ac:dyDescent="0.25">
      <c r="A687" s="48">
        <v>23</v>
      </c>
      <c r="B687" s="48" t="s">
        <v>505</v>
      </c>
      <c r="C687" s="48" t="s">
        <v>510</v>
      </c>
      <c r="D687" s="48" t="s">
        <v>446</v>
      </c>
      <c r="E687" s="48" t="s">
        <v>447</v>
      </c>
      <c r="F687" s="49">
        <v>147</v>
      </c>
      <c r="G687" s="49">
        <v>20</v>
      </c>
      <c r="J687" s="49">
        <v>686</v>
      </c>
    </row>
    <row r="688" spans="1:10" s="49" customFormat="1" ht="30" x14ac:dyDescent="0.25">
      <c r="A688" s="48">
        <v>23</v>
      </c>
      <c r="B688" s="48" t="s">
        <v>505</v>
      </c>
      <c r="C688" s="48" t="s">
        <v>510</v>
      </c>
      <c r="D688" s="48" t="s">
        <v>446</v>
      </c>
      <c r="E688" s="48" t="s">
        <v>447</v>
      </c>
      <c r="F688" s="49">
        <v>148</v>
      </c>
      <c r="G688" s="49">
        <v>14</v>
      </c>
      <c r="J688" s="49">
        <v>687</v>
      </c>
    </row>
    <row r="689" spans="1:10" s="49" customFormat="1" ht="30" x14ac:dyDescent="0.25">
      <c r="A689" s="48">
        <v>23</v>
      </c>
      <c r="B689" s="48" t="s">
        <v>505</v>
      </c>
      <c r="C689" s="48" t="s">
        <v>510</v>
      </c>
      <c r="D689" s="48" t="s">
        <v>446</v>
      </c>
      <c r="E689" s="48" t="s">
        <v>447</v>
      </c>
      <c r="F689" s="49">
        <v>149</v>
      </c>
      <c r="G689" s="49">
        <v>9</v>
      </c>
      <c r="J689" s="49">
        <v>688</v>
      </c>
    </row>
    <row r="690" spans="1:10" s="49" customFormat="1" ht="30.75" thickBot="1" x14ac:dyDescent="0.3">
      <c r="A690" s="48">
        <v>23</v>
      </c>
      <c r="B690" s="48" t="s">
        <v>505</v>
      </c>
      <c r="C690" s="48" t="s">
        <v>510</v>
      </c>
      <c r="D690" s="51" t="s">
        <v>446</v>
      </c>
      <c r="E690" s="51" t="s">
        <v>447</v>
      </c>
      <c r="F690" s="52">
        <v>150</v>
      </c>
      <c r="G690" s="52">
        <v>5</v>
      </c>
      <c r="H690" s="52">
        <v>2545</v>
      </c>
      <c r="I690" s="52">
        <v>150</v>
      </c>
      <c r="J690" s="49">
        <v>689</v>
      </c>
    </row>
    <row r="691" spans="1:10" s="49" customFormat="1" ht="30.75" thickTop="1" x14ac:dyDescent="0.25">
      <c r="A691" s="48">
        <v>24</v>
      </c>
      <c r="B691" s="48" t="s">
        <v>505</v>
      </c>
      <c r="C691" s="48" t="s">
        <v>510</v>
      </c>
      <c r="D691" s="48" t="s">
        <v>450</v>
      </c>
      <c r="E691" s="48" t="s">
        <v>451</v>
      </c>
      <c r="F691" s="49">
        <v>1</v>
      </c>
      <c r="G691" s="49">
        <v>32</v>
      </c>
      <c r="J691" s="49">
        <v>690</v>
      </c>
    </row>
    <row r="692" spans="1:10" s="49" customFormat="1" ht="30" x14ac:dyDescent="0.25">
      <c r="A692" s="48">
        <v>24</v>
      </c>
      <c r="B692" s="48" t="s">
        <v>505</v>
      </c>
      <c r="C692" s="48" t="s">
        <v>510</v>
      </c>
      <c r="D692" s="48" t="s">
        <v>450</v>
      </c>
      <c r="E692" s="48" t="s">
        <v>451</v>
      </c>
      <c r="F692" s="49">
        <v>2</v>
      </c>
      <c r="G692" s="49">
        <v>22</v>
      </c>
      <c r="J692" s="49">
        <v>691</v>
      </c>
    </row>
    <row r="693" spans="1:10" s="49" customFormat="1" ht="30" x14ac:dyDescent="0.25">
      <c r="A693" s="48">
        <v>24</v>
      </c>
      <c r="B693" s="48" t="s">
        <v>505</v>
      </c>
      <c r="C693" s="48" t="s">
        <v>510</v>
      </c>
      <c r="D693" s="48" t="s">
        <v>450</v>
      </c>
      <c r="E693" s="48" t="s">
        <v>451</v>
      </c>
      <c r="F693" s="49">
        <v>3</v>
      </c>
      <c r="G693" s="49">
        <v>35</v>
      </c>
      <c r="J693" s="49">
        <v>692</v>
      </c>
    </row>
    <row r="694" spans="1:10" s="49" customFormat="1" ht="30" x14ac:dyDescent="0.25">
      <c r="A694" s="48">
        <v>24</v>
      </c>
      <c r="B694" s="48" t="s">
        <v>505</v>
      </c>
      <c r="C694" s="48" t="s">
        <v>510</v>
      </c>
      <c r="D694" s="48" t="s">
        <v>450</v>
      </c>
      <c r="E694" s="48" t="s">
        <v>451</v>
      </c>
      <c r="F694" s="49">
        <v>4</v>
      </c>
      <c r="G694" s="49">
        <v>27</v>
      </c>
      <c r="J694" s="49">
        <v>693</v>
      </c>
    </row>
    <row r="695" spans="1:10" s="49" customFormat="1" ht="30" x14ac:dyDescent="0.25">
      <c r="A695" s="48">
        <v>24</v>
      </c>
      <c r="B695" s="48" t="s">
        <v>505</v>
      </c>
      <c r="C695" s="48" t="s">
        <v>510</v>
      </c>
      <c r="D695" s="48" t="s">
        <v>450</v>
      </c>
      <c r="E695" s="48" t="s">
        <v>451</v>
      </c>
      <c r="F695" s="49">
        <v>5</v>
      </c>
      <c r="G695" s="49">
        <v>23</v>
      </c>
      <c r="J695" s="49">
        <v>694</v>
      </c>
    </row>
    <row r="696" spans="1:10" s="49" customFormat="1" ht="30" x14ac:dyDescent="0.25">
      <c r="A696" s="48">
        <v>24</v>
      </c>
      <c r="B696" s="48" t="s">
        <v>505</v>
      </c>
      <c r="C696" s="48" t="s">
        <v>510</v>
      </c>
      <c r="D696" s="48" t="s">
        <v>450</v>
      </c>
      <c r="E696" s="48" t="s">
        <v>451</v>
      </c>
      <c r="F696" s="49">
        <v>6</v>
      </c>
      <c r="G696" s="49">
        <v>35</v>
      </c>
      <c r="J696" s="49">
        <v>695</v>
      </c>
    </row>
    <row r="697" spans="1:10" s="49" customFormat="1" ht="30" x14ac:dyDescent="0.25">
      <c r="A697" s="48">
        <v>24</v>
      </c>
      <c r="B697" s="48" t="s">
        <v>505</v>
      </c>
      <c r="C697" s="48" t="s">
        <v>510</v>
      </c>
      <c r="D697" s="48" t="s">
        <v>450</v>
      </c>
      <c r="E697" s="48" t="s">
        <v>451</v>
      </c>
      <c r="F697" s="49">
        <v>7</v>
      </c>
      <c r="G697" s="49">
        <v>27</v>
      </c>
      <c r="J697" s="49">
        <v>696</v>
      </c>
    </row>
    <row r="698" spans="1:10" s="49" customFormat="1" ht="30" x14ac:dyDescent="0.25">
      <c r="A698" s="48">
        <v>24</v>
      </c>
      <c r="B698" s="48" t="s">
        <v>505</v>
      </c>
      <c r="C698" s="48" t="s">
        <v>510</v>
      </c>
      <c r="D698" s="48" t="s">
        <v>450</v>
      </c>
      <c r="E698" s="48" t="s">
        <v>451</v>
      </c>
      <c r="F698" s="49">
        <v>8</v>
      </c>
      <c r="G698" s="49">
        <v>36</v>
      </c>
      <c r="J698" s="49">
        <v>697</v>
      </c>
    </row>
    <row r="699" spans="1:10" s="49" customFormat="1" ht="30" x14ac:dyDescent="0.25">
      <c r="A699" s="48">
        <v>24</v>
      </c>
      <c r="B699" s="48" t="s">
        <v>505</v>
      </c>
      <c r="C699" s="48" t="s">
        <v>510</v>
      </c>
      <c r="D699" s="48" t="s">
        <v>450</v>
      </c>
      <c r="E699" s="48" t="s">
        <v>451</v>
      </c>
      <c r="F699" s="49">
        <v>9</v>
      </c>
      <c r="G699" s="49">
        <v>18</v>
      </c>
      <c r="J699" s="49">
        <v>698</v>
      </c>
    </row>
    <row r="700" spans="1:10" s="49" customFormat="1" ht="30" x14ac:dyDescent="0.25">
      <c r="A700" s="48">
        <v>24</v>
      </c>
      <c r="B700" s="48" t="s">
        <v>505</v>
      </c>
      <c r="C700" s="48" t="s">
        <v>510</v>
      </c>
      <c r="D700" s="48" t="s">
        <v>450</v>
      </c>
      <c r="E700" s="48" t="s">
        <v>451</v>
      </c>
      <c r="F700" s="49">
        <v>10</v>
      </c>
      <c r="G700" s="49">
        <v>32</v>
      </c>
      <c r="J700" s="49">
        <v>699</v>
      </c>
    </row>
    <row r="701" spans="1:10" s="49" customFormat="1" ht="30" x14ac:dyDescent="0.25">
      <c r="A701" s="48">
        <v>24</v>
      </c>
      <c r="B701" s="48" t="s">
        <v>505</v>
      </c>
      <c r="C701" s="48" t="s">
        <v>510</v>
      </c>
      <c r="D701" s="48" t="s">
        <v>450</v>
      </c>
      <c r="E701" s="48" t="s">
        <v>451</v>
      </c>
      <c r="F701" s="49">
        <v>11</v>
      </c>
      <c r="G701" s="49">
        <v>31</v>
      </c>
      <c r="J701" s="49">
        <v>700</v>
      </c>
    </row>
    <row r="702" spans="1:10" s="49" customFormat="1" ht="30" x14ac:dyDescent="0.25">
      <c r="A702" s="48">
        <v>24</v>
      </c>
      <c r="B702" s="48" t="s">
        <v>505</v>
      </c>
      <c r="C702" s="48" t="s">
        <v>510</v>
      </c>
      <c r="D702" s="48" t="s">
        <v>450</v>
      </c>
      <c r="E702" s="48" t="s">
        <v>451</v>
      </c>
      <c r="F702" s="49">
        <v>12</v>
      </c>
      <c r="G702" s="49">
        <v>28</v>
      </c>
      <c r="J702" s="49">
        <v>701</v>
      </c>
    </row>
    <row r="703" spans="1:10" s="49" customFormat="1" ht="30" x14ac:dyDescent="0.25">
      <c r="A703" s="48">
        <v>24</v>
      </c>
      <c r="B703" s="48" t="s">
        <v>505</v>
      </c>
      <c r="C703" s="48" t="s">
        <v>510</v>
      </c>
      <c r="D703" s="48" t="s">
        <v>450</v>
      </c>
      <c r="E703" s="48" t="s">
        <v>451</v>
      </c>
      <c r="F703" s="49">
        <v>13</v>
      </c>
      <c r="G703" s="49">
        <v>25</v>
      </c>
      <c r="J703" s="49">
        <v>702</v>
      </c>
    </row>
    <row r="704" spans="1:10" s="49" customFormat="1" ht="30" x14ac:dyDescent="0.25">
      <c r="A704" s="48">
        <v>24</v>
      </c>
      <c r="B704" s="48" t="s">
        <v>505</v>
      </c>
      <c r="C704" s="48" t="s">
        <v>510</v>
      </c>
      <c r="D704" s="48" t="s">
        <v>450</v>
      </c>
      <c r="E704" s="48" t="s">
        <v>451</v>
      </c>
      <c r="F704" s="49">
        <v>14</v>
      </c>
      <c r="G704" s="49">
        <v>35</v>
      </c>
      <c r="J704" s="49">
        <v>703</v>
      </c>
    </row>
    <row r="705" spans="1:10" s="49" customFormat="1" ht="30" x14ac:dyDescent="0.25">
      <c r="A705" s="48">
        <v>24</v>
      </c>
      <c r="B705" s="48" t="s">
        <v>505</v>
      </c>
      <c r="C705" s="48" t="s">
        <v>510</v>
      </c>
      <c r="D705" s="48" t="s">
        <v>450</v>
      </c>
      <c r="E705" s="48" t="s">
        <v>451</v>
      </c>
      <c r="F705" s="49">
        <v>15</v>
      </c>
      <c r="G705" s="49">
        <v>33</v>
      </c>
      <c r="J705" s="49">
        <v>704</v>
      </c>
    </row>
    <row r="706" spans="1:10" s="49" customFormat="1" ht="30" x14ac:dyDescent="0.25">
      <c r="A706" s="48">
        <v>24</v>
      </c>
      <c r="B706" s="48" t="s">
        <v>505</v>
      </c>
      <c r="C706" s="48" t="s">
        <v>510</v>
      </c>
      <c r="D706" s="48" t="s">
        <v>450</v>
      </c>
      <c r="E706" s="48" t="s">
        <v>451</v>
      </c>
      <c r="F706" s="49">
        <v>16</v>
      </c>
      <c r="G706" s="49">
        <v>33</v>
      </c>
      <c r="J706" s="49">
        <v>705</v>
      </c>
    </row>
    <row r="707" spans="1:10" s="49" customFormat="1" ht="30" x14ac:dyDescent="0.25">
      <c r="A707" s="48">
        <v>24</v>
      </c>
      <c r="B707" s="48" t="s">
        <v>505</v>
      </c>
      <c r="C707" s="48" t="s">
        <v>510</v>
      </c>
      <c r="D707" s="48" t="s">
        <v>450</v>
      </c>
      <c r="E707" s="48" t="s">
        <v>451</v>
      </c>
      <c r="F707" s="49">
        <v>17</v>
      </c>
      <c r="G707" s="49">
        <v>28</v>
      </c>
      <c r="J707" s="49">
        <v>706</v>
      </c>
    </row>
    <row r="708" spans="1:10" s="49" customFormat="1" ht="30" x14ac:dyDescent="0.25">
      <c r="A708" s="48">
        <v>24</v>
      </c>
      <c r="B708" s="48" t="s">
        <v>505</v>
      </c>
      <c r="C708" s="48" t="s">
        <v>510</v>
      </c>
      <c r="D708" s="48" t="s">
        <v>450</v>
      </c>
      <c r="E708" s="48" t="s">
        <v>451</v>
      </c>
      <c r="F708" s="49">
        <v>18</v>
      </c>
      <c r="G708" s="49">
        <v>24</v>
      </c>
      <c r="J708" s="49">
        <v>707</v>
      </c>
    </row>
    <row r="709" spans="1:10" s="49" customFormat="1" ht="30" x14ac:dyDescent="0.25">
      <c r="A709" s="48">
        <v>24</v>
      </c>
      <c r="B709" s="48" t="s">
        <v>505</v>
      </c>
      <c r="C709" s="48" t="s">
        <v>510</v>
      </c>
      <c r="D709" s="48" t="s">
        <v>450</v>
      </c>
      <c r="E709" s="48" t="s">
        <v>451</v>
      </c>
      <c r="F709" s="49">
        <v>19</v>
      </c>
      <c r="G709" s="49">
        <v>29</v>
      </c>
      <c r="J709" s="49">
        <v>708</v>
      </c>
    </row>
    <row r="710" spans="1:10" s="49" customFormat="1" ht="30" x14ac:dyDescent="0.25">
      <c r="A710" s="48">
        <v>24</v>
      </c>
      <c r="B710" s="48" t="s">
        <v>505</v>
      </c>
      <c r="C710" s="48" t="s">
        <v>510</v>
      </c>
      <c r="D710" s="48" t="s">
        <v>450</v>
      </c>
      <c r="E710" s="48" t="s">
        <v>451</v>
      </c>
      <c r="F710" s="49">
        <v>20</v>
      </c>
      <c r="G710" s="49">
        <v>30</v>
      </c>
      <c r="J710" s="49">
        <v>709</v>
      </c>
    </row>
    <row r="711" spans="1:10" s="49" customFormat="1" ht="30" x14ac:dyDescent="0.25">
      <c r="A711" s="48">
        <v>24</v>
      </c>
      <c r="B711" s="48" t="s">
        <v>505</v>
      </c>
      <c r="C711" s="48" t="s">
        <v>510</v>
      </c>
      <c r="D711" s="48" t="s">
        <v>450</v>
      </c>
      <c r="E711" s="48" t="s">
        <v>451</v>
      </c>
      <c r="F711" s="49">
        <v>21</v>
      </c>
      <c r="G711" s="49">
        <v>31</v>
      </c>
      <c r="J711" s="49">
        <v>710</v>
      </c>
    </row>
    <row r="712" spans="1:10" s="49" customFormat="1" ht="30" x14ac:dyDescent="0.25">
      <c r="A712" s="48">
        <v>24</v>
      </c>
      <c r="B712" s="48" t="s">
        <v>505</v>
      </c>
      <c r="C712" s="48" t="s">
        <v>510</v>
      </c>
      <c r="D712" s="48" t="s">
        <v>450</v>
      </c>
      <c r="E712" s="48" t="s">
        <v>451</v>
      </c>
      <c r="F712" s="49">
        <v>22</v>
      </c>
      <c r="G712" s="49">
        <v>29</v>
      </c>
      <c r="J712" s="49">
        <v>711</v>
      </c>
    </row>
    <row r="713" spans="1:10" s="49" customFormat="1" ht="30" x14ac:dyDescent="0.25">
      <c r="A713" s="48">
        <v>24</v>
      </c>
      <c r="B713" s="48" t="s">
        <v>505</v>
      </c>
      <c r="C713" s="48" t="s">
        <v>510</v>
      </c>
      <c r="D713" s="48" t="s">
        <v>450</v>
      </c>
      <c r="E713" s="48" t="s">
        <v>451</v>
      </c>
      <c r="F713" s="49">
        <v>23</v>
      </c>
      <c r="G713" s="49">
        <v>35</v>
      </c>
      <c r="J713" s="49">
        <v>712</v>
      </c>
    </row>
    <row r="714" spans="1:10" s="49" customFormat="1" ht="30" x14ac:dyDescent="0.25">
      <c r="A714" s="48">
        <v>24</v>
      </c>
      <c r="B714" s="48" t="s">
        <v>505</v>
      </c>
      <c r="C714" s="48" t="s">
        <v>510</v>
      </c>
      <c r="D714" s="48" t="s">
        <v>450</v>
      </c>
      <c r="E714" s="48" t="s">
        <v>451</v>
      </c>
      <c r="F714" s="49">
        <v>24</v>
      </c>
      <c r="G714" s="49">
        <v>34</v>
      </c>
      <c r="J714" s="49">
        <v>713</v>
      </c>
    </row>
    <row r="715" spans="1:10" s="49" customFormat="1" ht="30" x14ac:dyDescent="0.25">
      <c r="A715" s="48">
        <v>24</v>
      </c>
      <c r="B715" s="48" t="s">
        <v>505</v>
      </c>
      <c r="C715" s="48" t="s">
        <v>510</v>
      </c>
      <c r="D715" s="48" t="s">
        <v>450</v>
      </c>
      <c r="E715" s="48" t="s">
        <v>451</v>
      </c>
      <c r="F715" s="49">
        <v>25</v>
      </c>
      <c r="G715" s="49">
        <v>28</v>
      </c>
      <c r="J715" s="49">
        <v>714</v>
      </c>
    </row>
    <row r="716" spans="1:10" s="49" customFormat="1" ht="30" x14ac:dyDescent="0.25">
      <c r="A716" s="48">
        <v>24</v>
      </c>
      <c r="B716" s="48" t="s">
        <v>505</v>
      </c>
      <c r="C716" s="48" t="s">
        <v>510</v>
      </c>
      <c r="D716" s="48" t="s">
        <v>450</v>
      </c>
      <c r="E716" s="48" t="s">
        <v>451</v>
      </c>
      <c r="F716" s="49">
        <v>26</v>
      </c>
      <c r="G716" s="49">
        <v>28</v>
      </c>
      <c r="J716" s="49">
        <v>715</v>
      </c>
    </row>
    <row r="717" spans="1:10" s="49" customFormat="1" ht="30" x14ac:dyDescent="0.25">
      <c r="A717" s="48">
        <v>24</v>
      </c>
      <c r="B717" s="48" t="s">
        <v>505</v>
      </c>
      <c r="C717" s="48" t="s">
        <v>510</v>
      </c>
      <c r="D717" s="48" t="s">
        <v>450</v>
      </c>
      <c r="E717" s="48" t="s">
        <v>451</v>
      </c>
      <c r="F717" s="49">
        <v>27</v>
      </c>
      <c r="G717" s="49">
        <v>27</v>
      </c>
      <c r="J717" s="49">
        <v>716</v>
      </c>
    </row>
    <row r="718" spans="1:10" s="49" customFormat="1" ht="30" x14ac:dyDescent="0.25">
      <c r="A718" s="48">
        <v>24</v>
      </c>
      <c r="B718" s="48" t="s">
        <v>505</v>
      </c>
      <c r="C718" s="48" t="s">
        <v>510</v>
      </c>
      <c r="D718" s="48" t="s">
        <v>450</v>
      </c>
      <c r="E718" s="48" t="s">
        <v>451</v>
      </c>
      <c r="F718" s="49">
        <v>28</v>
      </c>
      <c r="G718" s="49">
        <v>28</v>
      </c>
      <c r="J718" s="49">
        <v>717</v>
      </c>
    </row>
    <row r="719" spans="1:10" s="49" customFormat="1" ht="30" x14ac:dyDescent="0.25">
      <c r="A719" s="48">
        <v>24</v>
      </c>
      <c r="B719" s="48" t="s">
        <v>505</v>
      </c>
      <c r="C719" s="48" t="s">
        <v>510</v>
      </c>
      <c r="D719" s="48" t="s">
        <v>450</v>
      </c>
      <c r="E719" s="48" t="s">
        <v>451</v>
      </c>
      <c r="F719" s="49">
        <v>29</v>
      </c>
      <c r="G719" s="49">
        <v>27</v>
      </c>
      <c r="J719" s="49">
        <v>718</v>
      </c>
    </row>
    <row r="720" spans="1:10" s="49" customFormat="1" ht="30" x14ac:dyDescent="0.25">
      <c r="A720" s="48">
        <v>24</v>
      </c>
      <c r="B720" s="48" t="s">
        <v>505</v>
      </c>
      <c r="C720" s="48" t="s">
        <v>510</v>
      </c>
      <c r="D720" s="48" t="s">
        <v>450</v>
      </c>
      <c r="E720" s="48" t="s">
        <v>451</v>
      </c>
      <c r="F720" s="49">
        <v>30</v>
      </c>
      <c r="G720" s="49">
        <v>33</v>
      </c>
      <c r="J720" s="49">
        <v>719</v>
      </c>
    </row>
    <row r="721" spans="1:10" s="49" customFormat="1" ht="30.75" thickBot="1" x14ac:dyDescent="0.3">
      <c r="A721" s="48">
        <v>24</v>
      </c>
      <c r="B721" s="48" t="s">
        <v>505</v>
      </c>
      <c r="C721" s="48" t="s">
        <v>510</v>
      </c>
      <c r="D721" s="51" t="s">
        <v>450</v>
      </c>
      <c r="E721" s="51" t="s">
        <v>451</v>
      </c>
      <c r="F721" s="52">
        <v>31</v>
      </c>
      <c r="G721" s="52">
        <v>31</v>
      </c>
      <c r="H721" s="52">
        <v>914</v>
      </c>
      <c r="I721" s="52">
        <v>31</v>
      </c>
      <c r="J721" s="49">
        <v>720</v>
      </c>
    </row>
    <row r="722" spans="1:10" s="49" customFormat="1" ht="30.75" thickTop="1" x14ac:dyDescent="0.25">
      <c r="A722" s="48">
        <v>25</v>
      </c>
      <c r="B722" s="48" t="s">
        <v>505</v>
      </c>
      <c r="C722" s="48" t="s">
        <v>510</v>
      </c>
      <c r="D722" s="48" t="s">
        <v>454</v>
      </c>
      <c r="E722" s="48" t="s">
        <v>455</v>
      </c>
      <c r="F722" s="49">
        <v>1</v>
      </c>
      <c r="G722" s="49">
        <v>18</v>
      </c>
      <c r="J722" s="49">
        <v>721</v>
      </c>
    </row>
    <row r="723" spans="1:10" s="49" customFormat="1" ht="30" x14ac:dyDescent="0.25">
      <c r="A723" s="48">
        <v>25</v>
      </c>
      <c r="B723" s="48" t="s">
        <v>505</v>
      </c>
      <c r="C723" s="48" t="s">
        <v>510</v>
      </c>
      <c r="D723" s="48" t="s">
        <v>454</v>
      </c>
      <c r="E723" s="48" t="s">
        <v>455</v>
      </c>
      <c r="F723" s="49">
        <v>2</v>
      </c>
      <c r="G723" s="49">
        <v>26</v>
      </c>
      <c r="J723" s="49">
        <v>722</v>
      </c>
    </row>
    <row r="724" spans="1:10" s="49" customFormat="1" ht="30" x14ac:dyDescent="0.25">
      <c r="A724" s="48">
        <v>25</v>
      </c>
      <c r="B724" s="48" t="s">
        <v>505</v>
      </c>
      <c r="C724" s="48" t="s">
        <v>510</v>
      </c>
      <c r="D724" s="48" t="s">
        <v>454</v>
      </c>
      <c r="E724" s="48" t="s">
        <v>455</v>
      </c>
      <c r="F724" s="49">
        <v>3</v>
      </c>
      <c r="G724" s="49">
        <v>22</v>
      </c>
      <c r="J724" s="49">
        <v>723</v>
      </c>
    </row>
    <row r="725" spans="1:10" s="49" customFormat="1" ht="30" x14ac:dyDescent="0.25">
      <c r="A725" s="48">
        <v>25</v>
      </c>
      <c r="B725" s="48" t="s">
        <v>505</v>
      </c>
      <c r="C725" s="48" t="s">
        <v>510</v>
      </c>
      <c r="D725" s="48" t="s">
        <v>454</v>
      </c>
      <c r="E725" s="48" t="s">
        <v>455</v>
      </c>
      <c r="F725" s="49">
        <v>4</v>
      </c>
      <c r="G725" s="49">
        <v>17</v>
      </c>
      <c r="J725" s="49">
        <v>724</v>
      </c>
    </row>
    <row r="726" spans="1:10" s="49" customFormat="1" ht="30" x14ac:dyDescent="0.25">
      <c r="A726" s="48">
        <v>25</v>
      </c>
      <c r="B726" s="48" t="s">
        <v>505</v>
      </c>
      <c r="C726" s="48" t="s">
        <v>510</v>
      </c>
      <c r="D726" s="48" t="s">
        <v>454</v>
      </c>
      <c r="E726" s="48" t="s">
        <v>455</v>
      </c>
      <c r="F726" s="49">
        <v>5</v>
      </c>
      <c r="G726" s="49">
        <v>19</v>
      </c>
      <c r="J726" s="49">
        <v>725</v>
      </c>
    </row>
    <row r="727" spans="1:10" s="49" customFormat="1" ht="30" x14ac:dyDescent="0.25">
      <c r="A727" s="48">
        <v>25</v>
      </c>
      <c r="B727" s="48" t="s">
        <v>505</v>
      </c>
      <c r="C727" s="48" t="s">
        <v>510</v>
      </c>
      <c r="D727" s="48" t="s">
        <v>454</v>
      </c>
      <c r="E727" s="48" t="s">
        <v>455</v>
      </c>
      <c r="F727" s="49">
        <v>6</v>
      </c>
      <c r="G727" s="49">
        <v>12</v>
      </c>
      <c r="J727" s="49">
        <v>726</v>
      </c>
    </row>
    <row r="728" spans="1:10" s="49" customFormat="1" ht="30" x14ac:dyDescent="0.25">
      <c r="A728" s="48">
        <v>25</v>
      </c>
      <c r="B728" s="48" t="s">
        <v>505</v>
      </c>
      <c r="C728" s="48" t="s">
        <v>510</v>
      </c>
      <c r="D728" s="48" t="s">
        <v>454</v>
      </c>
      <c r="E728" s="48" t="s">
        <v>455</v>
      </c>
      <c r="F728" s="49">
        <v>7</v>
      </c>
      <c r="G728" s="49">
        <v>29</v>
      </c>
      <c r="J728" s="49">
        <v>727</v>
      </c>
    </row>
    <row r="729" spans="1:10" s="49" customFormat="1" ht="30" x14ac:dyDescent="0.25">
      <c r="A729" s="48">
        <v>25</v>
      </c>
      <c r="B729" s="48" t="s">
        <v>505</v>
      </c>
      <c r="C729" s="48" t="s">
        <v>510</v>
      </c>
      <c r="D729" s="48" t="s">
        <v>454</v>
      </c>
      <c r="E729" s="48" t="s">
        <v>455</v>
      </c>
      <c r="F729" s="49">
        <v>8</v>
      </c>
      <c r="G729" s="49">
        <v>17</v>
      </c>
      <c r="J729" s="49">
        <v>728</v>
      </c>
    </row>
    <row r="730" spans="1:10" s="49" customFormat="1" ht="30" x14ac:dyDescent="0.25">
      <c r="A730" s="48">
        <v>25</v>
      </c>
      <c r="B730" s="48" t="s">
        <v>505</v>
      </c>
      <c r="C730" s="48" t="s">
        <v>510</v>
      </c>
      <c r="D730" s="48" t="s">
        <v>454</v>
      </c>
      <c r="E730" s="48" t="s">
        <v>455</v>
      </c>
      <c r="F730" s="49">
        <v>9</v>
      </c>
      <c r="G730" s="49">
        <v>17</v>
      </c>
      <c r="J730" s="49">
        <v>729</v>
      </c>
    </row>
    <row r="731" spans="1:10" s="49" customFormat="1" ht="30" x14ac:dyDescent="0.25">
      <c r="A731" s="48">
        <v>25</v>
      </c>
      <c r="B731" s="48" t="s">
        <v>505</v>
      </c>
      <c r="C731" s="48" t="s">
        <v>510</v>
      </c>
      <c r="D731" s="48" t="s">
        <v>454</v>
      </c>
      <c r="E731" s="48" t="s">
        <v>455</v>
      </c>
      <c r="F731" s="49">
        <v>10</v>
      </c>
      <c r="G731" s="49">
        <v>20</v>
      </c>
      <c r="J731" s="49">
        <v>730</v>
      </c>
    </row>
    <row r="732" spans="1:10" s="49" customFormat="1" ht="30" x14ac:dyDescent="0.25">
      <c r="A732" s="48">
        <v>25</v>
      </c>
      <c r="B732" s="48" t="s">
        <v>505</v>
      </c>
      <c r="C732" s="48" t="s">
        <v>510</v>
      </c>
      <c r="D732" s="48" t="s">
        <v>454</v>
      </c>
      <c r="E732" s="48" t="s">
        <v>455</v>
      </c>
      <c r="F732" s="49">
        <v>11</v>
      </c>
      <c r="G732" s="49">
        <v>10</v>
      </c>
      <c r="J732" s="49">
        <v>731</v>
      </c>
    </row>
    <row r="733" spans="1:10" s="49" customFormat="1" ht="30.75" thickBot="1" x14ac:dyDescent="0.3">
      <c r="A733" s="48">
        <v>25</v>
      </c>
      <c r="B733" s="48" t="s">
        <v>505</v>
      </c>
      <c r="C733" s="48" t="s">
        <v>510</v>
      </c>
      <c r="D733" s="51" t="s">
        <v>454</v>
      </c>
      <c r="E733" s="51" t="s">
        <v>455</v>
      </c>
      <c r="F733" s="52">
        <v>12</v>
      </c>
      <c r="G733" s="52">
        <v>14</v>
      </c>
      <c r="H733" s="52">
        <v>221</v>
      </c>
      <c r="I733" s="52">
        <v>12</v>
      </c>
      <c r="J733" s="49">
        <v>732</v>
      </c>
    </row>
    <row r="734" spans="1:10" s="49" customFormat="1" ht="30.75" thickTop="1" x14ac:dyDescent="0.25">
      <c r="A734" s="48">
        <v>26</v>
      </c>
      <c r="B734" s="48" t="s">
        <v>505</v>
      </c>
      <c r="C734" s="48" t="s">
        <v>510</v>
      </c>
      <c r="D734" s="48" t="s">
        <v>458</v>
      </c>
      <c r="E734" s="48" t="s">
        <v>459</v>
      </c>
      <c r="F734" s="49">
        <v>1</v>
      </c>
      <c r="G734" s="49">
        <v>17</v>
      </c>
      <c r="J734" s="49">
        <v>733</v>
      </c>
    </row>
    <row r="735" spans="1:10" s="49" customFormat="1" ht="30" x14ac:dyDescent="0.25">
      <c r="A735" s="48">
        <v>26</v>
      </c>
      <c r="B735" s="48" t="s">
        <v>505</v>
      </c>
      <c r="C735" s="48" t="s">
        <v>510</v>
      </c>
      <c r="D735" s="48" t="s">
        <v>458</v>
      </c>
      <c r="E735" s="48" t="s">
        <v>459</v>
      </c>
      <c r="F735" s="49">
        <v>2</v>
      </c>
      <c r="G735" s="49">
        <v>17</v>
      </c>
      <c r="J735" s="49">
        <v>734</v>
      </c>
    </row>
    <row r="736" spans="1:10" s="49" customFormat="1" ht="30" x14ac:dyDescent="0.25">
      <c r="A736" s="48">
        <v>26</v>
      </c>
      <c r="B736" s="48" t="s">
        <v>505</v>
      </c>
      <c r="C736" s="48" t="s">
        <v>510</v>
      </c>
      <c r="D736" s="48" t="s">
        <v>458</v>
      </c>
      <c r="E736" s="48" t="s">
        <v>459</v>
      </c>
      <c r="F736" s="49">
        <v>3</v>
      </c>
      <c r="G736" s="49">
        <v>11</v>
      </c>
      <c r="J736" s="49">
        <v>735</v>
      </c>
    </row>
    <row r="737" spans="1:10" s="49" customFormat="1" ht="30" x14ac:dyDescent="0.25">
      <c r="A737" s="48">
        <v>26</v>
      </c>
      <c r="B737" s="48" t="s">
        <v>505</v>
      </c>
      <c r="C737" s="48" t="s">
        <v>510</v>
      </c>
      <c r="D737" s="48" t="s">
        <v>458</v>
      </c>
      <c r="E737" s="48" t="s">
        <v>459</v>
      </c>
      <c r="F737" s="49">
        <v>4</v>
      </c>
      <c r="G737" s="49">
        <v>16</v>
      </c>
      <c r="J737" s="49">
        <v>736</v>
      </c>
    </row>
    <row r="738" spans="1:10" s="49" customFormat="1" ht="30" x14ac:dyDescent="0.25">
      <c r="A738" s="48">
        <v>26</v>
      </c>
      <c r="B738" s="48" t="s">
        <v>505</v>
      </c>
      <c r="C738" s="48" t="s">
        <v>510</v>
      </c>
      <c r="D738" s="48" t="s">
        <v>458</v>
      </c>
      <c r="E738" s="48" t="s">
        <v>459</v>
      </c>
      <c r="F738" s="49">
        <v>5</v>
      </c>
      <c r="G738" s="49">
        <v>16</v>
      </c>
      <c r="J738" s="49">
        <v>737</v>
      </c>
    </row>
    <row r="739" spans="1:10" s="49" customFormat="1" ht="30" x14ac:dyDescent="0.25">
      <c r="A739" s="48">
        <v>26</v>
      </c>
      <c r="B739" s="48" t="s">
        <v>505</v>
      </c>
      <c r="C739" s="48" t="s">
        <v>510</v>
      </c>
      <c r="D739" s="48" t="s">
        <v>458</v>
      </c>
      <c r="E739" s="48" t="s">
        <v>459</v>
      </c>
      <c r="F739" s="49">
        <v>6</v>
      </c>
      <c r="G739" s="49">
        <v>12</v>
      </c>
      <c r="J739" s="49">
        <v>738</v>
      </c>
    </row>
    <row r="740" spans="1:10" s="49" customFormat="1" ht="30" x14ac:dyDescent="0.25">
      <c r="A740" s="48">
        <v>26</v>
      </c>
      <c r="B740" s="48" t="s">
        <v>505</v>
      </c>
      <c r="C740" s="48" t="s">
        <v>510</v>
      </c>
      <c r="D740" s="48" t="s">
        <v>458</v>
      </c>
      <c r="E740" s="48" t="s">
        <v>459</v>
      </c>
      <c r="F740" s="49">
        <v>7</v>
      </c>
      <c r="G740" s="49">
        <v>14</v>
      </c>
      <c r="J740" s="49">
        <v>739</v>
      </c>
    </row>
    <row r="741" spans="1:10" s="49" customFormat="1" ht="30.75" thickBot="1" x14ac:dyDescent="0.3">
      <c r="A741" s="48">
        <v>26</v>
      </c>
      <c r="B741" s="48" t="s">
        <v>505</v>
      </c>
      <c r="C741" s="48" t="s">
        <v>510</v>
      </c>
      <c r="D741" s="51" t="s">
        <v>458</v>
      </c>
      <c r="E741" s="51" t="s">
        <v>459</v>
      </c>
      <c r="F741" s="52">
        <v>8</v>
      </c>
      <c r="G741" s="52">
        <v>14</v>
      </c>
      <c r="H741" s="52">
        <v>117</v>
      </c>
      <c r="I741" s="52">
        <v>8</v>
      </c>
      <c r="J741" s="49">
        <v>740</v>
      </c>
    </row>
    <row r="742" spans="1:10" s="49" customFormat="1" ht="30.75" thickTop="1" x14ac:dyDescent="0.25">
      <c r="A742" s="48">
        <v>27</v>
      </c>
      <c r="B742" s="48" t="s">
        <v>505</v>
      </c>
      <c r="C742" s="48" t="s">
        <v>510</v>
      </c>
      <c r="D742" s="48" t="s">
        <v>461</v>
      </c>
      <c r="E742" s="48" t="s">
        <v>462</v>
      </c>
      <c r="F742" s="49">
        <v>1</v>
      </c>
      <c r="G742" s="49">
        <v>16</v>
      </c>
      <c r="J742" s="49">
        <v>741</v>
      </c>
    </row>
    <row r="743" spans="1:10" s="49" customFormat="1" ht="30" x14ac:dyDescent="0.25">
      <c r="A743" s="48">
        <v>27</v>
      </c>
      <c r="B743" s="48" t="s">
        <v>505</v>
      </c>
      <c r="C743" s="48" t="s">
        <v>510</v>
      </c>
      <c r="D743" s="48" t="s">
        <v>461</v>
      </c>
      <c r="E743" s="48" t="s">
        <v>462</v>
      </c>
      <c r="F743" s="49">
        <v>2</v>
      </c>
      <c r="G743" s="49">
        <v>24</v>
      </c>
      <c r="J743" s="49">
        <v>742</v>
      </c>
    </row>
    <row r="744" spans="1:10" s="49" customFormat="1" ht="30" x14ac:dyDescent="0.25">
      <c r="A744" s="48">
        <v>27</v>
      </c>
      <c r="B744" s="48" t="s">
        <v>505</v>
      </c>
      <c r="C744" s="48" t="s">
        <v>510</v>
      </c>
      <c r="D744" s="48" t="s">
        <v>461</v>
      </c>
      <c r="E744" s="48" t="s">
        <v>462</v>
      </c>
      <c r="F744" s="49">
        <v>3</v>
      </c>
      <c r="G744" s="49">
        <v>19</v>
      </c>
      <c r="J744" s="49">
        <v>743</v>
      </c>
    </row>
    <row r="745" spans="1:10" s="49" customFormat="1" ht="30" x14ac:dyDescent="0.25">
      <c r="A745" s="48">
        <v>27</v>
      </c>
      <c r="B745" s="48" t="s">
        <v>505</v>
      </c>
      <c r="C745" s="48" t="s">
        <v>510</v>
      </c>
      <c r="D745" s="48" t="s">
        <v>461</v>
      </c>
      <c r="E745" s="48" t="s">
        <v>462</v>
      </c>
      <c r="F745" s="49">
        <v>4</v>
      </c>
      <c r="G745" s="49">
        <v>20</v>
      </c>
      <c r="J745" s="49">
        <v>744</v>
      </c>
    </row>
    <row r="746" spans="1:10" s="49" customFormat="1" ht="30" x14ac:dyDescent="0.25">
      <c r="A746" s="48">
        <v>27</v>
      </c>
      <c r="B746" s="48" t="s">
        <v>505</v>
      </c>
      <c r="C746" s="48" t="s">
        <v>510</v>
      </c>
      <c r="D746" s="48" t="s">
        <v>461</v>
      </c>
      <c r="E746" s="48" t="s">
        <v>462</v>
      </c>
      <c r="F746" s="49">
        <v>5</v>
      </c>
      <c r="G746" s="49">
        <v>23</v>
      </c>
      <c r="J746" s="49">
        <v>745</v>
      </c>
    </row>
    <row r="747" spans="1:10" s="49" customFormat="1" ht="30" x14ac:dyDescent="0.25">
      <c r="A747" s="48">
        <v>27</v>
      </c>
      <c r="B747" s="48" t="s">
        <v>505</v>
      </c>
      <c r="C747" s="48" t="s">
        <v>510</v>
      </c>
      <c r="D747" s="48" t="s">
        <v>461</v>
      </c>
      <c r="E747" s="48" t="s">
        <v>462</v>
      </c>
      <c r="F747" s="49">
        <v>6</v>
      </c>
      <c r="G747" s="49">
        <v>25</v>
      </c>
      <c r="J747" s="49">
        <v>746</v>
      </c>
    </row>
    <row r="748" spans="1:10" s="49" customFormat="1" ht="30" x14ac:dyDescent="0.25">
      <c r="A748" s="48">
        <v>27</v>
      </c>
      <c r="B748" s="48" t="s">
        <v>505</v>
      </c>
      <c r="C748" s="48" t="s">
        <v>510</v>
      </c>
      <c r="D748" s="48" t="s">
        <v>461</v>
      </c>
      <c r="E748" s="48" t="s">
        <v>462</v>
      </c>
      <c r="F748" s="49">
        <v>7</v>
      </c>
      <c r="G748" s="49">
        <v>30</v>
      </c>
      <c r="J748" s="49">
        <v>747</v>
      </c>
    </row>
    <row r="749" spans="1:10" s="49" customFormat="1" ht="30" x14ac:dyDescent="0.25">
      <c r="A749" s="48">
        <v>27</v>
      </c>
      <c r="B749" s="48" t="s">
        <v>505</v>
      </c>
      <c r="C749" s="48" t="s">
        <v>510</v>
      </c>
      <c r="D749" s="48" t="s">
        <v>461</v>
      </c>
      <c r="E749" s="48" t="s">
        <v>462</v>
      </c>
      <c r="F749" s="49">
        <v>8</v>
      </c>
      <c r="G749" s="49">
        <v>21</v>
      </c>
      <c r="J749" s="49">
        <v>748</v>
      </c>
    </row>
    <row r="750" spans="1:10" s="49" customFormat="1" ht="30" x14ac:dyDescent="0.25">
      <c r="A750" s="48">
        <v>27</v>
      </c>
      <c r="B750" s="48" t="s">
        <v>505</v>
      </c>
      <c r="C750" s="48" t="s">
        <v>510</v>
      </c>
      <c r="D750" s="48" t="s">
        <v>461</v>
      </c>
      <c r="E750" s="48" t="s">
        <v>462</v>
      </c>
      <c r="F750" s="49">
        <v>9</v>
      </c>
      <c r="G750" s="49">
        <v>18</v>
      </c>
      <c r="J750" s="49">
        <v>749</v>
      </c>
    </row>
    <row r="751" spans="1:10" s="49" customFormat="1" ht="30" x14ac:dyDescent="0.25">
      <c r="A751" s="48">
        <v>27</v>
      </c>
      <c r="B751" s="48" t="s">
        <v>505</v>
      </c>
      <c r="C751" s="48" t="s">
        <v>510</v>
      </c>
      <c r="D751" s="48" t="s">
        <v>461</v>
      </c>
      <c r="E751" s="48" t="s">
        <v>462</v>
      </c>
      <c r="F751" s="49">
        <v>10</v>
      </c>
      <c r="G751" s="49">
        <v>21</v>
      </c>
      <c r="J751" s="49">
        <v>750</v>
      </c>
    </row>
    <row r="752" spans="1:10" s="49" customFormat="1" ht="30" x14ac:dyDescent="0.25">
      <c r="A752" s="48">
        <v>27</v>
      </c>
      <c r="B752" s="48" t="s">
        <v>505</v>
      </c>
      <c r="C752" s="48" t="s">
        <v>510</v>
      </c>
      <c r="D752" s="48" t="s">
        <v>461</v>
      </c>
      <c r="E752" s="48" t="s">
        <v>462</v>
      </c>
      <c r="F752" s="49">
        <v>11</v>
      </c>
      <c r="G752" s="49">
        <v>26</v>
      </c>
      <c r="J752" s="49">
        <v>751</v>
      </c>
    </row>
    <row r="753" spans="1:10" s="49" customFormat="1" ht="30" x14ac:dyDescent="0.25">
      <c r="A753" s="48">
        <v>27</v>
      </c>
      <c r="B753" s="48" t="s">
        <v>505</v>
      </c>
      <c r="C753" s="48" t="s">
        <v>510</v>
      </c>
      <c r="D753" s="48" t="s">
        <v>461</v>
      </c>
      <c r="E753" s="48" t="s">
        <v>462</v>
      </c>
      <c r="F753" s="49">
        <v>12</v>
      </c>
      <c r="G753" s="49">
        <v>27</v>
      </c>
      <c r="J753" s="49">
        <v>752</v>
      </c>
    </row>
    <row r="754" spans="1:10" s="49" customFormat="1" ht="30" x14ac:dyDescent="0.25">
      <c r="A754" s="48">
        <v>27</v>
      </c>
      <c r="B754" s="48" t="s">
        <v>505</v>
      </c>
      <c r="C754" s="48" t="s">
        <v>510</v>
      </c>
      <c r="D754" s="48" t="s">
        <v>461</v>
      </c>
      <c r="E754" s="48" t="s">
        <v>462</v>
      </c>
      <c r="F754" s="49">
        <v>13</v>
      </c>
      <c r="G754" s="49">
        <v>19</v>
      </c>
      <c r="J754" s="49">
        <v>753</v>
      </c>
    </row>
    <row r="755" spans="1:10" s="49" customFormat="1" ht="30" x14ac:dyDescent="0.25">
      <c r="A755" s="48">
        <v>27</v>
      </c>
      <c r="B755" s="48" t="s">
        <v>505</v>
      </c>
      <c r="C755" s="48" t="s">
        <v>510</v>
      </c>
      <c r="D755" s="48" t="s">
        <v>461</v>
      </c>
      <c r="E755" s="48" t="s">
        <v>462</v>
      </c>
      <c r="F755" s="49">
        <v>14</v>
      </c>
      <c r="G755" s="49">
        <v>31</v>
      </c>
      <c r="J755" s="49">
        <v>754</v>
      </c>
    </row>
    <row r="756" spans="1:10" s="49" customFormat="1" ht="30" x14ac:dyDescent="0.25">
      <c r="A756" s="48">
        <v>27</v>
      </c>
      <c r="B756" s="48" t="s">
        <v>505</v>
      </c>
      <c r="C756" s="48" t="s">
        <v>510</v>
      </c>
      <c r="D756" s="48" t="s">
        <v>461</v>
      </c>
      <c r="E756" s="48" t="s">
        <v>462</v>
      </c>
      <c r="F756" s="49">
        <v>15</v>
      </c>
      <c r="G756" s="49">
        <v>19</v>
      </c>
      <c r="J756" s="49">
        <v>755</v>
      </c>
    </row>
    <row r="757" spans="1:10" s="49" customFormat="1" ht="30" x14ac:dyDescent="0.25">
      <c r="A757" s="48">
        <v>27</v>
      </c>
      <c r="B757" s="48" t="s">
        <v>505</v>
      </c>
      <c r="C757" s="48" t="s">
        <v>510</v>
      </c>
      <c r="D757" s="48" t="s">
        <v>461</v>
      </c>
      <c r="E757" s="48" t="s">
        <v>462</v>
      </c>
      <c r="F757" s="49">
        <v>16</v>
      </c>
      <c r="G757" s="49">
        <v>29</v>
      </c>
      <c r="J757" s="49">
        <v>756</v>
      </c>
    </row>
    <row r="758" spans="1:10" s="49" customFormat="1" ht="30" x14ac:dyDescent="0.25">
      <c r="A758" s="48">
        <v>27</v>
      </c>
      <c r="B758" s="48" t="s">
        <v>505</v>
      </c>
      <c r="C758" s="48" t="s">
        <v>510</v>
      </c>
      <c r="D758" s="48" t="s">
        <v>461</v>
      </c>
      <c r="E758" s="48" t="s">
        <v>462</v>
      </c>
      <c r="F758" s="49">
        <v>17</v>
      </c>
      <c r="G758" s="49">
        <v>20</v>
      </c>
      <c r="J758" s="49">
        <v>757</v>
      </c>
    </row>
    <row r="759" spans="1:10" s="49" customFormat="1" ht="30" x14ac:dyDescent="0.25">
      <c r="A759" s="48">
        <v>27</v>
      </c>
      <c r="B759" s="48" t="s">
        <v>505</v>
      </c>
      <c r="C759" s="48" t="s">
        <v>510</v>
      </c>
      <c r="D759" s="48" t="s">
        <v>461</v>
      </c>
      <c r="E759" s="48" t="s">
        <v>462</v>
      </c>
      <c r="F759" s="49">
        <v>18</v>
      </c>
      <c r="G759" s="49">
        <v>25</v>
      </c>
      <c r="J759" s="49">
        <v>758</v>
      </c>
    </row>
    <row r="760" spans="1:10" s="49" customFormat="1" ht="30.75" thickBot="1" x14ac:dyDescent="0.3">
      <c r="A760" s="48">
        <v>27</v>
      </c>
      <c r="B760" s="48" t="s">
        <v>505</v>
      </c>
      <c r="C760" s="48" t="s">
        <v>510</v>
      </c>
      <c r="D760" s="51" t="s">
        <v>461</v>
      </c>
      <c r="E760" s="51" t="s">
        <v>462</v>
      </c>
      <c r="F760" s="52">
        <v>19</v>
      </c>
      <c r="G760" s="52">
        <v>22</v>
      </c>
      <c r="H760" s="52">
        <v>435</v>
      </c>
      <c r="I760" s="52">
        <v>19</v>
      </c>
      <c r="J760" s="49">
        <v>759</v>
      </c>
    </row>
    <row r="761" spans="1:10" s="49" customFormat="1" ht="30.75" thickTop="1" x14ac:dyDescent="0.25">
      <c r="A761" s="48">
        <v>28</v>
      </c>
      <c r="B761" s="48" t="s">
        <v>505</v>
      </c>
      <c r="C761" s="48" t="s">
        <v>510</v>
      </c>
      <c r="D761" s="48" t="s">
        <v>463</v>
      </c>
      <c r="E761" s="48" t="s">
        <v>464</v>
      </c>
      <c r="F761" s="49">
        <v>1</v>
      </c>
      <c r="G761" s="49">
        <v>29</v>
      </c>
      <c r="J761" s="49">
        <v>760</v>
      </c>
    </row>
    <row r="762" spans="1:10" s="49" customFormat="1" ht="30" x14ac:dyDescent="0.25">
      <c r="A762" s="48">
        <v>28</v>
      </c>
      <c r="B762" s="48" t="s">
        <v>505</v>
      </c>
      <c r="C762" s="48" t="s">
        <v>510</v>
      </c>
      <c r="D762" s="48" t="s">
        <v>463</v>
      </c>
      <c r="E762" s="48" t="s">
        <v>464</v>
      </c>
      <c r="F762" s="49">
        <v>2</v>
      </c>
      <c r="G762" s="49">
        <v>18</v>
      </c>
      <c r="J762" s="49">
        <v>761</v>
      </c>
    </row>
    <row r="763" spans="1:10" s="49" customFormat="1" ht="30" x14ac:dyDescent="0.25">
      <c r="A763" s="48">
        <v>28</v>
      </c>
      <c r="B763" s="48" t="s">
        <v>505</v>
      </c>
      <c r="C763" s="48" t="s">
        <v>510</v>
      </c>
      <c r="D763" s="48" t="s">
        <v>463</v>
      </c>
      <c r="E763" s="48" t="s">
        <v>464</v>
      </c>
      <c r="F763" s="49">
        <v>3</v>
      </c>
      <c r="G763" s="49">
        <v>30</v>
      </c>
      <c r="J763" s="49">
        <v>762</v>
      </c>
    </row>
    <row r="764" spans="1:10" s="49" customFormat="1" ht="30" x14ac:dyDescent="0.25">
      <c r="A764" s="48">
        <v>28</v>
      </c>
      <c r="B764" s="48" t="s">
        <v>505</v>
      </c>
      <c r="C764" s="48" t="s">
        <v>510</v>
      </c>
      <c r="D764" s="48" t="s">
        <v>463</v>
      </c>
      <c r="E764" s="48" t="s">
        <v>464</v>
      </c>
      <c r="F764" s="49">
        <v>4</v>
      </c>
      <c r="G764" s="49">
        <v>31</v>
      </c>
      <c r="J764" s="49">
        <v>763</v>
      </c>
    </row>
    <row r="765" spans="1:10" s="49" customFormat="1" ht="30" x14ac:dyDescent="0.25">
      <c r="A765" s="48">
        <v>28</v>
      </c>
      <c r="B765" s="48" t="s">
        <v>505</v>
      </c>
      <c r="C765" s="48" t="s">
        <v>510</v>
      </c>
      <c r="D765" s="48" t="s">
        <v>463</v>
      </c>
      <c r="E765" s="48" t="s">
        <v>464</v>
      </c>
      <c r="F765" s="49">
        <v>5</v>
      </c>
      <c r="G765" s="49">
        <v>15</v>
      </c>
      <c r="J765" s="49">
        <v>764</v>
      </c>
    </row>
    <row r="766" spans="1:10" s="49" customFormat="1" ht="30" x14ac:dyDescent="0.25">
      <c r="A766" s="48">
        <v>28</v>
      </c>
      <c r="B766" s="48" t="s">
        <v>505</v>
      </c>
      <c r="C766" s="48" t="s">
        <v>510</v>
      </c>
      <c r="D766" s="48" t="s">
        <v>463</v>
      </c>
      <c r="E766" s="48" t="s">
        <v>464</v>
      </c>
      <c r="F766" s="49">
        <v>6</v>
      </c>
      <c r="G766" s="49">
        <v>37</v>
      </c>
      <c r="J766" s="49">
        <v>765</v>
      </c>
    </row>
    <row r="767" spans="1:10" s="49" customFormat="1" ht="30" x14ac:dyDescent="0.25">
      <c r="A767" s="48">
        <v>28</v>
      </c>
      <c r="B767" s="48" t="s">
        <v>505</v>
      </c>
      <c r="C767" s="48" t="s">
        <v>510</v>
      </c>
      <c r="D767" s="48" t="s">
        <v>463</v>
      </c>
      <c r="E767" s="48" t="s">
        <v>464</v>
      </c>
      <c r="F767" s="49">
        <v>7</v>
      </c>
      <c r="G767" s="49">
        <v>36</v>
      </c>
      <c r="J767" s="49">
        <v>766</v>
      </c>
    </row>
    <row r="768" spans="1:10" s="49" customFormat="1" ht="30" x14ac:dyDescent="0.25">
      <c r="A768" s="48">
        <v>28</v>
      </c>
      <c r="B768" s="48" t="s">
        <v>505</v>
      </c>
      <c r="C768" s="48" t="s">
        <v>510</v>
      </c>
      <c r="D768" s="48" t="s">
        <v>463</v>
      </c>
      <c r="E768" s="48" t="s">
        <v>464</v>
      </c>
      <c r="F768" s="49">
        <v>8</v>
      </c>
      <c r="G768" s="49">
        <v>19</v>
      </c>
      <c r="J768" s="49">
        <v>767</v>
      </c>
    </row>
    <row r="769" spans="1:10" s="49" customFormat="1" ht="30" x14ac:dyDescent="0.25">
      <c r="A769" s="48">
        <v>28</v>
      </c>
      <c r="B769" s="48" t="s">
        <v>505</v>
      </c>
      <c r="C769" s="48" t="s">
        <v>510</v>
      </c>
      <c r="D769" s="48" t="s">
        <v>463</v>
      </c>
      <c r="E769" s="48" t="s">
        <v>464</v>
      </c>
      <c r="F769" s="49">
        <v>9</v>
      </c>
      <c r="G769" s="49">
        <v>18</v>
      </c>
      <c r="J769" s="49">
        <v>768</v>
      </c>
    </row>
    <row r="770" spans="1:10" s="49" customFormat="1" ht="30" x14ac:dyDescent="0.25">
      <c r="A770" s="48">
        <v>28</v>
      </c>
      <c r="B770" s="48" t="s">
        <v>505</v>
      </c>
      <c r="C770" s="48" t="s">
        <v>510</v>
      </c>
      <c r="D770" s="48" t="s">
        <v>463</v>
      </c>
      <c r="E770" s="48" t="s">
        <v>464</v>
      </c>
      <c r="F770" s="49">
        <v>10</v>
      </c>
      <c r="G770" s="49">
        <v>31</v>
      </c>
      <c r="J770" s="49">
        <v>769</v>
      </c>
    </row>
    <row r="771" spans="1:10" s="49" customFormat="1" ht="30" x14ac:dyDescent="0.25">
      <c r="A771" s="48">
        <v>28</v>
      </c>
      <c r="B771" s="48" t="s">
        <v>505</v>
      </c>
      <c r="C771" s="48" t="s">
        <v>510</v>
      </c>
      <c r="D771" s="48" t="s">
        <v>463</v>
      </c>
      <c r="E771" s="48" t="s">
        <v>464</v>
      </c>
      <c r="F771" s="49">
        <v>11</v>
      </c>
      <c r="G771" s="49">
        <v>34</v>
      </c>
      <c r="J771" s="49">
        <v>770</v>
      </c>
    </row>
    <row r="772" spans="1:10" s="49" customFormat="1" ht="30" x14ac:dyDescent="0.25">
      <c r="A772" s="48">
        <v>28</v>
      </c>
      <c r="B772" s="48" t="s">
        <v>505</v>
      </c>
      <c r="C772" s="48" t="s">
        <v>510</v>
      </c>
      <c r="D772" s="48" t="s">
        <v>463</v>
      </c>
      <c r="E772" s="48" t="s">
        <v>464</v>
      </c>
      <c r="F772" s="49">
        <v>12</v>
      </c>
      <c r="G772" s="49">
        <v>18</v>
      </c>
      <c r="J772" s="49">
        <v>771</v>
      </c>
    </row>
    <row r="773" spans="1:10" s="49" customFormat="1" ht="30" x14ac:dyDescent="0.25">
      <c r="A773" s="48">
        <v>28</v>
      </c>
      <c r="B773" s="48" t="s">
        <v>505</v>
      </c>
      <c r="C773" s="48" t="s">
        <v>510</v>
      </c>
      <c r="D773" s="48" t="s">
        <v>463</v>
      </c>
      <c r="E773" s="48" t="s">
        <v>464</v>
      </c>
      <c r="F773" s="49">
        <v>13</v>
      </c>
      <c r="G773" s="49">
        <v>25</v>
      </c>
      <c r="J773" s="49">
        <v>772</v>
      </c>
    </row>
    <row r="774" spans="1:10" s="49" customFormat="1" ht="30" x14ac:dyDescent="0.25">
      <c r="A774" s="48">
        <v>28</v>
      </c>
      <c r="B774" s="48" t="s">
        <v>505</v>
      </c>
      <c r="C774" s="48" t="s">
        <v>510</v>
      </c>
      <c r="D774" s="48" t="s">
        <v>463</v>
      </c>
      <c r="E774" s="48" t="s">
        <v>464</v>
      </c>
      <c r="F774" s="49">
        <v>14</v>
      </c>
      <c r="G774" s="49">
        <v>27</v>
      </c>
      <c r="J774" s="49">
        <v>773</v>
      </c>
    </row>
    <row r="775" spans="1:10" s="49" customFormat="1" ht="30" x14ac:dyDescent="0.25">
      <c r="A775" s="48">
        <v>28</v>
      </c>
      <c r="B775" s="48" t="s">
        <v>505</v>
      </c>
      <c r="C775" s="48" t="s">
        <v>510</v>
      </c>
      <c r="D775" s="48" t="s">
        <v>463</v>
      </c>
      <c r="E775" s="48" t="s">
        <v>464</v>
      </c>
      <c r="F775" s="49">
        <v>15</v>
      </c>
      <c r="G775" s="49">
        <v>20</v>
      </c>
      <c r="J775" s="49">
        <v>774</v>
      </c>
    </row>
    <row r="776" spans="1:10" s="49" customFormat="1" ht="30" x14ac:dyDescent="0.25">
      <c r="A776" s="48">
        <v>28</v>
      </c>
      <c r="B776" s="48" t="s">
        <v>505</v>
      </c>
      <c r="C776" s="48" t="s">
        <v>510</v>
      </c>
      <c r="D776" s="48" t="s">
        <v>463</v>
      </c>
      <c r="E776" s="48" t="s">
        <v>464</v>
      </c>
      <c r="F776" s="49">
        <v>16</v>
      </c>
      <c r="G776" s="49">
        <v>30</v>
      </c>
      <c r="J776" s="49">
        <v>775</v>
      </c>
    </row>
    <row r="777" spans="1:10" s="49" customFormat="1" ht="30" x14ac:dyDescent="0.25">
      <c r="A777" s="48">
        <v>28</v>
      </c>
      <c r="B777" s="48" t="s">
        <v>505</v>
      </c>
      <c r="C777" s="48" t="s">
        <v>510</v>
      </c>
      <c r="D777" s="48" t="s">
        <v>463</v>
      </c>
      <c r="E777" s="48" t="s">
        <v>464</v>
      </c>
      <c r="F777" s="49">
        <v>17</v>
      </c>
      <c r="G777" s="49">
        <v>27</v>
      </c>
      <c r="J777" s="49">
        <v>776</v>
      </c>
    </row>
    <row r="778" spans="1:10" s="49" customFormat="1" ht="30" x14ac:dyDescent="0.25">
      <c r="A778" s="48">
        <v>28</v>
      </c>
      <c r="B778" s="48" t="s">
        <v>505</v>
      </c>
      <c r="C778" s="48" t="s">
        <v>510</v>
      </c>
      <c r="D778" s="48" t="s">
        <v>463</v>
      </c>
      <c r="E778" s="48" t="s">
        <v>464</v>
      </c>
      <c r="F778" s="49">
        <v>18</v>
      </c>
      <c r="G778" s="49">
        <v>33</v>
      </c>
      <c r="J778" s="49">
        <v>777</v>
      </c>
    </row>
    <row r="779" spans="1:10" s="49" customFormat="1" ht="30" x14ac:dyDescent="0.25">
      <c r="A779" s="48">
        <v>28</v>
      </c>
      <c r="B779" s="48" t="s">
        <v>505</v>
      </c>
      <c r="C779" s="48" t="s">
        <v>510</v>
      </c>
      <c r="D779" s="48" t="s">
        <v>463</v>
      </c>
      <c r="E779" s="48" t="s">
        <v>464</v>
      </c>
      <c r="F779" s="49">
        <v>19</v>
      </c>
      <c r="G779" s="49">
        <v>27</v>
      </c>
      <c r="J779" s="49">
        <v>778</v>
      </c>
    </row>
    <row r="780" spans="1:10" s="49" customFormat="1" ht="30" x14ac:dyDescent="0.25">
      <c r="A780" s="48">
        <v>28</v>
      </c>
      <c r="B780" s="48" t="s">
        <v>505</v>
      </c>
      <c r="C780" s="48" t="s">
        <v>510</v>
      </c>
      <c r="D780" s="48" t="s">
        <v>463</v>
      </c>
      <c r="E780" s="48" t="s">
        <v>464</v>
      </c>
      <c r="F780" s="49">
        <v>20</v>
      </c>
      <c r="G780" s="49">
        <v>31</v>
      </c>
      <c r="J780" s="49">
        <v>779</v>
      </c>
    </row>
    <row r="781" spans="1:10" s="49" customFormat="1" ht="30" x14ac:dyDescent="0.25">
      <c r="A781" s="48">
        <v>28</v>
      </c>
      <c r="B781" s="48" t="s">
        <v>505</v>
      </c>
      <c r="C781" s="48" t="s">
        <v>510</v>
      </c>
      <c r="D781" s="48" t="s">
        <v>463</v>
      </c>
      <c r="E781" s="48" t="s">
        <v>464</v>
      </c>
      <c r="F781" s="49">
        <v>21</v>
      </c>
      <c r="G781" s="49">
        <v>28</v>
      </c>
      <c r="J781" s="49">
        <v>780</v>
      </c>
    </row>
    <row r="782" spans="1:10" s="49" customFormat="1" ht="30" x14ac:dyDescent="0.25">
      <c r="A782" s="48">
        <v>28</v>
      </c>
      <c r="B782" s="48" t="s">
        <v>505</v>
      </c>
      <c r="C782" s="48" t="s">
        <v>510</v>
      </c>
      <c r="D782" s="48" t="s">
        <v>463</v>
      </c>
      <c r="E782" s="48" t="s">
        <v>464</v>
      </c>
      <c r="F782" s="49">
        <v>22</v>
      </c>
      <c r="G782" s="49">
        <v>27</v>
      </c>
      <c r="J782" s="49">
        <v>781</v>
      </c>
    </row>
    <row r="783" spans="1:10" s="49" customFormat="1" ht="30" x14ac:dyDescent="0.25">
      <c r="A783" s="48">
        <v>28</v>
      </c>
      <c r="B783" s="48" t="s">
        <v>505</v>
      </c>
      <c r="C783" s="48" t="s">
        <v>510</v>
      </c>
      <c r="D783" s="48" t="s">
        <v>463</v>
      </c>
      <c r="E783" s="48" t="s">
        <v>464</v>
      </c>
      <c r="F783" s="49">
        <v>23</v>
      </c>
      <c r="G783" s="49">
        <v>27</v>
      </c>
      <c r="J783" s="49">
        <v>782</v>
      </c>
    </row>
    <row r="784" spans="1:10" s="49" customFormat="1" ht="30" x14ac:dyDescent="0.25">
      <c r="A784" s="48">
        <v>28</v>
      </c>
      <c r="B784" s="48" t="s">
        <v>505</v>
      </c>
      <c r="C784" s="48" t="s">
        <v>510</v>
      </c>
      <c r="D784" s="48" t="s">
        <v>463</v>
      </c>
      <c r="E784" s="48" t="s">
        <v>464</v>
      </c>
      <c r="F784" s="49">
        <v>24</v>
      </c>
      <c r="G784" s="49">
        <v>32</v>
      </c>
      <c r="J784" s="49">
        <v>783</v>
      </c>
    </row>
    <row r="785" spans="1:10" s="49" customFormat="1" ht="30" x14ac:dyDescent="0.25">
      <c r="A785" s="48">
        <v>28</v>
      </c>
      <c r="B785" s="48" t="s">
        <v>505</v>
      </c>
      <c r="C785" s="48" t="s">
        <v>510</v>
      </c>
      <c r="D785" s="48" t="s">
        <v>463</v>
      </c>
      <c r="E785" s="48" t="s">
        <v>464</v>
      </c>
      <c r="F785" s="49">
        <v>25</v>
      </c>
      <c r="G785" s="49">
        <v>26</v>
      </c>
      <c r="J785" s="49">
        <v>784</v>
      </c>
    </row>
    <row r="786" spans="1:10" s="49" customFormat="1" ht="30" x14ac:dyDescent="0.25">
      <c r="A786" s="48">
        <v>28</v>
      </c>
      <c r="B786" s="48" t="s">
        <v>505</v>
      </c>
      <c r="C786" s="48" t="s">
        <v>510</v>
      </c>
      <c r="D786" s="48" t="s">
        <v>463</v>
      </c>
      <c r="E786" s="48" t="s">
        <v>464</v>
      </c>
      <c r="F786" s="49">
        <v>26</v>
      </c>
      <c r="G786" s="49">
        <v>20</v>
      </c>
      <c r="J786" s="49">
        <v>785</v>
      </c>
    </row>
    <row r="787" spans="1:10" s="49" customFormat="1" ht="30" x14ac:dyDescent="0.25">
      <c r="A787" s="48">
        <v>28</v>
      </c>
      <c r="B787" s="48" t="s">
        <v>505</v>
      </c>
      <c r="C787" s="48" t="s">
        <v>510</v>
      </c>
      <c r="D787" s="48" t="s">
        <v>463</v>
      </c>
      <c r="E787" s="48" t="s">
        <v>464</v>
      </c>
      <c r="F787" s="49">
        <v>27</v>
      </c>
      <c r="G787" s="49">
        <v>30</v>
      </c>
      <c r="J787" s="49">
        <v>786</v>
      </c>
    </row>
    <row r="788" spans="1:10" s="49" customFormat="1" ht="30" x14ac:dyDescent="0.25">
      <c r="A788" s="48">
        <v>28</v>
      </c>
      <c r="B788" s="48" t="s">
        <v>505</v>
      </c>
      <c r="C788" s="48" t="s">
        <v>510</v>
      </c>
      <c r="D788" s="48" t="s">
        <v>463</v>
      </c>
      <c r="E788" s="48" t="s">
        <v>464</v>
      </c>
      <c r="F788" s="49">
        <v>28</v>
      </c>
      <c r="G788" s="49">
        <v>26</v>
      </c>
      <c r="J788" s="49">
        <v>787</v>
      </c>
    </row>
    <row r="789" spans="1:10" s="49" customFormat="1" ht="30" x14ac:dyDescent="0.25">
      <c r="A789" s="48">
        <v>28</v>
      </c>
      <c r="B789" s="48" t="s">
        <v>505</v>
      </c>
      <c r="C789" s="48" t="s">
        <v>510</v>
      </c>
      <c r="D789" s="48" t="s">
        <v>463</v>
      </c>
      <c r="E789" s="48" t="s">
        <v>464</v>
      </c>
      <c r="F789" s="49">
        <v>29</v>
      </c>
      <c r="G789" s="49">
        <v>28</v>
      </c>
      <c r="J789" s="49">
        <v>788</v>
      </c>
    </row>
    <row r="790" spans="1:10" s="49" customFormat="1" ht="30" x14ac:dyDescent="0.25">
      <c r="A790" s="48">
        <v>28</v>
      </c>
      <c r="B790" s="48" t="s">
        <v>505</v>
      </c>
      <c r="C790" s="48" t="s">
        <v>510</v>
      </c>
      <c r="D790" s="48" t="s">
        <v>463</v>
      </c>
      <c r="E790" s="48" t="s">
        <v>464</v>
      </c>
      <c r="F790" s="49">
        <v>30</v>
      </c>
      <c r="G790" s="49">
        <v>25</v>
      </c>
      <c r="J790" s="49">
        <v>789</v>
      </c>
    </row>
    <row r="791" spans="1:10" s="49" customFormat="1" ht="30" x14ac:dyDescent="0.25">
      <c r="A791" s="48">
        <v>28</v>
      </c>
      <c r="B791" s="48" t="s">
        <v>505</v>
      </c>
      <c r="C791" s="48" t="s">
        <v>510</v>
      </c>
      <c r="D791" s="48" t="s">
        <v>463</v>
      </c>
      <c r="E791" s="48" t="s">
        <v>464</v>
      </c>
      <c r="F791" s="49">
        <v>31</v>
      </c>
      <c r="G791" s="49">
        <v>31</v>
      </c>
      <c r="J791" s="49">
        <v>790</v>
      </c>
    </row>
    <row r="792" spans="1:10" s="49" customFormat="1" ht="30" x14ac:dyDescent="0.25">
      <c r="A792" s="48">
        <v>28</v>
      </c>
      <c r="B792" s="48" t="s">
        <v>505</v>
      </c>
      <c r="C792" s="48" t="s">
        <v>510</v>
      </c>
      <c r="D792" s="48" t="s">
        <v>463</v>
      </c>
      <c r="E792" s="48" t="s">
        <v>464</v>
      </c>
      <c r="F792" s="49">
        <v>32</v>
      </c>
      <c r="G792" s="49">
        <v>24</v>
      </c>
      <c r="J792" s="49">
        <v>791</v>
      </c>
    </row>
    <row r="793" spans="1:10" s="49" customFormat="1" ht="30" x14ac:dyDescent="0.25">
      <c r="A793" s="48">
        <v>28</v>
      </c>
      <c r="B793" s="48" t="s">
        <v>505</v>
      </c>
      <c r="C793" s="48" t="s">
        <v>510</v>
      </c>
      <c r="D793" s="48" t="s">
        <v>463</v>
      </c>
      <c r="E793" s="48" t="s">
        <v>464</v>
      </c>
      <c r="F793" s="49">
        <v>33</v>
      </c>
      <c r="G793" s="49">
        <v>33</v>
      </c>
      <c r="J793" s="49">
        <v>792</v>
      </c>
    </row>
    <row r="794" spans="1:10" s="49" customFormat="1" ht="30" x14ac:dyDescent="0.25">
      <c r="A794" s="48">
        <v>28</v>
      </c>
      <c r="B794" s="48" t="s">
        <v>505</v>
      </c>
      <c r="C794" s="48" t="s">
        <v>510</v>
      </c>
      <c r="D794" s="48" t="s">
        <v>463</v>
      </c>
      <c r="E794" s="48" t="s">
        <v>464</v>
      </c>
      <c r="F794" s="49">
        <v>34</v>
      </c>
      <c r="G794" s="49">
        <v>26</v>
      </c>
      <c r="J794" s="49">
        <v>793</v>
      </c>
    </row>
    <row r="795" spans="1:10" s="49" customFormat="1" ht="30" x14ac:dyDescent="0.25">
      <c r="A795" s="48">
        <v>28</v>
      </c>
      <c r="B795" s="48" t="s">
        <v>505</v>
      </c>
      <c r="C795" s="48" t="s">
        <v>510</v>
      </c>
      <c r="D795" s="48" t="s">
        <v>463</v>
      </c>
      <c r="E795" s="48" t="s">
        <v>464</v>
      </c>
      <c r="F795" s="49">
        <v>35</v>
      </c>
      <c r="G795" s="49">
        <v>24</v>
      </c>
      <c r="J795" s="49">
        <v>794</v>
      </c>
    </row>
    <row r="796" spans="1:10" s="49" customFormat="1" ht="30" x14ac:dyDescent="0.25">
      <c r="A796" s="48">
        <v>28</v>
      </c>
      <c r="B796" s="48" t="s">
        <v>505</v>
      </c>
      <c r="C796" s="48" t="s">
        <v>510</v>
      </c>
      <c r="D796" s="48" t="s">
        <v>463</v>
      </c>
      <c r="E796" s="48" t="s">
        <v>464</v>
      </c>
      <c r="F796" s="49">
        <v>36</v>
      </c>
      <c r="G796" s="49">
        <v>27</v>
      </c>
      <c r="J796" s="49">
        <v>795</v>
      </c>
    </row>
    <row r="797" spans="1:10" s="49" customFormat="1" ht="30" x14ac:dyDescent="0.25">
      <c r="A797" s="48">
        <v>28</v>
      </c>
      <c r="B797" s="48" t="s">
        <v>505</v>
      </c>
      <c r="C797" s="48" t="s">
        <v>510</v>
      </c>
      <c r="D797" s="48" t="s">
        <v>463</v>
      </c>
      <c r="E797" s="48" t="s">
        <v>464</v>
      </c>
      <c r="F797" s="49">
        <v>37</v>
      </c>
      <c r="G797" s="49">
        <v>31</v>
      </c>
      <c r="J797" s="49">
        <v>796</v>
      </c>
    </row>
    <row r="798" spans="1:10" s="49" customFormat="1" ht="30" x14ac:dyDescent="0.25">
      <c r="A798" s="48">
        <v>28</v>
      </c>
      <c r="B798" s="48" t="s">
        <v>505</v>
      </c>
      <c r="C798" s="48" t="s">
        <v>510</v>
      </c>
      <c r="D798" s="48" t="s">
        <v>463</v>
      </c>
      <c r="E798" s="48" t="s">
        <v>464</v>
      </c>
      <c r="F798" s="49">
        <v>38</v>
      </c>
      <c r="G798" s="49">
        <v>34</v>
      </c>
      <c r="J798" s="49">
        <v>797</v>
      </c>
    </row>
    <row r="799" spans="1:10" s="49" customFormat="1" ht="30" x14ac:dyDescent="0.25">
      <c r="A799" s="48">
        <v>28</v>
      </c>
      <c r="B799" s="48" t="s">
        <v>505</v>
      </c>
      <c r="C799" s="48" t="s">
        <v>510</v>
      </c>
      <c r="D799" s="48" t="s">
        <v>463</v>
      </c>
      <c r="E799" s="48" t="s">
        <v>464</v>
      </c>
      <c r="F799" s="49">
        <v>39</v>
      </c>
      <c r="G799" s="49">
        <v>35</v>
      </c>
      <c r="J799" s="49">
        <v>798</v>
      </c>
    </row>
    <row r="800" spans="1:10" s="49" customFormat="1" ht="30" x14ac:dyDescent="0.25">
      <c r="A800" s="48">
        <v>28</v>
      </c>
      <c r="B800" s="48" t="s">
        <v>505</v>
      </c>
      <c r="C800" s="48" t="s">
        <v>510</v>
      </c>
      <c r="D800" s="48" t="s">
        <v>463</v>
      </c>
      <c r="E800" s="48" t="s">
        <v>464</v>
      </c>
      <c r="F800" s="49">
        <v>40</v>
      </c>
      <c r="G800" s="49">
        <v>30</v>
      </c>
      <c r="J800" s="49">
        <v>799</v>
      </c>
    </row>
    <row r="801" spans="1:10" s="49" customFormat="1" ht="30" x14ac:dyDescent="0.25">
      <c r="A801" s="48">
        <v>28</v>
      </c>
      <c r="B801" s="48" t="s">
        <v>505</v>
      </c>
      <c r="C801" s="48" t="s">
        <v>510</v>
      </c>
      <c r="D801" s="48" t="s">
        <v>463</v>
      </c>
      <c r="E801" s="48" t="s">
        <v>464</v>
      </c>
      <c r="F801" s="49">
        <v>41</v>
      </c>
      <c r="G801" s="49">
        <v>27</v>
      </c>
      <c r="J801" s="49">
        <v>800</v>
      </c>
    </row>
    <row r="802" spans="1:10" s="49" customFormat="1" ht="30" x14ac:dyDescent="0.25">
      <c r="A802" s="48">
        <v>28</v>
      </c>
      <c r="B802" s="48" t="s">
        <v>505</v>
      </c>
      <c r="C802" s="48" t="s">
        <v>510</v>
      </c>
      <c r="D802" s="48" t="s">
        <v>463</v>
      </c>
      <c r="E802" s="48" t="s">
        <v>464</v>
      </c>
      <c r="F802" s="49">
        <v>42</v>
      </c>
      <c r="G802" s="49">
        <v>25</v>
      </c>
      <c r="J802" s="49">
        <v>801</v>
      </c>
    </row>
    <row r="803" spans="1:10" s="49" customFormat="1" ht="30" x14ac:dyDescent="0.25">
      <c r="A803" s="48">
        <v>28</v>
      </c>
      <c r="B803" s="48" t="s">
        <v>505</v>
      </c>
      <c r="C803" s="48" t="s">
        <v>510</v>
      </c>
      <c r="D803" s="48" t="s">
        <v>463</v>
      </c>
      <c r="E803" s="48" t="s">
        <v>464</v>
      </c>
      <c r="F803" s="49">
        <v>43</v>
      </c>
      <c r="G803" s="49">
        <v>33</v>
      </c>
      <c r="J803" s="49">
        <v>802</v>
      </c>
    </row>
    <row r="804" spans="1:10" s="49" customFormat="1" ht="30" x14ac:dyDescent="0.25">
      <c r="A804" s="48">
        <v>28</v>
      </c>
      <c r="B804" s="48" t="s">
        <v>505</v>
      </c>
      <c r="C804" s="48" t="s">
        <v>510</v>
      </c>
      <c r="D804" s="48" t="s">
        <v>463</v>
      </c>
      <c r="E804" s="48" t="s">
        <v>464</v>
      </c>
      <c r="F804" s="49">
        <v>44</v>
      </c>
      <c r="G804" s="49">
        <v>23</v>
      </c>
      <c r="J804" s="49">
        <v>803</v>
      </c>
    </row>
    <row r="805" spans="1:10" s="49" customFormat="1" ht="30" x14ac:dyDescent="0.25">
      <c r="A805" s="48">
        <v>28</v>
      </c>
      <c r="B805" s="48" t="s">
        <v>505</v>
      </c>
      <c r="C805" s="48" t="s">
        <v>510</v>
      </c>
      <c r="D805" s="48" t="s">
        <v>463</v>
      </c>
      <c r="E805" s="48" t="s">
        <v>464</v>
      </c>
      <c r="F805" s="49">
        <v>45</v>
      </c>
      <c r="G805" s="49">
        <v>26</v>
      </c>
      <c r="J805" s="49">
        <v>804</v>
      </c>
    </row>
    <row r="806" spans="1:10" s="49" customFormat="1" ht="30" x14ac:dyDescent="0.25">
      <c r="A806" s="48">
        <v>28</v>
      </c>
      <c r="B806" s="48" t="s">
        <v>505</v>
      </c>
      <c r="C806" s="48" t="s">
        <v>510</v>
      </c>
      <c r="D806" s="48" t="s">
        <v>463</v>
      </c>
      <c r="E806" s="48" t="s">
        <v>464</v>
      </c>
      <c r="F806" s="49">
        <v>46</v>
      </c>
      <c r="G806" s="49">
        <v>20</v>
      </c>
      <c r="J806" s="49">
        <v>805</v>
      </c>
    </row>
    <row r="807" spans="1:10" s="49" customFormat="1" ht="30" x14ac:dyDescent="0.25">
      <c r="A807" s="48">
        <v>28</v>
      </c>
      <c r="B807" s="48" t="s">
        <v>505</v>
      </c>
      <c r="C807" s="48" t="s">
        <v>510</v>
      </c>
      <c r="D807" s="48" t="s">
        <v>463</v>
      </c>
      <c r="E807" s="48" t="s">
        <v>464</v>
      </c>
      <c r="F807" s="49">
        <v>47</v>
      </c>
      <c r="G807" s="49">
        <v>25</v>
      </c>
      <c r="J807" s="49">
        <v>806</v>
      </c>
    </row>
    <row r="808" spans="1:10" s="49" customFormat="1" ht="30" x14ac:dyDescent="0.25">
      <c r="A808" s="48">
        <v>28</v>
      </c>
      <c r="B808" s="48" t="s">
        <v>505</v>
      </c>
      <c r="C808" s="48" t="s">
        <v>510</v>
      </c>
      <c r="D808" s="48" t="s">
        <v>463</v>
      </c>
      <c r="E808" s="48" t="s">
        <v>464</v>
      </c>
      <c r="F808" s="49">
        <v>48</v>
      </c>
      <c r="G808" s="49">
        <v>25</v>
      </c>
      <c r="J808" s="49">
        <v>807</v>
      </c>
    </row>
    <row r="809" spans="1:10" s="49" customFormat="1" ht="30" x14ac:dyDescent="0.25">
      <c r="A809" s="48">
        <v>28</v>
      </c>
      <c r="B809" s="48" t="s">
        <v>505</v>
      </c>
      <c r="C809" s="48" t="s">
        <v>510</v>
      </c>
      <c r="D809" s="48" t="s">
        <v>463</v>
      </c>
      <c r="E809" s="48" t="s">
        <v>464</v>
      </c>
      <c r="F809" s="49">
        <v>49</v>
      </c>
      <c r="G809" s="49">
        <v>16</v>
      </c>
      <c r="J809" s="49">
        <v>808</v>
      </c>
    </row>
    <row r="810" spans="1:10" s="49" customFormat="1" ht="30" x14ac:dyDescent="0.25">
      <c r="A810" s="48">
        <v>28</v>
      </c>
      <c r="B810" s="48" t="s">
        <v>505</v>
      </c>
      <c r="C810" s="48" t="s">
        <v>510</v>
      </c>
      <c r="D810" s="48" t="s">
        <v>463</v>
      </c>
      <c r="E810" s="48" t="s">
        <v>464</v>
      </c>
      <c r="F810" s="49">
        <v>50</v>
      </c>
      <c r="G810" s="49">
        <v>29</v>
      </c>
      <c r="J810" s="49">
        <v>809</v>
      </c>
    </row>
    <row r="811" spans="1:10" s="49" customFormat="1" ht="30.75" thickBot="1" x14ac:dyDescent="0.3">
      <c r="A811" s="48">
        <v>28</v>
      </c>
      <c r="B811" s="48" t="s">
        <v>505</v>
      </c>
      <c r="C811" s="48" t="s">
        <v>510</v>
      </c>
      <c r="D811" s="51" t="s">
        <v>463</v>
      </c>
      <c r="E811" s="51" t="s">
        <v>464</v>
      </c>
      <c r="F811" s="52">
        <v>51</v>
      </c>
      <c r="G811" s="52">
        <v>30</v>
      </c>
      <c r="H811" s="52">
        <v>1379</v>
      </c>
      <c r="I811" s="52">
        <v>51</v>
      </c>
      <c r="J811" s="49">
        <v>810</v>
      </c>
    </row>
    <row r="812" spans="1:10" s="49" customFormat="1" ht="30.75" thickTop="1" x14ac:dyDescent="0.25">
      <c r="A812" s="48">
        <v>29</v>
      </c>
      <c r="B812" s="48" t="s">
        <v>505</v>
      </c>
      <c r="C812" s="48" t="s">
        <v>511</v>
      </c>
      <c r="D812" s="48" t="s">
        <v>465</v>
      </c>
      <c r="E812" s="48" t="s">
        <v>466</v>
      </c>
      <c r="F812" s="49">
        <v>1</v>
      </c>
      <c r="G812" s="49">
        <v>31</v>
      </c>
      <c r="J812" s="49">
        <v>811</v>
      </c>
    </row>
    <row r="813" spans="1:10" s="49" customFormat="1" ht="30" x14ac:dyDescent="0.25">
      <c r="A813" s="48">
        <v>29</v>
      </c>
      <c r="B813" s="48" t="s">
        <v>505</v>
      </c>
      <c r="C813" s="48" t="s">
        <v>511</v>
      </c>
      <c r="D813" s="48" t="s">
        <v>465</v>
      </c>
      <c r="E813" s="48" t="s">
        <v>466</v>
      </c>
      <c r="F813" s="49">
        <v>2</v>
      </c>
      <c r="G813" s="49">
        <v>22</v>
      </c>
      <c r="J813" s="49">
        <v>812</v>
      </c>
    </row>
    <row r="814" spans="1:10" s="49" customFormat="1" ht="30" x14ac:dyDescent="0.25">
      <c r="A814" s="48">
        <v>29</v>
      </c>
      <c r="B814" s="48" t="s">
        <v>505</v>
      </c>
      <c r="C814" s="48" t="s">
        <v>511</v>
      </c>
      <c r="D814" s="48" t="s">
        <v>465</v>
      </c>
      <c r="E814" s="48" t="s">
        <v>466</v>
      </c>
      <c r="F814" s="49">
        <v>3</v>
      </c>
      <c r="G814" s="49">
        <v>26</v>
      </c>
      <c r="J814" s="49">
        <v>813</v>
      </c>
    </row>
    <row r="815" spans="1:10" s="49" customFormat="1" ht="30" x14ac:dyDescent="0.25">
      <c r="A815" s="48">
        <v>29</v>
      </c>
      <c r="B815" s="48" t="s">
        <v>505</v>
      </c>
      <c r="C815" s="48" t="s">
        <v>511</v>
      </c>
      <c r="D815" s="48" t="s">
        <v>465</v>
      </c>
      <c r="E815" s="48" t="s">
        <v>466</v>
      </c>
      <c r="F815" s="49">
        <v>4</v>
      </c>
      <c r="G815" s="49">
        <v>6</v>
      </c>
      <c r="J815" s="49">
        <v>814</v>
      </c>
    </row>
    <row r="816" spans="1:10" s="49" customFormat="1" ht="30" x14ac:dyDescent="0.25">
      <c r="A816" s="48">
        <v>29</v>
      </c>
      <c r="B816" s="48" t="s">
        <v>505</v>
      </c>
      <c r="C816" s="48" t="s">
        <v>511</v>
      </c>
      <c r="D816" s="48" t="s">
        <v>465</v>
      </c>
      <c r="E816" s="48" t="s">
        <v>466</v>
      </c>
      <c r="F816" s="49">
        <v>5</v>
      </c>
      <c r="G816" s="49">
        <v>30</v>
      </c>
      <c r="J816" s="49">
        <v>815</v>
      </c>
    </row>
    <row r="817" spans="1:10" s="49" customFormat="1" ht="30" x14ac:dyDescent="0.25">
      <c r="A817" s="48">
        <v>29</v>
      </c>
      <c r="B817" s="48" t="s">
        <v>505</v>
      </c>
      <c r="C817" s="48" t="s">
        <v>511</v>
      </c>
      <c r="D817" s="48" t="s">
        <v>465</v>
      </c>
      <c r="E817" s="48" t="s">
        <v>466</v>
      </c>
      <c r="F817" s="49">
        <v>6</v>
      </c>
      <c r="G817" s="49">
        <v>13</v>
      </c>
      <c r="J817" s="49">
        <v>816</v>
      </c>
    </row>
    <row r="818" spans="1:10" s="49" customFormat="1" ht="30" x14ac:dyDescent="0.25">
      <c r="A818" s="48">
        <v>29</v>
      </c>
      <c r="B818" s="48" t="s">
        <v>505</v>
      </c>
      <c r="C818" s="48" t="s">
        <v>511</v>
      </c>
      <c r="D818" s="48" t="s">
        <v>465</v>
      </c>
      <c r="E818" s="48" t="s">
        <v>466</v>
      </c>
      <c r="F818" s="49">
        <v>7</v>
      </c>
      <c r="G818" s="49">
        <v>25</v>
      </c>
      <c r="J818" s="49">
        <v>817</v>
      </c>
    </row>
    <row r="819" spans="1:10" s="49" customFormat="1" ht="30" x14ac:dyDescent="0.25">
      <c r="A819" s="48">
        <v>29</v>
      </c>
      <c r="B819" s="48" t="s">
        <v>505</v>
      </c>
      <c r="C819" s="48" t="s">
        <v>511</v>
      </c>
      <c r="D819" s="48" t="s">
        <v>465</v>
      </c>
      <c r="E819" s="48" t="s">
        <v>466</v>
      </c>
      <c r="F819" s="49">
        <v>8</v>
      </c>
      <c r="G819" s="49">
        <v>23</v>
      </c>
      <c r="J819" s="49">
        <v>818</v>
      </c>
    </row>
    <row r="820" spans="1:10" s="49" customFormat="1" ht="30" x14ac:dyDescent="0.25">
      <c r="A820" s="48">
        <v>29</v>
      </c>
      <c r="B820" s="48" t="s">
        <v>505</v>
      </c>
      <c r="C820" s="48" t="s">
        <v>511</v>
      </c>
      <c r="D820" s="48" t="s">
        <v>465</v>
      </c>
      <c r="E820" s="48" t="s">
        <v>466</v>
      </c>
      <c r="F820" s="49">
        <v>9</v>
      </c>
      <c r="G820" s="49">
        <v>20</v>
      </c>
      <c r="J820" s="49">
        <v>819</v>
      </c>
    </row>
    <row r="821" spans="1:10" s="49" customFormat="1" ht="30" x14ac:dyDescent="0.25">
      <c r="A821" s="48">
        <v>29</v>
      </c>
      <c r="B821" s="48" t="s">
        <v>505</v>
      </c>
      <c r="C821" s="48" t="s">
        <v>511</v>
      </c>
      <c r="D821" s="48" t="s">
        <v>465</v>
      </c>
      <c r="E821" s="48" t="s">
        <v>466</v>
      </c>
      <c r="F821" s="49">
        <v>10</v>
      </c>
      <c r="G821" s="49">
        <v>34</v>
      </c>
      <c r="J821" s="49">
        <v>820</v>
      </c>
    </row>
    <row r="822" spans="1:10" s="49" customFormat="1" ht="30" x14ac:dyDescent="0.25">
      <c r="A822" s="48">
        <v>29</v>
      </c>
      <c r="B822" s="48" t="s">
        <v>505</v>
      </c>
      <c r="C822" s="48" t="s">
        <v>511</v>
      </c>
      <c r="D822" s="48" t="s">
        <v>465</v>
      </c>
      <c r="E822" s="48" t="s">
        <v>466</v>
      </c>
      <c r="F822" s="49">
        <v>11</v>
      </c>
      <c r="G822" s="49">
        <v>16</v>
      </c>
      <c r="J822" s="49">
        <v>821</v>
      </c>
    </row>
    <row r="823" spans="1:10" s="49" customFormat="1" ht="30" x14ac:dyDescent="0.25">
      <c r="A823" s="48">
        <v>29</v>
      </c>
      <c r="B823" s="48" t="s">
        <v>505</v>
      </c>
      <c r="C823" s="48" t="s">
        <v>511</v>
      </c>
      <c r="D823" s="48" t="s">
        <v>465</v>
      </c>
      <c r="E823" s="48" t="s">
        <v>466</v>
      </c>
      <c r="F823" s="49">
        <v>12</v>
      </c>
      <c r="G823" s="49">
        <v>6</v>
      </c>
      <c r="J823" s="49">
        <v>822</v>
      </c>
    </row>
    <row r="824" spans="1:10" s="49" customFormat="1" ht="30" x14ac:dyDescent="0.25">
      <c r="A824" s="48">
        <v>29</v>
      </c>
      <c r="B824" s="48" t="s">
        <v>505</v>
      </c>
      <c r="C824" s="48" t="s">
        <v>511</v>
      </c>
      <c r="D824" s="48" t="s">
        <v>465</v>
      </c>
      <c r="E824" s="48" t="s">
        <v>466</v>
      </c>
      <c r="F824" s="49">
        <v>13</v>
      </c>
      <c r="G824" s="49">
        <v>22</v>
      </c>
      <c r="J824" s="49">
        <v>823</v>
      </c>
    </row>
    <row r="825" spans="1:10" s="49" customFormat="1" ht="30" x14ac:dyDescent="0.25">
      <c r="A825" s="48">
        <v>29</v>
      </c>
      <c r="B825" s="48" t="s">
        <v>505</v>
      </c>
      <c r="C825" s="48" t="s">
        <v>511</v>
      </c>
      <c r="D825" s="48" t="s">
        <v>465</v>
      </c>
      <c r="E825" s="48" t="s">
        <v>466</v>
      </c>
      <c r="F825" s="49">
        <v>14</v>
      </c>
      <c r="G825" s="49">
        <v>32</v>
      </c>
      <c r="J825" s="49">
        <v>824</v>
      </c>
    </row>
    <row r="826" spans="1:10" s="49" customFormat="1" ht="30" x14ac:dyDescent="0.25">
      <c r="A826" s="48">
        <v>29</v>
      </c>
      <c r="B826" s="48" t="s">
        <v>505</v>
      </c>
      <c r="C826" s="48" t="s">
        <v>511</v>
      </c>
      <c r="D826" s="48" t="s">
        <v>465</v>
      </c>
      <c r="E826" s="48" t="s">
        <v>466</v>
      </c>
      <c r="F826" s="49">
        <v>15</v>
      </c>
      <c r="G826" s="49">
        <v>9</v>
      </c>
      <c r="J826" s="49">
        <v>825</v>
      </c>
    </row>
    <row r="827" spans="1:10" s="49" customFormat="1" ht="30" x14ac:dyDescent="0.25">
      <c r="A827" s="48">
        <v>29</v>
      </c>
      <c r="B827" s="48" t="s">
        <v>505</v>
      </c>
      <c r="C827" s="48" t="s">
        <v>511</v>
      </c>
      <c r="D827" s="48" t="s">
        <v>465</v>
      </c>
      <c r="E827" s="48" t="s">
        <v>466</v>
      </c>
      <c r="F827" s="49">
        <v>16</v>
      </c>
      <c r="G827" s="49">
        <v>14</v>
      </c>
      <c r="J827" s="49">
        <v>826</v>
      </c>
    </row>
    <row r="828" spans="1:10" s="49" customFormat="1" ht="30" x14ac:dyDescent="0.25">
      <c r="A828" s="48">
        <v>29</v>
      </c>
      <c r="B828" s="48" t="s">
        <v>505</v>
      </c>
      <c r="C828" s="48" t="s">
        <v>511</v>
      </c>
      <c r="D828" s="48" t="s">
        <v>465</v>
      </c>
      <c r="E828" s="48" t="s">
        <v>466</v>
      </c>
      <c r="F828" s="49">
        <v>17</v>
      </c>
      <c r="G828" s="49">
        <v>14</v>
      </c>
      <c r="J828" s="49">
        <v>827</v>
      </c>
    </row>
    <row r="829" spans="1:10" s="49" customFormat="1" ht="30" x14ac:dyDescent="0.25">
      <c r="A829" s="48">
        <v>29</v>
      </c>
      <c r="B829" s="48" t="s">
        <v>505</v>
      </c>
      <c r="C829" s="48" t="s">
        <v>511</v>
      </c>
      <c r="D829" s="48" t="s">
        <v>465</v>
      </c>
      <c r="E829" s="48" t="s">
        <v>466</v>
      </c>
      <c r="F829" s="49">
        <v>18</v>
      </c>
      <c r="G829" s="49">
        <v>7</v>
      </c>
      <c r="J829" s="49">
        <v>828</v>
      </c>
    </row>
    <row r="830" spans="1:10" s="49" customFormat="1" ht="30" x14ac:dyDescent="0.25">
      <c r="A830" s="48">
        <v>29</v>
      </c>
      <c r="B830" s="48" t="s">
        <v>505</v>
      </c>
      <c r="C830" s="48" t="s">
        <v>511</v>
      </c>
      <c r="D830" s="48" t="s">
        <v>465</v>
      </c>
      <c r="E830" s="48" t="s">
        <v>466</v>
      </c>
      <c r="F830" s="49">
        <v>19</v>
      </c>
      <c r="G830" s="49">
        <v>25</v>
      </c>
      <c r="J830" s="49">
        <v>829</v>
      </c>
    </row>
    <row r="831" spans="1:10" s="49" customFormat="1" ht="30" x14ac:dyDescent="0.25">
      <c r="A831" s="48">
        <v>29</v>
      </c>
      <c r="B831" s="48" t="s">
        <v>505</v>
      </c>
      <c r="C831" s="48" t="s">
        <v>511</v>
      </c>
      <c r="D831" s="48" t="s">
        <v>465</v>
      </c>
      <c r="E831" s="48" t="s">
        <v>466</v>
      </c>
      <c r="F831" s="49">
        <v>20</v>
      </c>
      <c r="G831" s="49">
        <v>5</v>
      </c>
      <c r="J831" s="49">
        <v>830</v>
      </c>
    </row>
    <row r="832" spans="1:10" s="49" customFormat="1" ht="30" x14ac:dyDescent="0.25">
      <c r="A832" s="48">
        <v>29</v>
      </c>
      <c r="B832" s="48" t="s">
        <v>505</v>
      </c>
      <c r="C832" s="48" t="s">
        <v>511</v>
      </c>
      <c r="D832" s="48" t="s">
        <v>465</v>
      </c>
      <c r="E832" s="48" t="s">
        <v>466</v>
      </c>
      <c r="F832" s="49">
        <v>21</v>
      </c>
      <c r="G832" s="49">
        <v>17</v>
      </c>
      <c r="J832" s="49">
        <v>831</v>
      </c>
    </row>
    <row r="833" spans="1:10" s="49" customFormat="1" ht="30" x14ac:dyDescent="0.25">
      <c r="A833" s="48">
        <v>29</v>
      </c>
      <c r="B833" s="48" t="s">
        <v>505</v>
      </c>
      <c r="C833" s="48" t="s">
        <v>511</v>
      </c>
      <c r="D833" s="48" t="s">
        <v>465</v>
      </c>
      <c r="E833" s="48" t="s">
        <v>466</v>
      </c>
      <c r="F833" s="49">
        <v>22</v>
      </c>
      <c r="G833" s="49">
        <v>25</v>
      </c>
      <c r="J833" s="49">
        <v>832</v>
      </c>
    </row>
    <row r="834" spans="1:10" s="49" customFormat="1" ht="30" x14ac:dyDescent="0.25">
      <c r="A834" s="48">
        <v>29</v>
      </c>
      <c r="B834" s="48" t="s">
        <v>505</v>
      </c>
      <c r="C834" s="48" t="s">
        <v>511</v>
      </c>
      <c r="D834" s="48" t="s">
        <v>465</v>
      </c>
      <c r="E834" s="48" t="s">
        <v>466</v>
      </c>
      <c r="F834" s="49">
        <v>23</v>
      </c>
      <c r="G834" s="49">
        <v>18</v>
      </c>
      <c r="J834" s="49">
        <v>833</v>
      </c>
    </row>
    <row r="835" spans="1:10" s="49" customFormat="1" ht="30" x14ac:dyDescent="0.25">
      <c r="A835" s="48">
        <v>29</v>
      </c>
      <c r="B835" s="48" t="s">
        <v>505</v>
      </c>
      <c r="C835" s="48" t="s">
        <v>511</v>
      </c>
      <c r="D835" s="48" t="s">
        <v>465</v>
      </c>
      <c r="E835" s="48" t="s">
        <v>466</v>
      </c>
      <c r="F835" s="49">
        <v>24</v>
      </c>
      <c r="G835" s="49">
        <v>23</v>
      </c>
      <c r="J835" s="49">
        <v>834</v>
      </c>
    </row>
    <row r="836" spans="1:10" s="49" customFormat="1" ht="30" x14ac:dyDescent="0.25">
      <c r="A836" s="48">
        <v>29</v>
      </c>
      <c r="B836" s="48" t="s">
        <v>505</v>
      </c>
      <c r="C836" s="48" t="s">
        <v>511</v>
      </c>
      <c r="D836" s="48" t="s">
        <v>465</v>
      </c>
      <c r="E836" s="48" t="s">
        <v>466</v>
      </c>
      <c r="F836" s="49">
        <v>25</v>
      </c>
      <c r="G836" s="49">
        <v>12</v>
      </c>
      <c r="J836" s="49">
        <v>835</v>
      </c>
    </row>
    <row r="837" spans="1:10" s="49" customFormat="1" ht="30" x14ac:dyDescent="0.25">
      <c r="A837" s="48">
        <v>29</v>
      </c>
      <c r="B837" s="48" t="s">
        <v>505</v>
      </c>
      <c r="C837" s="48" t="s">
        <v>511</v>
      </c>
      <c r="D837" s="48" t="s">
        <v>465</v>
      </c>
      <c r="E837" s="48" t="s">
        <v>466</v>
      </c>
      <c r="F837" s="49">
        <v>26</v>
      </c>
      <c r="G837" s="49">
        <v>21</v>
      </c>
      <c r="J837" s="49">
        <v>836</v>
      </c>
    </row>
    <row r="838" spans="1:10" s="49" customFormat="1" ht="30" x14ac:dyDescent="0.25">
      <c r="A838" s="48">
        <v>29</v>
      </c>
      <c r="B838" s="48" t="s">
        <v>505</v>
      </c>
      <c r="C838" s="48" t="s">
        <v>511</v>
      </c>
      <c r="D838" s="48" t="s">
        <v>465</v>
      </c>
      <c r="E838" s="48" t="s">
        <v>466</v>
      </c>
      <c r="F838" s="49">
        <v>27</v>
      </c>
      <c r="G838" s="49">
        <v>13</v>
      </c>
      <c r="J838" s="49">
        <v>837</v>
      </c>
    </row>
    <row r="839" spans="1:10" s="49" customFormat="1" ht="30" x14ac:dyDescent="0.25">
      <c r="A839" s="48">
        <v>29</v>
      </c>
      <c r="B839" s="48" t="s">
        <v>505</v>
      </c>
      <c r="C839" s="48" t="s">
        <v>511</v>
      </c>
      <c r="D839" s="48" t="s">
        <v>465</v>
      </c>
      <c r="E839" s="48" t="s">
        <v>466</v>
      </c>
      <c r="F839" s="49">
        <v>28</v>
      </c>
      <c r="G839" s="49">
        <v>29</v>
      </c>
      <c r="J839" s="49">
        <v>838</v>
      </c>
    </row>
    <row r="840" spans="1:10" s="49" customFormat="1" ht="30" x14ac:dyDescent="0.25">
      <c r="A840" s="48">
        <v>29</v>
      </c>
      <c r="B840" s="48" t="s">
        <v>505</v>
      </c>
      <c r="C840" s="48" t="s">
        <v>511</v>
      </c>
      <c r="D840" s="48" t="s">
        <v>465</v>
      </c>
      <c r="E840" s="48" t="s">
        <v>466</v>
      </c>
      <c r="F840" s="49">
        <v>29</v>
      </c>
      <c r="G840" s="49">
        <v>24</v>
      </c>
      <c r="J840" s="49">
        <v>839</v>
      </c>
    </row>
    <row r="841" spans="1:10" s="49" customFormat="1" ht="30" x14ac:dyDescent="0.25">
      <c r="A841" s="48">
        <v>29</v>
      </c>
      <c r="B841" s="48" t="s">
        <v>505</v>
      </c>
      <c r="C841" s="48" t="s">
        <v>511</v>
      </c>
      <c r="D841" s="48" t="s">
        <v>465</v>
      </c>
      <c r="E841" s="48" t="s">
        <v>466</v>
      </c>
      <c r="F841" s="49">
        <v>30</v>
      </c>
      <c r="G841" s="49">
        <v>33</v>
      </c>
      <c r="J841" s="49">
        <v>840</v>
      </c>
    </row>
    <row r="842" spans="1:10" s="49" customFormat="1" ht="30" x14ac:dyDescent="0.25">
      <c r="A842" s="48">
        <v>29</v>
      </c>
      <c r="B842" s="48" t="s">
        <v>505</v>
      </c>
      <c r="C842" s="48" t="s">
        <v>511</v>
      </c>
      <c r="D842" s="48" t="s">
        <v>465</v>
      </c>
      <c r="E842" s="48" t="s">
        <v>466</v>
      </c>
      <c r="F842" s="49">
        <v>31</v>
      </c>
      <c r="G842" s="49">
        <v>9</v>
      </c>
      <c r="J842" s="49">
        <v>841</v>
      </c>
    </row>
    <row r="843" spans="1:10" s="49" customFormat="1" ht="30" x14ac:dyDescent="0.25">
      <c r="A843" s="48">
        <v>29</v>
      </c>
      <c r="B843" s="48" t="s">
        <v>505</v>
      </c>
      <c r="C843" s="48" t="s">
        <v>511</v>
      </c>
      <c r="D843" s="48" t="s">
        <v>465</v>
      </c>
      <c r="E843" s="48" t="s">
        <v>466</v>
      </c>
      <c r="F843" s="49">
        <v>32</v>
      </c>
      <c r="G843" s="49">
        <v>20</v>
      </c>
      <c r="J843" s="49">
        <v>842</v>
      </c>
    </row>
    <row r="844" spans="1:10" s="49" customFormat="1" ht="30" x14ac:dyDescent="0.25">
      <c r="A844" s="48">
        <v>29</v>
      </c>
      <c r="B844" s="48" t="s">
        <v>505</v>
      </c>
      <c r="C844" s="48" t="s">
        <v>511</v>
      </c>
      <c r="D844" s="48" t="s">
        <v>465</v>
      </c>
      <c r="E844" s="48" t="s">
        <v>466</v>
      </c>
      <c r="F844" s="49">
        <v>33</v>
      </c>
      <c r="G844" s="49">
        <v>22</v>
      </c>
      <c r="J844" s="49">
        <v>843</v>
      </c>
    </row>
    <row r="845" spans="1:10" s="49" customFormat="1" ht="30" x14ac:dyDescent="0.25">
      <c r="A845" s="48">
        <v>29</v>
      </c>
      <c r="B845" s="48" t="s">
        <v>505</v>
      </c>
      <c r="C845" s="48" t="s">
        <v>511</v>
      </c>
      <c r="D845" s="48" t="s">
        <v>465</v>
      </c>
      <c r="E845" s="48" t="s">
        <v>466</v>
      </c>
      <c r="F845" s="49">
        <v>34</v>
      </c>
      <c r="G845" s="49">
        <v>17</v>
      </c>
      <c r="J845" s="49">
        <v>844</v>
      </c>
    </row>
    <row r="846" spans="1:10" s="49" customFormat="1" ht="30" x14ac:dyDescent="0.25">
      <c r="A846" s="48">
        <v>29</v>
      </c>
      <c r="B846" s="48" t="s">
        <v>505</v>
      </c>
      <c r="C846" s="48" t="s">
        <v>511</v>
      </c>
      <c r="D846" s="48" t="s">
        <v>465</v>
      </c>
      <c r="E846" s="48" t="s">
        <v>466</v>
      </c>
      <c r="F846" s="49">
        <v>35</v>
      </c>
      <c r="G846" s="49">
        <v>10</v>
      </c>
      <c r="J846" s="49">
        <v>845</v>
      </c>
    </row>
    <row r="847" spans="1:10" s="49" customFormat="1" ht="30" x14ac:dyDescent="0.25">
      <c r="A847" s="48">
        <v>29</v>
      </c>
      <c r="B847" s="48" t="s">
        <v>505</v>
      </c>
      <c r="C847" s="48" t="s">
        <v>511</v>
      </c>
      <c r="D847" s="48" t="s">
        <v>465</v>
      </c>
      <c r="E847" s="48" t="s">
        <v>466</v>
      </c>
      <c r="F847" s="49">
        <v>36</v>
      </c>
      <c r="G847" s="49">
        <v>22</v>
      </c>
      <c r="J847" s="49">
        <v>846</v>
      </c>
    </row>
    <row r="848" spans="1:10" s="49" customFormat="1" ht="30" x14ac:dyDescent="0.25">
      <c r="A848" s="48">
        <v>29</v>
      </c>
      <c r="B848" s="48" t="s">
        <v>505</v>
      </c>
      <c r="C848" s="48" t="s">
        <v>511</v>
      </c>
      <c r="D848" s="48" t="s">
        <v>465</v>
      </c>
      <c r="E848" s="48" t="s">
        <v>466</v>
      </c>
      <c r="F848" s="49">
        <v>37</v>
      </c>
      <c r="G848" s="49">
        <v>38</v>
      </c>
      <c r="J848" s="49">
        <v>847</v>
      </c>
    </row>
    <row r="849" spans="1:10" s="49" customFormat="1" ht="30" x14ac:dyDescent="0.25">
      <c r="A849" s="48">
        <v>29</v>
      </c>
      <c r="B849" s="48" t="s">
        <v>505</v>
      </c>
      <c r="C849" s="48" t="s">
        <v>511</v>
      </c>
      <c r="D849" s="48" t="s">
        <v>465</v>
      </c>
      <c r="E849" s="48" t="s">
        <v>466</v>
      </c>
      <c r="F849" s="49">
        <v>38</v>
      </c>
      <c r="G849" s="49">
        <v>22</v>
      </c>
      <c r="J849" s="49">
        <v>848</v>
      </c>
    </row>
    <row r="850" spans="1:10" s="49" customFormat="1" ht="30" x14ac:dyDescent="0.25">
      <c r="A850" s="48">
        <v>29</v>
      </c>
      <c r="B850" s="48" t="s">
        <v>505</v>
      </c>
      <c r="C850" s="48" t="s">
        <v>511</v>
      </c>
      <c r="D850" s="48" t="s">
        <v>465</v>
      </c>
      <c r="E850" s="48" t="s">
        <v>466</v>
      </c>
      <c r="F850" s="49">
        <v>39</v>
      </c>
      <c r="G850" s="49">
        <v>8</v>
      </c>
      <c r="J850" s="49">
        <v>849</v>
      </c>
    </row>
    <row r="851" spans="1:10" s="49" customFormat="1" ht="30" x14ac:dyDescent="0.25">
      <c r="A851" s="48">
        <v>29</v>
      </c>
      <c r="B851" s="48" t="s">
        <v>505</v>
      </c>
      <c r="C851" s="48" t="s">
        <v>511</v>
      </c>
      <c r="D851" s="48" t="s">
        <v>465</v>
      </c>
      <c r="E851" s="48" t="s">
        <v>466</v>
      </c>
      <c r="F851" s="49">
        <v>40</v>
      </c>
      <c r="G851" s="49">
        <v>31</v>
      </c>
      <c r="J851" s="49">
        <v>850</v>
      </c>
    </row>
    <row r="852" spans="1:10" s="49" customFormat="1" ht="30" x14ac:dyDescent="0.25">
      <c r="A852" s="48">
        <v>29</v>
      </c>
      <c r="B852" s="48" t="s">
        <v>505</v>
      </c>
      <c r="C852" s="48" t="s">
        <v>511</v>
      </c>
      <c r="D852" s="48" t="s">
        <v>465</v>
      </c>
      <c r="E852" s="48" t="s">
        <v>466</v>
      </c>
      <c r="F852" s="49">
        <v>41</v>
      </c>
      <c r="G852" s="49">
        <v>29</v>
      </c>
      <c r="J852" s="49">
        <v>851</v>
      </c>
    </row>
    <row r="853" spans="1:10" s="49" customFormat="1" ht="30" x14ac:dyDescent="0.25">
      <c r="A853" s="48">
        <v>29</v>
      </c>
      <c r="B853" s="48" t="s">
        <v>505</v>
      </c>
      <c r="C853" s="48" t="s">
        <v>511</v>
      </c>
      <c r="D853" s="48" t="s">
        <v>465</v>
      </c>
      <c r="E853" s="48" t="s">
        <v>466</v>
      </c>
      <c r="F853" s="49">
        <v>42</v>
      </c>
      <c r="G853" s="49">
        <v>25</v>
      </c>
      <c r="J853" s="49">
        <v>852</v>
      </c>
    </row>
    <row r="854" spans="1:10" s="49" customFormat="1" ht="30" x14ac:dyDescent="0.25">
      <c r="A854" s="48">
        <v>29</v>
      </c>
      <c r="B854" s="48" t="s">
        <v>505</v>
      </c>
      <c r="C854" s="48" t="s">
        <v>511</v>
      </c>
      <c r="D854" s="48" t="s">
        <v>465</v>
      </c>
      <c r="E854" s="48" t="s">
        <v>466</v>
      </c>
      <c r="F854" s="49">
        <v>43</v>
      </c>
      <c r="G854" s="49">
        <v>28</v>
      </c>
      <c r="J854" s="49">
        <v>853</v>
      </c>
    </row>
    <row r="855" spans="1:10" s="49" customFormat="1" ht="30" x14ac:dyDescent="0.25">
      <c r="A855" s="48">
        <v>29</v>
      </c>
      <c r="B855" s="48" t="s">
        <v>505</v>
      </c>
      <c r="C855" s="48" t="s">
        <v>511</v>
      </c>
      <c r="D855" s="48" t="s">
        <v>465</v>
      </c>
      <c r="E855" s="48" t="s">
        <v>466</v>
      </c>
      <c r="F855" s="49">
        <v>44</v>
      </c>
      <c r="G855" s="49">
        <v>28</v>
      </c>
      <c r="J855" s="49">
        <v>854</v>
      </c>
    </row>
    <row r="856" spans="1:10" s="49" customFormat="1" ht="30" x14ac:dyDescent="0.25">
      <c r="A856" s="48">
        <v>29</v>
      </c>
      <c r="B856" s="48" t="s">
        <v>505</v>
      </c>
      <c r="C856" s="48" t="s">
        <v>511</v>
      </c>
      <c r="D856" s="48" t="s">
        <v>465</v>
      </c>
      <c r="E856" s="48" t="s">
        <v>466</v>
      </c>
      <c r="F856" s="49">
        <v>45</v>
      </c>
      <c r="G856" s="49">
        <v>25</v>
      </c>
      <c r="J856" s="49">
        <v>855</v>
      </c>
    </row>
    <row r="857" spans="1:10" s="49" customFormat="1" ht="30" x14ac:dyDescent="0.25">
      <c r="A857" s="48">
        <v>29</v>
      </c>
      <c r="B857" s="48" t="s">
        <v>505</v>
      </c>
      <c r="C857" s="48" t="s">
        <v>511</v>
      </c>
      <c r="D857" s="48" t="s">
        <v>465</v>
      </c>
      <c r="E857" s="48" t="s">
        <v>466</v>
      </c>
      <c r="F857" s="49">
        <v>46</v>
      </c>
      <c r="G857" s="49">
        <v>13</v>
      </c>
      <c r="J857" s="49">
        <v>856</v>
      </c>
    </row>
    <row r="858" spans="1:10" s="49" customFormat="1" ht="30" x14ac:dyDescent="0.25">
      <c r="A858" s="48">
        <v>29</v>
      </c>
      <c r="B858" s="48" t="s">
        <v>505</v>
      </c>
      <c r="C858" s="48" t="s">
        <v>511</v>
      </c>
      <c r="D858" s="48" t="s">
        <v>465</v>
      </c>
      <c r="E858" s="48" t="s">
        <v>466</v>
      </c>
      <c r="F858" s="49">
        <v>47</v>
      </c>
      <c r="G858" s="49">
        <v>15</v>
      </c>
      <c r="J858" s="49">
        <v>857</v>
      </c>
    </row>
    <row r="859" spans="1:10" s="49" customFormat="1" ht="30" x14ac:dyDescent="0.25">
      <c r="A859" s="48">
        <v>29</v>
      </c>
      <c r="B859" s="48" t="s">
        <v>505</v>
      </c>
      <c r="C859" s="48" t="s">
        <v>511</v>
      </c>
      <c r="D859" s="48" t="s">
        <v>465</v>
      </c>
      <c r="E859" s="48" t="s">
        <v>466</v>
      </c>
      <c r="F859" s="49">
        <v>48</v>
      </c>
      <c r="G859" s="49">
        <v>22</v>
      </c>
      <c r="J859" s="49">
        <v>858</v>
      </c>
    </row>
    <row r="860" spans="1:10" s="49" customFormat="1" ht="30" x14ac:dyDescent="0.25">
      <c r="A860" s="48">
        <v>29</v>
      </c>
      <c r="B860" s="48" t="s">
        <v>505</v>
      </c>
      <c r="C860" s="48" t="s">
        <v>511</v>
      </c>
      <c r="D860" s="48" t="s">
        <v>465</v>
      </c>
      <c r="E860" s="48" t="s">
        <v>466</v>
      </c>
      <c r="F860" s="49">
        <v>49</v>
      </c>
      <c r="G860" s="49">
        <v>26</v>
      </c>
      <c r="J860" s="49">
        <v>859</v>
      </c>
    </row>
    <row r="861" spans="1:10" s="49" customFormat="1" ht="30" x14ac:dyDescent="0.25">
      <c r="A861" s="48">
        <v>29</v>
      </c>
      <c r="B861" s="48" t="s">
        <v>505</v>
      </c>
      <c r="C861" s="48" t="s">
        <v>511</v>
      </c>
      <c r="D861" s="48" t="s">
        <v>465</v>
      </c>
      <c r="E861" s="48" t="s">
        <v>466</v>
      </c>
      <c r="F861" s="49">
        <v>50</v>
      </c>
      <c r="G861" s="49">
        <v>11</v>
      </c>
      <c r="J861" s="49">
        <v>860</v>
      </c>
    </row>
    <row r="862" spans="1:10" s="49" customFormat="1" ht="30" x14ac:dyDescent="0.25">
      <c r="A862" s="48">
        <v>29</v>
      </c>
      <c r="B862" s="48" t="s">
        <v>505</v>
      </c>
      <c r="C862" s="48" t="s">
        <v>511</v>
      </c>
      <c r="D862" s="48" t="s">
        <v>465</v>
      </c>
      <c r="E862" s="48" t="s">
        <v>466</v>
      </c>
      <c r="F862" s="49">
        <v>51</v>
      </c>
      <c r="G862" s="49">
        <v>23</v>
      </c>
      <c r="J862" s="49">
        <v>861</v>
      </c>
    </row>
    <row r="863" spans="1:10" s="49" customFormat="1" ht="30" x14ac:dyDescent="0.25">
      <c r="A863" s="48">
        <v>29</v>
      </c>
      <c r="B863" s="48" t="s">
        <v>505</v>
      </c>
      <c r="C863" s="48" t="s">
        <v>511</v>
      </c>
      <c r="D863" s="48" t="s">
        <v>465</v>
      </c>
      <c r="E863" s="48" t="s">
        <v>466</v>
      </c>
      <c r="F863" s="49">
        <v>52</v>
      </c>
      <c r="G863" s="49">
        <v>15</v>
      </c>
      <c r="J863" s="49">
        <v>862</v>
      </c>
    </row>
    <row r="864" spans="1:10" s="49" customFormat="1" ht="30" x14ac:dyDescent="0.25">
      <c r="A864" s="48">
        <v>29</v>
      </c>
      <c r="B864" s="48" t="s">
        <v>505</v>
      </c>
      <c r="C864" s="48" t="s">
        <v>511</v>
      </c>
      <c r="D864" s="48" t="s">
        <v>465</v>
      </c>
      <c r="E864" s="48" t="s">
        <v>466</v>
      </c>
      <c r="F864" s="49">
        <v>53</v>
      </c>
      <c r="G864" s="49">
        <v>12</v>
      </c>
      <c r="J864" s="49">
        <v>863</v>
      </c>
    </row>
    <row r="865" spans="1:10" s="49" customFormat="1" ht="30" x14ac:dyDescent="0.25">
      <c r="A865" s="48">
        <v>29</v>
      </c>
      <c r="B865" s="48" t="s">
        <v>505</v>
      </c>
      <c r="C865" s="48" t="s">
        <v>511</v>
      </c>
      <c r="D865" s="48" t="s">
        <v>465</v>
      </c>
      <c r="E865" s="48" t="s">
        <v>466</v>
      </c>
      <c r="F865" s="49">
        <v>54</v>
      </c>
      <c r="G865" s="49">
        <v>17</v>
      </c>
      <c r="J865" s="49">
        <v>864</v>
      </c>
    </row>
    <row r="866" spans="1:10" s="49" customFormat="1" ht="30" x14ac:dyDescent="0.25">
      <c r="A866" s="48">
        <v>29</v>
      </c>
      <c r="B866" s="48" t="s">
        <v>505</v>
      </c>
      <c r="C866" s="48" t="s">
        <v>511</v>
      </c>
      <c r="D866" s="48" t="s">
        <v>465</v>
      </c>
      <c r="E866" s="48" t="s">
        <v>466</v>
      </c>
      <c r="F866" s="49">
        <v>55</v>
      </c>
      <c r="G866" s="49">
        <v>13</v>
      </c>
      <c r="J866" s="49">
        <v>865</v>
      </c>
    </row>
    <row r="867" spans="1:10" s="49" customFormat="1" ht="30" x14ac:dyDescent="0.25">
      <c r="A867" s="48">
        <v>29</v>
      </c>
      <c r="B867" s="48" t="s">
        <v>505</v>
      </c>
      <c r="C867" s="48" t="s">
        <v>511</v>
      </c>
      <c r="D867" s="48" t="s">
        <v>465</v>
      </c>
      <c r="E867" s="48" t="s">
        <v>466</v>
      </c>
      <c r="F867" s="49">
        <v>56</v>
      </c>
      <c r="G867" s="49">
        <v>12</v>
      </c>
      <c r="J867" s="49">
        <v>866</v>
      </c>
    </row>
    <row r="868" spans="1:10" s="49" customFormat="1" ht="30" x14ac:dyDescent="0.25">
      <c r="A868" s="48">
        <v>29</v>
      </c>
      <c r="B868" s="48" t="s">
        <v>505</v>
      </c>
      <c r="C868" s="48" t="s">
        <v>511</v>
      </c>
      <c r="D868" s="48" t="s">
        <v>465</v>
      </c>
      <c r="E868" s="48" t="s">
        <v>466</v>
      </c>
      <c r="F868" s="49">
        <v>57</v>
      </c>
      <c r="G868" s="49">
        <v>21</v>
      </c>
      <c r="J868" s="49">
        <v>867</v>
      </c>
    </row>
    <row r="869" spans="1:10" s="49" customFormat="1" ht="30" x14ac:dyDescent="0.25">
      <c r="A869" s="48">
        <v>29</v>
      </c>
      <c r="B869" s="48" t="s">
        <v>505</v>
      </c>
      <c r="C869" s="48" t="s">
        <v>511</v>
      </c>
      <c r="D869" s="48" t="s">
        <v>465</v>
      </c>
      <c r="E869" s="48" t="s">
        <v>466</v>
      </c>
      <c r="F869" s="49">
        <v>58</v>
      </c>
      <c r="G869" s="49">
        <v>14</v>
      </c>
      <c r="J869" s="49">
        <v>868</v>
      </c>
    </row>
    <row r="870" spans="1:10" s="49" customFormat="1" ht="30" x14ac:dyDescent="0.25">
      <c r="A870" s="48">
        <v>29</v>
      </c>
      <c r="B870" s="48" t="s">
        <v>505</v>
      </c>
      <c r="C870" s="48" t="s">
        <v>511</v>
      </c>
      <c r="D870" s="48" t="s">
        <v>465</v>
      </c>
      <c r="E870" s="48" t="s">
        <v>466</v>
      </c>
      <c r="F870" s="49">
        <v>59</v>
      </c>
      <c r="G870" s="49">
        <v>21</v>
      </c>
      <c r="J870" s="49">
        <v>869</v>
      </c>
    </row>
    <row r="871" spans="1:10" s="49" customFormat="1" ht="30" x14ac:dyDescent="0.25">
      <c r="A871" s="48">
        <v>29</v>
      </c>
      <c r="B871" s="48" t="s">
        <v>505</v>
      </c>
      <c r="C871" s="48" t="s">
        <v>511</v>
      </c>
      <c r="D871" s="48" t="s">
        <v>465</v>
      </c>
      <c r="E871" s="48" t="s">
        <v>466</v>
      </c>
      <c r="F871" s="49">
        <v>60</v>
      </c>
      <c r="G871" s="49">
        <v>22</v>
      </c>
      <c r="J871" s="49">
        <v>870</v>
      </c>
    </row>
    <row r="872" spans="1:10" s="49" customFormat="1" ht="30" x14ac:dyDescent="0.25">
      <c r="A872" s="48">
        <v>29</v>
      </c>
      <c r="B872" s="48" t="s">
        <v>505</v>
      </c>
      <c r="C872" s="48" t="s">
        <v>511</v>
      </c>
      <c r="D872" s="48" t="s">
        <v>465</v>
      </c>
      <c r="E872" s="48" t="s">
        <v>466</v>
      </c>
      <c r="F872" s="49">
        <v>61</v>
      </c>
      <c r="G872" s="49">
        <v>11</v>
      </c>
      <c r="J872" s="49">
        <v>871</v>
      </c>
    </row>
    <row r="873" spans="1:10" s="49" customFormat="1" ht="30" x14ac:dyDescent="0.25">
      <c r="A873" s="48">
        <v>29</v>
      </c>
      <c r="B873" s="48" t="s">
        <v>505</v>
      </c>
      <c r="C873" s="48" t="s">
        <v>511</v>
      </c>
      <c r="D873" s="48" t="s">
        <v>465</v>
      </c>
      <c r="E873" s="48" t="s">
        <v>466</v>
      </c>
      <c r="F873" s="49">
        <v>62</v>
      </c>
      <c r="G873" s="49">
        <v>12</v>
      </c>
      <c r="J873" s="49">
        <v>872</v>
      </c>
    </row>
    <row r="874" spans="1:10" s="49" customFormat="1" ht="30" x14ac:dyDescent="0.25">
      <c r="A874" s="48">
        <v>29</v>
      </c>
      <c r="B874" s="48" t="s">
        <v>505</v>
      </c>
      <c r="C874" s="48" t="s">
        <v>511</v>
      </c>
      <c r="D874" s="48" t="s">
        <v>465</v>
      </c>
      <c r="E874" s="48" t="s">
        <v>466</v>
      </c>
      <c r="F874" s="49">
        <v>63</v>
      </c>
      <c r="G874" s="49">
        <v>19</v>
      </c>
      <c r="J874" s="49">
        <v>873</v>
      </c>
    </row>
    <row r="875" spans="1:10" s="49" customFormat="1" ht="30" x14ac:dyDescent="0.25">
      <c r="A875" s="48">
        <v>29</v>
      </c>
      <c r="B875" s="48" t="s">
        <v>505</v>
      </c>
      <c r="C875" s="48" t="s">
        <v>511</v>
      </c>
      <c r="D875" s="48" t="s">
        <v>465</v>
      </c>
      <c r="E875" s="48" t="s">
        <v>466</v>
      </c>
      <c r="F875" s="49">
        <v>64</v>
      </c>
      <c r="G875" s="49">
        <v>11</v>
      </c>
      <c r="J875" s="49">
        <v>874</v>
      </c>
    </row>
    <row r="876" spans="1:10" s="49" customFormat="1" ht="30" x14ac:dyDescent="0.25">
      <c r="A876" s="48">
        <v>29</v>
      </c>
      <c r="B876" s="48" t="s">
        <v>505</v>
      </c>
      <c r="C876" s="48" t="s">
        <v>511</v>
      </c>
      <c r="D876" s="48" t="s">
        <v>465</v>
      </c>
      <c r="E876" s="48" t="s">
        <v>466</v>
      </c>
      <c r="F876" s="49">
        <v>65</v>
      </c>
      <c r="G876" s="49">
        <v>25</v>
      </c>
      <c r="J876" s="49">
        <v>875</v>
      </c>
    </row>
    <row r="877" spans="1:10" s="49" customFormat="1" ht="30.75" thickBot="1" x14ac:dyDescent="0.3">
      <c r="A877" s="48">
        <v>29</v>
      </c>
      <c r="B877" s="48" t="s">
        <v>505</v>
      </c>
      <c r="C877" s="48" t="s">
        <v>511</v>
      </c>
      <c r="D877" s="51" t="s">
        <v>465</v>
      </c>
      <c r="E877" s="51" t="s">
        <v>466</v>
      </c>
      <c r="F877" s="52">
        <v>66</v>
      </c>
      <c r="G877" s="52">
        <v>24</v>
      </c>
      <c r="H877" s="52">
        <v>1288</v>
      </c>
      <c r="I877" s="52">
        <v>66</v>
      </c>
      <c r="J877" s="49">
        <v>876</v>
      </c>
    </row>
    <row r="878" spans="1:10" s="49" customFormat="1" ht="30.75" thickTop="1" x14ac:dyDescent="0.25">
      <c r="A878" s="48">
        <v>30</v>
      </c>
      <c r="B878" s="48" t="s">
        <v>505</v>
      </c>
      <c r="C878" s="48" t="s">
        <v>511</v>
      </c>
      <c r="D878" s="48" t="s">
        <v>467</v>
      </c>
      <c r="E878" s="48" t="s">
        <v>468</v>
      </c>
      <c r="F878" s="49">
        <v>1</v>
      </c>
      <c r="G878" s="49">
        <v>19</v>
      </c>
      <c r="J878" s="49">
        <v>877</v>
      </c>
    </row>
    <row r="879" spans="1:10" s="49" customFormat="1" ht="30" x14ac:dyDescent="0.25">
      <c r="A879" s="48">
        <v>30</v>
      </c>
      <c r="B879" s="48" t="s">
        <v>505</v>
      </c>
      <c r="C879" s="48" t="s">
        <v>511</v>
      </c>
      <c r="D879" s="48" t="s">
        <v>467</v>
      </c>
      <c r="E879" s="48" t="s">
        <v>468</v>
      </c>
      <c r="F879" s="49">
        <v>2</v>
      </c>
      <c r="G879" s="49">
        <v>36</v>
      </c>
      <c r="J879" s="49">
        <v>878</v>
      </c>
    </row>
    <row r="880" spans="1:10" s="49" customFormat="1" ht="30" x14ac:dyDescent="0.25">
      <c r="A880" s="48">
        <v>30</v>
      </c>
      <c r="B880" s="48" t="s">
        <v>505</v>
      </c>
      <c r="C880" s="48" t="s">
        <v>511</v>
      </c>
      <c r="D880" s="48" t="s">
        <v>467</v>
      </c>
      <c r="E880" s="48" t="s">
        <v>468</v>
      </c>
      <c r="F880" s="49">
        <v>3</v>
      </c>
      <c r="G880" s="49">
        <v>25</v>
      </c>
      <c r="J880" s="49">
        <v>879</v>
      </c>
    </row>
    <row r="881" spans="1:10" s="49" customFormat="1" ht="30" x14ac:dyDescent="0.25">
      <c r="A881" s="48">
        <v>30</v>
      </c>
      <c r="B881" s="48" t="s">
        <v>505</v>
      </c>
      <c r="C881" s="48" t="s">
        <v>511</v>
      </c>
      <c r="D881" s="48" t="s">
        <v>467</v>
      </c>
      <c r="E881" s="48" t="s">
        <v>468</v>
      </c>
      <c r="F881" s="49">
        <v>4</v>
      </c>
      <c r="G881" s="49">
        <v>31</v>
      </c>
      <c r="J881" s="49">
        <v>880</v>
      </c>
    </row>
    <row r="882" spans="1:10" s="49" customFormat="1" ht="30" x14ac:dyDescent="0.25">
      <c r="A882" s="48">
        <v>30</v>
      </c>
      <c r="B882" s="48" t="s">
        <v>505</v>
      </c>
      <c r="C882" s="48" t="s">
        <v>511</v>
      </c>
      <c r="D882" s="48" t="s">
        <v>467</v>
      </c>
      <c r="E882" s="48" t="s">
        <v>468</v>
      </c>
      <c r="F882" s="49">
        <v>5</v>
      </c>
      <c r="G882" s="49">
        <v>31</v>
      </c>
      <c r="J882" s="49">
        <v>881</v>
      </c>
    </row>
    <row r="883" spans="1:10" s="49" customFormat="1" ht="30" x14ac:dyDescent="0.25">
      <c r="A883" s="48">
        <v>30</v>
      </c>
      <c r="B883" s="48" t="s">
        <v>505</v>
      </c>
      <c r="C883" s="48" t="s">
        <v>511</v>
      </c>
      <c r="D883" s="48" t="s">
        <v>467</v>
      </c>
      <c r="E883" s="48" t="s">
        <v>468</v>
      </c>
      <c r="F883" s="49">
        <v>6</v>
      </c>
      <c r="G883" s="49">
        <v>30</v>
      </c>
      <c r="J883" s="49">
        <v>882</v>
      </c>
    </row>
    <row r="884" spans="1:10" s="49" customFormat="1" ht="30" x14ac:dyDescent="0.25">
      <c r="A884" s="48">
        <v>30</v>
      </c>
      <c r="B884" s="48" t="s">
        <v>505</v>
      </c>
      <c r="C884" s="48" t="s">
        <v>511</v>
      </c>
      <c r="D884" s="48" t="s">
        <v>467</v>
      </c>
      <c r="E884" s="48" t="s">
        <v>468</v>
      </c>
      <c r="F884" s="49">
        <v>7</v>
      </c>
      <c r="G884" s="49">
        <v>34</v>
      </c>
      <c r="J884" s="49">
        <v>883</v>
      </c>
    </row>
    <row r="885" spans="1:10" s="49" customFormat="1" ht="30" x14ac:dyDescent="0.25">
      <c r="A885" s="48">
        <v>30</v>
      </c>
      <c r="B885" s="48" t="s">
        <v>505</v>
      </c>
      <c r="C885" s="48" t="s">
        <v>511</v>
      </c>
      <c r="D885" s="48" t="s">
        <v>467</v>
      </c>
      <c r="E885" s="48" t="s">
        <v>468</v>
      </c>
      <c r="F885" s="49">
        <v>8</v>
      </c>
      <c r="G885" s="49">
        <v>23</v>
      </c>
      <c r="J885" s="49">
        <v>884</v>
      </c>
    </row>
    <row r="886" spans="1:10" s="49" customFormat="1" ht="30" x14ac:dyDescent="0.25">
      <c r="A886" s="48">
        <v>30</v>
      </c>
      <c r="B886" s="48" t="s">
        <v>505</v>
      </c>
      <c r="C886" s="48" t="s">
        <v>511</v>
      </c>
      <c r="D886" s="48" t="s">
        <v>467</v>
      </c>
      <c r="E886" s="48" t="s">
        <v>468</v>
      </c>
      <c r="F886" s="49">
        <v>9</v>
      </c>
      <c r="G886" s="49">
        <v>25</v>
      </c>
      <c r="J886" s="49">
        <v>885</v>
      </c>
    </row>
    <row r="887" spans="1:10" s="49" customFormat="1" ht="30" x14ac:dyDescent="0.25">
      <c r="A887" s="48">
        <v>30</v>
      </c>
      <c r="B887" s="48" t="s">
        <v>505</v>
      </c>
      <c r="C887" s="48" t="s">
        <v>511</v>
      </c>
      <c r="D887" s="48" t="s">
        <v>467</v>
      </c>
      <c r="E887" s="48" t="s">
        <v>468</v>
      </c>
      <c r="F887" s="49">
        <v>10</v>
      </c>
      <c r="G887" s="49">
        <v>25</v>
      </c>
      <c r="J887" s="49">
        <v>886</v>
      </c>
    </row>
    <row r="888" spans="1:10" s="49" customFormat="1" ht="30" x14ac:dyDescent="0.25">
      <c r="A888" s="48">
        <v>30</v>
      </c>
      <c r="B888" s="48" t="s">
        <v>505</v>
      </c>
      <c r="C888" s="48" t="s">
        <v>511</v>
      </c>
      <c r="D888" s="48" t="s">
        <v>467</v>
      </c>
      <c r="E888" s="48" t="s">
        <v>468</v>
      </c>
      <c r="F888" s="49">
        <v>11</v>
      </c>
      <c r="G888" s="49">
        <v>23</v>
      </c>
      <c r="J888" s="49">
        <v>887</v>
      </c>
    </row>
    <row r="889" spans="1:10" s="49" customFormat="1" ht="30" x14ac:dyDescent="0.25">
      <c r="A889" s="48">
        <v>30</v>
      </c>
      <c r="B889" s="48" t="s">
        <v>505</v>
      </c>
      <c r="C889" s="48" t="s">
        <v>511</v>
      </c>
      <c r="D889" s="48" t="s">
        <v>467</v>
      </c>
      <c r="E889" s="48" t="s">
        <v>468</v>
      </c>
      <c r="F889" s="49">
        <v>12</v>
      </c>
      <c r="G889" s="49">
        <v>17</v>
      </c>
      <c r="J889" s="49">
        <v>888</v>
      </c>
    </row>
    <row r="890" spans="1:10" s="49" customFormat="1" ht="30" x14ac:dyDescent="0.25">
      <c r="A890" s="48">
        <v>30</v>
      </c>
      <c r="B890" s="48" t="s">
        <v>505</v>
      </c>
      <c r="C890" s="48" t="s">
        <v>511</v>
      </c>
      <c r="D890" s="48" t="s">
        <v>467</v>
      </c>
      <c r="E890" s="48" t="s">
        <v>468</v>
      </c>
      <c r="F890" s="49">
        <v>13</v>
      </c>
      <c r="G890" s="49">
        <v>27</v>
      </c>
      <c r="J890" s="49">
        <v>889</v>
      </c>
    </row>
    <row r="891" spans="1:10" s="49" customFormat="1" ht="30" x14ac:dyDescent="0.25">
      <c r="A891" s="48">
        <v>30</v>
      </c>
      <c r="B891" s="48" t="s">
        <v>505</v>
      </c>
      <c r="C891" s="48" t="s">
        <v>511</v>
      </c>
      <c r="D891" s="48" t="s">
        <v>467</v>
      </c>
      <c r="E891" s="48" t="s">
        <v>468</v>
      </c>
      <c r="F891" s="49">
        <v>14</v>
      </c>
      <c r="G891" s="49">
        <v>22</v>
      </c>
      <c r="J891" s="49">
        <v>890</v>
      </c>
    </row>
    <row r="892" spans="1:10" s="49" customFormat="1" ht="30" x14ac:dyDescent="0.25">
      <c r="A892" s="48">
        <v>30</v>
      </c>
      <c r="B892" s="48" t="s">
        <v>505</v>
      </c>
      <c r="C892" s="48" t="s">
        <v>511</v>
      </c>
      <c r="D892" s="48" t="s">
        <v>467</v>
      </c>
      <c r="E892" s="48" t="s">
        <v>468</v>
      </c>
      <c r="F892" s="49">
        <v>15</v>
      </c>
      <c r="G892" s="49">
        <v>21</v>
      </c>
      <c r="J892" s="49">
        <v>891</v>
      </c>
    </row>
    <row r="893" spans="1:10" s="49" customFormat="1" ht="30" x14ac:dyDescent="0.25">
      <c r="A893" s="48">
        <v>30</v>
      </c>
      <c r="B893" s="48" t="s">
        <v>505</v>
      </c>
      <c r="C893" s="48" t="s">
        <v>511</v>
      </c>
      <c r="D893" s="48" t="s">
        <v>467</v>
      </c>
      <c r="E893" s="48" t="s">
        <v>468</v>
      </c>
      <c r="F893" s="49">
        <v>16</v>
      </c>
      <c r="G893" s="49">
        <v>21</v>
      </c>
      <c r="J893" s="49">
        <v>892</v>
      </c>
    </row>
    <row r="894" spans="1:10" s="49" customFormat="1" ht="30" x14ac:dyDescent="0.25">
      <c r="A894" s="48">
        <v>30</v>
      </c>
      <c r="B894" s="48" t="s">
        <v>505</v>
      </c>
      <c r="C894" s="48" t="s">
        <v>511</v>
      </c>
      <c r="D894" s="48" t="s">
        <v>467</v>
      </c>
      <c r="E894" s="48" t="s">
        <v>468</v>
      </c>
      <c r="F894" s="49">
        <v>17</v>
      </c>
      <c r="G894" s="49">
        <v>27</v>
      </c>
      <c r="J894" s="49">
        <v>893</v>
      </c>
    </row>
    <row r="895" spans="1:10" s="49" customFormat="1" ht="30" x14ac:dyDescent="0.25">
      <c r="A895" s="48">
        <v>30</v>
      </c>
      <c r="B895" s="48" t="s">
        <v>505</v>
      </c>
      <c r="C895" s="48" t="s">
        <v>511</v>
      </c>
      <c r="D895" s="48" t="s">
        <v>467</v>
      </c>
      <c r="E895" s="48" t="s">
        <v>468</v>
      </c>
      <c r="F895" s="49">
        <v>18</v>
      </c>
      <c r="G895" s="49">
        <v>23</v>
      </c>
      <c r="J895" s="49">
        <v>894</v>
      </c>
    </row>
    <row r="896" spans="1:10" s="49" customFormat="1" ht="30" x14ac:dyDescent="0.25">
      <c r="A896" s="48">
        <v>30</v>
      </c>
      <c r="B896" s="48" t="s">
        <v>505</v>
      </c>
      <c r="C896" s="48" t="s">
        <v>511</v>
      </c>
      <c r="D896" s="48" t="s">
        <v>467</v>
      </c>
      <c r="E896" s="48" t="s">
        <v>468</v>
      </c>
      <c r="F896" s="49">
        <v>19</v>
      </c>
      <c r="G896" s="49">
        <v>15</v>
      </c>
      <c r="J896" s="49">
        <v>895</v>
      </c>
    </row>
    <row r="897" spans="1:10" s="49" customFormat="1" ht="30" x14ac:dyDescent="0.25">
      <c r="A897" s="48">
        <v>30</v>
      </c>
      <c r="B897" s="48" t="s">
        <v>505</v>
      </c>
      <c r="C897" s="48" t="s">
        <v>511</v>
      </c>
      <c r="D897" s="48" t="s">
        <v>467</v>
      </c>
      <c r="E897" s="48" t="s">
        <v>468</v>
      </c>
      <c r="F897" s="49">
        <v>20</v>
      </c>
      <c r="G897" s="49">
        <v>18</v>
      </c>
      <c r="J897" s="49">
        <v>896</v>
      </c>
    </row>
    <row r="898" spans="1:10" s="49" customFormat="1" ht="30" x14ac:dyDescent="0.25">
      <c r="A898" s="48">
        <v>30</v>
      </c>
      <c r="B898" s="48" t="s">
        <v>505</v>
      </c>
      <c r="C898" s="48" t="s">
        <v>511</v>
      </c>
      <c r="D898" s="48" t="s">
        <v>467</v>
      </c>
      <c r="E898" s="48" t="s">
        <v>468</v>
      </c>
      <c r="F898" s="49">
        <v>21</v>
      </c>
      <c r="G898" s="49">
        <v>14</v>
      </c>
      <c r="J898" s="49">
        <v>897</v>
      </c>
    </row>
    <row r="899" spans="1:10" s="49" customFormat="1" ht="30" x14ac:dyDescent="0.25">
      <c r="A899" s="48">
        <v>30</v>
      </c>
      <c r="B899" s="48" t="s">
        <v>505</v>
      </c>
      <c r="C899" s="48" t="s">
        <v>511</v>
      </c>
      <c r="D899" s="48" t="s">
        <v>467</v>
      </c>
      <c r="E899" s="48" t="s">
        <v>468</v>
      </c>
      <c r="F899" s="49">
        <v>22</v>
      </c>
      <c r="G899" s="49">
        <v>30</v>
      </c>
      <c r="J899" s="49">
        <v>898</v>
      </c>
    </row>
    <row r="900" spans="1:10" s="49" customFormat="1" ht="30" x14ac:dyDescent="0.25">
      <c r="A900" s="48">
        <v>30</v>
      </c>
      <c r="B900" s="48" t="s">
        <v>505</v>
      </c>
      <c r="C900" s="48" t="s">
        <v>511</v>
      </c>
      <c r="D900" s="48" t="s">
        <v>467</v>
      </c>
      <c r="E900" s="48" t="s">
        <v>468</v>
      </c>
      <c r="F900" s="49">
        <v>23</v>
      </c>
      <c r="G900" s="49">
        <v>40</v>
      </c>
      <c r="J900" s="49">
        <v>899</v>
      </c>
    </row>
    <row r="901" spans="1:10" s="49" customFormat="1" ht="30" x14ac:dyDescent="0.25">
      <c r="A901" s="48">
        <v>30</v>
      </c>
      <c r="B901" s="48" t="s">
        <v>505</v>
      </c>
      <c r="C901" s="48" t="s">
        <v>511</v>
      </c>
      <c r="D901" s="48" t="s">
        <v>467</v>
      </c>
      <c r="E901" s="48" t="s">
        <v>468</v>
      </c>
      <c r="F901" s="49">
        <v>24</v>
      </c>
      <c r="G901" s="49">
        <v>10</v>
      </c>
      <c r="J901" s="49">
        <v>900</v>
      </c>
    </row>
    <row r="902" spans="1:10" s="49" customFormat="1" ht="30" x14ac:dyDescent="0.25">
      <c r="A902" s="48">
        <v>30</v>
      </c>
      <c r="B902" s="48" t="s">
        <v>505</v>
      </c>
      <c r="C902" s="48" t="s">
        <v>511</v>
      </c>
      <c r="D902" s="48" t="s">
        <v>467</v>
      </c>
      <c r="E902" s="48" t="s">
        <v>468</v>
      </c>
      <c r="F902" s="49">
        <v>25</v>
      </c>
      <c r="G902" s="49">
        <v>38</v>
      </c>
      <c r="J902" s="49">
        <v>901</v>
      </c>
    </row>
    <row r="903" spans="1:10" s="49" customFormat="1" ht="30" x14ac:dyDescent="0.25">
      <c r="A903" s="48">
        <v>30</v>
      </c>
      <c r="B903" s="48" t="s">
        <v>505</v>
      </c>
      <c r="C903" s="48" t="s">
        <v>511</v>
      </c>
      <c r="D903" s="48" t="s">
        <v>467</v>
      </c>
      <c r="E903" s="48" t="s">
        <v>468</v>
      </c>
      <c r="F903" s="49">
        <v>26</v>
      </c>
      <c r="G903" s="49">
        <v>24</v>
      </c>
      <c r="J903" s="49">
        <v>902</v>
      </c>
    </row>
    <row r="904" spans="1:10" s="49" customFormat="1" ht="30" x14ac:dyDescent="0.25">
      <c r="A904" s="48">
        <v>30</v>
      </c>
      <c r="B904" s="48" t="s">
        <v>505</v>
      </c>
      <c r="C904" s="48" t="s">
        <v>511</v>
      </c>
      <c r="D904" s="48" t="s">
        <v>467</v>
      </c>
      <c r="E904" s="48" t="s">
        <v>468</v>
      </c>
      <c r="F904" s="49">
        <v>27</v>
      </c>
      <c r="G904" s="49">
        <v>22</v>
      </c>
      <c r="J904" s="49">
        <v>903</v>
      </c>
    </row>
    <row r="905" spans="1:10" s="49" customFormat="1" ht="30" x14ac:dyDescent="0.25">
      <c r="A905" s="48">
        <v>30</v>
      </c>
      <c r="B905" s="48" t="s">
        <v>505</v>
      </c>
      <c r="C905" s="48" t="s">
        <v>511</v>
      </c>
      <c r="D905" s="48" t="s">
        <v>467</v>
      </c>
      <c r="E905" s="48" t="s">
        <v>468</v>
      </c>
      <c r="F905" s="49">
        <v>28</v>
      </c>
      <c r="G905" s="49">
        <v>17</v>
      </c>
      <c r="J905" s="49">
        <v>904</v>
      </c>
    </row>
    <row r="906" spans="1:10" s="49" customFormat="1" ht="30" x14ac:dyDescent="0.25">
      <c r="A906" s="48">
        <v>30</v>
      </c>
      <c r="B906" s="48" t="s">
        <v>505</v>
      </c>
      <c r="C906" s="48" t="s">
        <v>511</v>
      </c>
      <c r="D906" s="48" t="s">
        <v>467</v>
      </c>
      <c r="E906" s="48" t="s">
        <v>468</v>
      </c>
      <c r="F906" s="49">
        <v>29</v>
      </c>
      <c r="G906" s="49">
        <v>32</v>
      </c>
      <c r="J906" s="49">
        <v>905</v>
      </c>
    </row>
    <row r="907" spans="1:10" s="49" customFormat="1" ht="30" x14ac:dyDescent="0.25">
      <c r="A907" s="48">
        <v>30</v>
      </c>
      <c r="B907" s="48" t="s">
        <v>505</v>
      </c>
      <c r="C907" s="48" t="s">
        <v>511</v>
      </c>
      <c r="D907" s="48" t="s">
        <v>467</v>
      </c>
      <c r="E907" s="48" t="s">
        <v>468</v>
      </c>
      <c r="F907" s="49">
        <v>30</v>
      </c>
      <c r="G907" s="49">
        <v>24</v>
      </c>
      <c r="J907" s="49">
        <v>906</v>
      </c>
    </row>
    <row r="908" spans="1:10" s="49" customFormat="1" ht="30" x14ac:dyDescent="0.25">
      <c r="A908" s="48">
        <v>30</v>
      </c>
      <c r="B908" s="48" t="s">
        <v>505</v>
      </c>
      <c r="C908" s="48" t="s">
        <v>511</v>
      </c>
      <c r="D908" s="48" t="s">
        <v>467</v>
      </c>
      <c r="E908" s="48" t="s">
        <v>468</v>
      </c>
      <c r="F908" s="49">
        <v>31</v>
      </c>
      <c r="G908" s="49">
        <v>40</v>
      </c>
      <c r="J908" s="49">
        <v>907</v>
      </c>
    </row>
    <row r="909" spans="1:10" s="49" customFormat="1" ht="30" x14ac:dyDescent="0.25">
      <c r="A909" s="48">
        <v>30</v>
      </c>
      <c r="B909" s="48" t="s">
        <v>505</v>
      </c>
      <c r="C909" s="48" t="s">
        <v>511</v>
      </c>
      <c r="D909" s="48" t="s">
        <v>467</v>
      </c>
      <c r="E909" s="48" t="s">
        <v>468</v>
      </c>
      <c r="F909" s="49">
        <v>32</v>
      </c>
      <c r="G909" s="49">
        <v>44</v>
      </c>
      <c r="J909" s="49">
        <v>908</v>
      </c>
    </row>
    <row r="910" spans="1:10" s="49" customFormat="1" ht="30" x14ac:dyDescent="0.25">
      <c r="A910" s="48">
        <v>30</v>
      </c>
      <c r="B910" s="48" t="s">
        <v>505</v>
      </c>
      <c r="C910" s="48" t="s">
        <v>511</v>
      </c>
      <c r="D910" s="48" t="s">
        <v>467</v>
      </c>
      <c r="E910" s="48" t="s">
        <v>468</v>
      </c>
      <c r="F910" s="49">
        <v>33</v>
      </c>
      <c r="G910" s="49">
        <v>26</v>
      </c>
      <c r="J910" s="49">
        <v>909</v>
      </c>
    </row>
    <row r="911" spans="1:10" s="49" customFormat="1" ht="30" x14ac:dyDescent="0.25">
      <c r="A911" s="48">
        <v>30</v>
      </c>
      <c r="B911" s="48" t="s">
        <v>505</v>
      </c>
      <c r="C911" s="48" t="s">
        <v>511</v>
      </c>
      <c r="D911" s="48" t="s">
        <v>467</v>
      </c>
      <c r="E911" s="48" t="s">
        <v>468</v>
      </c>
      <c r="F911" s="49">
        <v>34</v>
      </c>
      <c r="G911" s="49">
        <v>22</v>
      </c>
      <c r="J911" s="49">
        <v>910</v>
      </c>
    </row>
    <row r="912" spans="1:10" s="49" customFormat="1" ht="30" x14ac:dyDescent="0.25">
      <c r="A912" s="48">
        <v>30</v>
      </c>
      <c r="B912" s="48" t="s">
        <v>505</v>
      </c>
      <c r="C912" s="48" t="s">
        <v>511</v>
      </c>
      <c r="D912" s="48" t="s">
        <v>467</v>
      </c>
      <c r="E912" s="48" t="s">
        <v>468</v>
      </c>
      <c r="F912" s="49">
        <v>35</v>
      </c>
      <c r="G912" s="49">
        <v>19</v>
      </c>
      <c r="J912" s="49">
        <v>911</v>
      </c>
    </row>
    <row r="913" spans="1:10" s="49" customFormat="1" ht="30" x14ac:dyDescent="0.25">
      <c r="A913" s="48">
        <v>30</v>
      </c>
      <c r="B913" s="48" t="s">
        <v>505</v>
      </c>
      <c r="C913" s="48" t="s">
        <v>511</v>
      </c>
      <c r="D913" s="48" t="s">
        <v>467</v>
      </c>
      <c r="E913" s="48" t="s">
        <v>468</v>
      </c>
      <c r="F913" s="49">
        <v>36</v>
      </c>
      <c r="G913" s="49">
        <v>32</v>
      </c>
      <c r="J913" s="49">
        <v>912</v>
      </c>
    </row>
    <row r="914" spans="1:10" s="49" customFormat="1" ht="30" x14ac:dyDescent="0.25">
      <c r="A914" s="48">
        <v>30</v>
      </c>
      <c r="B914" s="48" t="s">
        <v>505</v>
      </c>
      <c r="C914" s="48" t="s">
        <v>511</v>
      </c>
      <c r="D914" s="48" t="s">
        <v>467</v>
      </c>
      <c r="E914" s="48" t="s">
        <v>468</v>
      </c>
      <c r="F914" s="49">
        <v>37</v>
      </c>
      <c r="G914" s="49">
        <v>21</v>
      </c>
      <c r="J914" s="49">
        <v>913</v>
      </c>
    </row>
    <row r="915" spans="1:10" s="49" customFormat="1" ht="30" x14ac:dyDescent="0.25">
      <c r="A915" s="48">
        <v>30</v>
      </c>
      <c r="B915" s="48" t="s">
        <v>505</v>
      </c>
      <c r="C915" s="48" t="s">
        <v>511</v>
      </c>
      <c r="D915" s="48" t="s">
        <v>467</v>
      </c>
      <c r="E915" s="48" t="s">
        <v>468</v>
      </c>
      <c r="F915" s="49">
        <v>38</v>
      </c>
      <c r="G915" s="49">
        <v>28</v>
      </c>
      <c r="J915" s="49">
        <v>914</v>
      </c>
    </row>
    <row r="916" spans="1:10" s="49" customFormat="1" ht="30" x14ac:dyDescent="0.25">
      <c r="A916" s="48">
        <v>30</v>
      </c>
      <c r="B916" s="48" t="s">
        <v>505</v>
      </c>
      <c r="C916" s="48" t="s">
        <v>511</v>
      </c>
      <c r="D916" s="48" t="s">
        <v>467</v>
      </c>
      <c r="E916" s="48" t="s">
        <v>468</v>
      </c>
      <c r="F916" s="49">
        <v>39</v>
      </c>
      <c r="G916" s="49">
        <v>18</v>
      </c>
      <c r="J916" s="49">
        <v>915</v>
      </c>
    </row>
    <row r="917" spans="1:10" s="49" customFormat="1" ht="30" x14ac:dyDescent="0.25">
      <c r="A917" s="48">
        <v>30</v>
      </c>
      <c r="B917" s="48" t="s">
        <v>505</v>
      </c>
      <c r="C917" s="48" t="s">
        <v>511</v>
      </c>
      <c r="D917" s="48" t="s">
        <v>467</v>
      </c>
      <c r="E917" s="48" t="s">
        <v>468</v>
      </c>
      <c r="F917" s="49">
        <v>40</v>
      </c>
      <c r="G917" s="49">
        <v>16</v>
      </c>
      <c r="J917" s="49">
        <v>916</v>
      </c>
    </row>
    <row r="918" spans="1:10" s="49" customFormat="1" ht="30" x14ac:dyDescent="0.25">
      <c r="A918" s="48">
        <v>30</v>
      </c>
      <c r="B918" s="48" t="s">
        <v>505</v>
      </c>
      <c r="C918" s="48" t="s">
        <v>511</v>
      </c>
      <c r="D918" s="48" t="s">
        <v>467</v>
      </c>
      <c r="E918" s="48" t="s">
        <v>468</v>
      </c>
      <c r="F918" s="49">
        <v>41</v>
      </c>
      <c r="G918" s="49">
        <v>18</v>
      </c>
      <c r="J918" s="49">
        <v>917</v>
      </c>
    </row>
    <row r="919" spans="1:10" s="49" customFormat="1" ht="30" x14ac:dyDescent="0.25">
      <c r="A919" s="48">
        <v>30</v>
      </c>
      <c r="B919" s="48" t="s">
        <v>505</v>
      </c>
      <c r="C919" s="48" t="s">
        <v>511</v>
      </c>
      <c r="D919" s="48" t="s">
        <v>467</v>
      </c>
      <c r="E919" s="48" t="s">
        <v>468</v>
      </c>
      <c r="F919" s="49">
        <v>42</v>
      </c>
      <c r="G919" s="49">
        <v>22</v>
      </c>
      <c r="J919" s="49">
        <v>918</v>
      </c>
    </row>
    <row r="920" spans="1:10" s="49" customFormat="1" ht="30" x14ac:dyDescent="0.25">
      <c r="A920" s="48">
        <v>30</v>
      </c>
      <c r="B920" s="48" t="s">
        <v>505</v>
      </c>
      <c r="C920" s="48" t="s">
        <v>511</v>
      </c>
      <c r="D920" s="48" t="s">
        <v>467</v>
      </c>
      <c r="E920" s="48" t="s">
        <v>468</v>
      </c>
      <c r="F920" s="49">
        <v>43</v>
      </c>
      <c r="G920" s="49">
        <v>13</v>
      </c>
      <c r="J920" s="49">
        <v>919</v>
      </c>
    </row>
    <row r="921" spans="1:10" s="49" customFormat="1" ht="30" x14ac:dyDescent="0.25">
      <c r="A921" s="48">
        <v>30</v>
      </c>
      <c r="B921" s="48" t="s">
        <v>505</v>
      </c>
      <c r="C921" s="48" t="s">
        <v>511</v>
      </c>
      <c r="D921" s="48" t="s">
        <v>467</v>
      </c>
      <c r="E921" s="48" t="s">
        <v>468</v>
      </c>
      <c r="F921" s="49">
        <v>44</v>
      </c>
      <c r="G921" s="49">
        <v>30</v>
      </c>
      <c r="J921" s="49">
        <v>920</v>
      </c>
    </row>
    <row r="922" spans="1:10" s="49" customFormat="1" ht="30" x14ac:dyDescent="0.25">
      <c r="A922" s="48">
        <v>30</v>
      </c>
      <c r="B922" s="48" t="s">
        <v>505</v>
      </c>
      <c r="C922" s="48" t="s">
        <v>511</v>
      </c>
      <c r="D922" s="48" t="s">
        <v>467</v>
      </c>
      <c r="E922" s="48" t="s">
        <v>468</v>
      </c>
      <c r="F922" s="49">
        <v>45</v>
      </c>
      <c r="G922" s="49">
        <v>5</v>
      </c>
      <c r="J922" s="49">
        <v>921</v>
      </c>
    </row>
    <row r="923" spans="1:10" s="49" customFormat="1" ht="30" x14ac:dyDescent="0.25">
      <c r="A923" s="48">
        <v>30</v>
      </c>
      <c r="B923" s="48" t="s">
        <v>505</v>
      </c>
      <c r="C923" s="48" t="s">
        <v>511</v>
      </c>
      <c r="D923" s="48" t="s">
        <v>467</v>
      </c>
      <c r="E923" s="48" t="s">
        <v>468</v>
      </c>
      <c r="F923" s="49">
        <v>46</v>
      </c>
      <c r="G923" s="49">
        <v>28</v>
      </c>
      <c r="J923" s="49">
        <v>922</v>
      </c>
    </row>
    <row r="924" spans="1:10" s="49" customFormat="1" ht="30" x14ac:dyDescent="0.25">
      <c r="A924" s="48">
        <v>30</v>
      </c>
      <c r="B924" s="48" t="s">
        <v>505</v>
      </c>
      <c r="C924" s="48" t="s">
        <v>511</v>
      </c>
      <c r="D924" s="48" t="s">
        <v>467</v>
      </c>
      <c r="E924" s="48" t="s">
        <v>468</v>
      </c>
      <c r="F924" s="49">
        <v>47</v>
      </c>
      <c r="G924" s="49">
        <v>7</v>
      </c>
      <c r="J924" s="49">
        <v>923</v>
      </c>
    </row>
    <row r="925" spans="1:10" s="49" customFormat="1" ht="30" x14ac:dyDescent="0.25">
      <c r="A925" s="48">
        <v>30</v>
      </c>
      <c r="B925" s="48" t="s">
        <v>505</v>
      </c>
      <c r="C925" s="48" t="s">
        <v>511</v>
      </c>
      <c r="D925" s="48" t="s">
        <v>467</v>
      </c>
      <c r="E925" s="48" t="s">
        <v>468</v>
      </c>
      <c r="F925" s="49">
        <v>48</v>
      </c>
      <c r="G925" s="49">
        <v>47</v>
      </c>
      <c r="J925" s="49">
        <v>924</v>
      </c>
    </row>
    <row r="926" spans="1:10" s="49" customFormat="1" ht="30" x14ac:dyDescent="0.25">
      <c r="A926" s="48">
        <v>30</v>
      </c>
      <c r="B926" s="48" t="s">
        <v>505</v>
      </c>
      <c r="C926" s="48" t="s">
        <v>511</v>
      </c>
      <c r="D926" s="48" t="s">
        <v>467</v>
      </c>
      <c r="E926" s="48" t="s">
        <v>468</v>
      </c>
      <c r="F926" s="49">
        <v>49</v>
      </c>
      <c r="G926" s="49">
        <v>39</v>
      </c>
      <c r="J926" s="49">
        <v>925</v>
      </c>
    </row>
    <row r="927" spans="1:10" s="49" customFormat="1" ht="30" x14ac:dyDescent="0.25">
      <c r="A927" s="48">
        <v>30</v>
      </c>
      <c r="B927" s="48" t="s">
        <v>505</v>
      </c>
      <c r="C927" s="48" t="s">
        <v>511</v>
      </c>
      <c r="D927" s="48" t="s">
        <v>467</v>
      </c>
      <c r="E927" s="48" t="s">
        <v>468</v>
      </c>
      <c r="F927" s="49">
        <v>50</v>
      </c>
      <c r="G927" s="49">
        <v>46</v>
      </c>
      <c r="J927" s="49">
        <v>926</v>
      </c>
    </row>
    <row r="928" spans="1:10" s="49" customFormat="1" ht="30" x14ac:dyDescent="0.25">
      <c r="A928" s="48">
        <v>30</v>
      </c>
      <c r="B928" s="48" t="s">
        <v>505</v>
      </c>
      <c r="C928" s="48" t="s">
        <v>511</v>
      </c>
      <c r="D928" s="48" t="s">
        <v>467</v>
      </c>
      <c r="E928" s="48" t="s">
        <v>468</v>
      </c>
      <c r="F928" s="49">
        <v>51</v>
      </c>
      <c r="G928" s="49">
        <v>64</v>
      </c>
      <c r="J928" s="49">
        <v>927</v>
      </c>
    </row>
    <row r="929" spans="1:10" s="49" customFormat="1" ht="30.75" thickBot="1" x14ac:dyDescent="0.3">
      <c r="A929" s="48">
        <v>30</v>
      </c>
      <c r="B929" s="48" t="s">
        <v>505</v>
      </c>
      <c r="C929" s="48" t="s">
        <v>511</v>
      </c>
      <c r="D929" s="51" t="s">
        <v>467</v>
      </c>
      <c r="E929" s="51" t="s">
        <v>468</v>
      </c>
      <c r="F929" s="52">
        <v>52</v>
      </c>
      <c r="G929" s="52">
        <v>34</v>
      </c>
      <c r="H929" s="52">
        <v>1363</v>
      </c>
      <c r="I929" s="52">
        <v>52</v>
      </c>
      <c r="J929" s="49">
        <v>928</v>
      </c>
    </row>
    <row r="930" spans="1:10" s="49" customFormat="1" ht="30.75" thickTop="1" x14ac:dyDescent="0.25">
      <c r="A930" s="48">
        <v>31</v>
      </c>
      <c r="B930" s="48" t="s">
        <v>505</v>
      </c>
      <c r="C930" s="48" t="s">
        <v>511</v>
      </c>
      <c r="D930" s="48" t="s">
        <v>469</v>
      </c>
      <c r="E930" s="48" t="s">
        <v>470</v>
      </c>
      <c r="F930" s="49">
        <v>1</v>
      </c>
      <c r="G930" s="49">
        <v>22</v>
      </c>
      <c r="J930" s="49">
        <v>929</v>
      </c>
    </row>
    <row r="931" spans="1:10" s="49" customFormat="1" ht="30" x14ac:dyDescent="0.25">
      <c r="A931" s="48">
        <v>31</v>
      </c>
      <c r="B931" s="48" t="s">
        <v>505</v>
      </c>
      <c r="C931" s="48" t="s">
        <v>511</v>
      </c>
      <c r="D931" s="48" t="s">
        <v>469</v>
      </c>
      <c r="E931" s="48" t="s">
        <v>470</v>
      </c>
      <c r="F931" s="49">
        <v>2</v>
      </c>
      <c r="G931" s="49">
        <v>22</v>
      </c>
      <c r="J931" s="49">
        <v>930</v>
      </c>
    </row>
    <row r="932" spans="1:10" s="49" customFormat="1" ht="30" x14ac:dyDescent="0.25">
      <c r="A932" s="48">
        <v>31</v>
      </c>
      <c r="B932" s="48" t="s">
        <v>505</v>
      </c>
      <c r="C932" s="48" t="s">
        <v>511</v>
      </c>
      <c r="D932" s="48" t="s">
        <v>469</v>
      </c>
      <c r="E932" s="48" t="s">
        <v>470</v>
      </c>
      <c r="F932" s="49">
        <v>3</v>
      </c>
      <c r="G932" s="49">
        <v>66</v>
      </c>
      <c r="J932" s="49">
        <v>931</v>
      </c>
    </row>
    <row r="933" spans="1:10" s="49" customFormat="1" ht="30" x14ac:dyDescent="0.25">
      <c r="A933" s="48">
        <v>31</v>
      </c>
      <c r="B933" s="48" t="s">
        <v>505</v>
      </c>
      <c r="C933" s="48" t="s">
        <v>511</v>
      </c>
      <c r="D933" s="48" t="s">
        <v>469</v>
      </c>
      <c r="E933" s="48" t="s">
        <v>470</v>
      </c>
      <c r="F933" s="49">
        <v>4</v>
      </c>
      <c r="G933" s="49">
        <v>22</v>
      </c>
      <c r="J933" s="49">
        <v>932</v>
      </c>
    </row>
    <row r="934" spans="1:10" s="49" customFormat="1" ht="30.75" thickBot="1" x14ac:dyDescent="0.3">
      <c r="A934" s="48">
        <v>31</v>
      </c>
      <c r="B934" s="48" t="s">
        <v>505</v>
      </c>
      <c r="C934" s="48" t="s">
        <v>511</v>
      </c>
      <c r="D934" s="51" t="s">
        <v>469</v>
      </c>
      <c r="E934" s="51" t="s">
        <v>470</v>
      </c>
      <c r="F934" s="52">
        <v>5</v>
      </c>
      <c r="G934" s="52">
        <v>22</v>
      </c>
      <c r="H934" s="52">
        <v>154</v>
      </c>
      <c r="I934" s="52">
        <v>5</v>
      </c>
      <c r="J934" s="49">
        <v>933</v>
      </c>
    </row>
    <row r="935" spans="1:10" s="49" customFormat="1" ht="30.75" thickTop="1" x14ac:dyDescent="0.25">
      <c r="A935" s="48">
        <v>32</v>
      </c>
      <c r="B935" s="48" t="s">
        <v>505</v>
      </c>
      <c r="C935" s="48" t="s">
        <v>511</v>
      </c>
      <c r="D935" s="48" t="s">
        <v>471</v>
      </c>
      <c r="E935" s="48" t="s">
        <v>472</v>
      </c>
      <c r="F935" s="49">
        <v>1</v>
      </c>
      <c r="G935" s="49">
        <v>22</v>
      </c>
      <c r="J935" s="49">
        <v>934</v>
      </c>
    </row>
    <row r="936" spans="1:10" s="49" customFormat="1" ht="30" x14ac:dyDescent="0.25">
      <c r="A936" s="48">
        <v>32</v>
      </c>
      <c r="B936" s="48" t="s">
        <v>505</v>
      </c>
      <c r="C936" s="48" t="s">
        <v>511</v>
      </c>
      <c r="D936" s="48" t="s">
        <v>471</v>
      </c>
      <c r="E936" s="48" t="s">
        <v>472</v>
      </c>
      <c r="F936" s="49">
        <v>2</v>
      </c>
      <c r="G936" s="49">
        <v>35</v>
      </c>
      <c r="J936" s="49">
        <v>935</v>
      </c>
    </row>
    <row r="937" spans="1:10" s="49" customFormat="1" ht="30" x14ac:dyDescent="0.25">
      <c r="A937" s="48">
        <v>32</v>
      </c>
      <c r="B937" s="48" t="s">
        <v>505</v>
      </c>
      <c r="C937" s="48" t="s">
        <v>511</v>
      </c>
      <c r="D937" s="48" t="s">
        <v>471</v>
      </c>
      <c r="E937" s="48" t="s">
        <v>472</v>
      </c>
      <c r="F937" s="49">
        <v>3</v>
      </c>
      <c r="G937" s="49">
        <v>38</v>
      </c>
      <c r="J937" s="49">
        <v>936</v>
      </c>
    </row>
    <row r="938" spans="1:10" s="49" customFormat="1" ht="30" x14ac:dyDescent="0.25">
      <c r="A938" s="48">
        <v>32</v>
      </c>
      <c r="B938" s="48" t="s">
        <v>505</v>
      </c>
      <c r="C938" s="48" t="s">
        <v>511</v>
      </c>
      <c r="D938" s="48" t="s">
        <v>471</v>
      </c>
      <c r="E938" s="48" t="s">
        <v>472</v>
      </c>
      <c r="F938" s="49">
        <v>4</v>
      </c>
      <c r="G938" s="49">
        <v>37</v>
      </c>
      <c r="J938" s="49">
        <v>937</v>
      </c>
    </row>
    <row r="939" spans="1:10" s="49" customFormat="1" ht="30" x14ac:dyDescent="0.25">
      <c r="A939" s="48">
        <v>32</v>
      </c>
      <c r="B939" s="48" t="s">
        <v>505</v>
      </c>
      <c r="C939" s="48" t="s">
        <v>511</v>
      </c>
      <c r="D939" s="48" t="s">
        <v>471</v>
      </c>
      <c r="E939" s="48" t="s">
        <v>472</v>
      </c>
      <c r="F939" s="49">
        <v>5</v>
      </c>
      <c r="G939" s="49">
        <v>9</v>
      </c>
      <c r="J939" s="49">
        <v>938</v>
      </c>
    </row>
    <row r="940" spans="1:10" s="49" customFormat="1" ht="30.75" thickBot="1" x14ac:dyDescent="0.3">
      <c r="A940" s="48">
        <v>32</v>
      </c>
      <c r="B940" s="48" t="s">
        <v>505</v>
      </c>
      <c r="C940" s="48" t="s">
        <v>511</v>
      </c>
      <c r="D940" s="51" t="s">
        <v>471</v>
      </c>
      <c r="E940" s="51" t="s">
        <v>472</v>
      </c>
      <c r="F940" s="52">
        <v>6</v>
      </c>
      <c r="G940" s="52">
        <v>72</v>
      </c>
      <c r="H940" s="52">
        <v>213</v>
      </c>
      <c r="I940" s="52">
        <v>6</v>
      </c>
      <c r="J940" s="49">
        <v>939</v>
      </c>
    </row>
    <row r="941" spans="1:10" s="49" customFormat="1" ht="30.75" thickTop="1" x14ac:dyDescent="0.25">
      <c r="A941" s="48">
        <v>33</v>
      </c>
      <c r="B941" s="48" t="s">
        <v>505</v>
      </c>
      <c r="C941" s="48" t="s">
        <v>511</v>
      </c>
      <c r="D941" s="48" t="s">
        <v>473</v>
      </c>
      <c r="E941" s="48" t="s">
        <v>474</v>
      </c>
      <c r="F941" s="49">
        <v>1</v>
      </c>
      <c r="G941" s="49">
        <v>28</v>
      </c>
      <c r="J941" s="49">
        <v>940</v>
      </c>
    </row>
    <row r="942" spans="1:10" s="49" customFormat="1" ht="30" x14ac:dyDescent="0.25">
      <c r="A942" s="48">
        <v>33</v>
      </c>
      <c r="B942" s="48" t="s">
        <v>505</v>
      </c>
      <c r="C942" s="48" t="s">
        <v>511</v>
      </c>
      <c r="D942" s="48" t="s">
        <v>473</v>
      </c>
      <c r="E942" s="48" t="s">
        <v>474</v>
      </c>
      <c r="F942" s="49">
        <v>2</v>
      </c>
      <c r="G942" s="49">
        <v>9</v>
      </c>
      <c r="J942" s="49">
        <v>941</v>
      </c>
    </row>
    <row r="943" spans="1:10" s="49" customFormat="1" ht="30" x14ac:dyDescent="0.25">
      <c r="A943" s="48">
        <v>33</v>
      </c>
      <c r="B943" s="48" t="s">
        <v>505</v>
      </c>
      <c r="C943" s="48" t="s">
        <v>511</v>
      </c>
      <c r="D943" s="48" t="s">
        <v>473</v>
      </c>
      <c r="E943" s="48" t="s">
        <v>474</v>
      </c>
      <c r="F943" s="49">
        <v>3</v>
      </c>
      <c r="G943" s="49">
        <v>27</v>
      </c>
      <c r="J943" s="49">
        <v>942</v>
      </c>
    </row>
    <row r="944" spans="1:10" s="49" customFormat="1" ht="30" x14ac:dyDescent="0.25">
      <c r="A944" s="48">
        <v>33</v>
      </c>
      <c r="B944" s="48" t="s">
        <v>505</v>
      </c>
      <c r="C944" s="48" t="s">
        <v>511</v>
      </c>
      <c r="D944" s="48" t="s">
        <v>473</v>
      </c>
      <c r="E944" s="48" t="s">
        <v>474</v>
      </c>
      <c r="F944" s="49">
        <v>4</v>
      </c>
      <c r="G944" s="49">
        <v>17</v>
      </c>
      <c r="J944" s="49">
        <v>943</v>
      </c>
    </row>
    <row r="945" spans="1:10" s="49" customFormat="1" ht="30" x14ac:dyDescent="0.25">
      <c r="A945" s="48">
        <v>33</v>
      </c>
      <c r="B945" s="48" t="s">
        <v>505</v>
      </c>
      <c r="C945" s="48" t="s">
        <v>511</v>
      </c>
      <c r="D945" s="48" t="s">
        <v>473</v>
      </c>
      <c r="E945" s="48" t="s">
        <v>474</v>
      </c>
      <c r="F945" s="49">
        <v>5</v>
      </c>
      <c r="G945" s="49">
        <v>17</v>
      </c>
      <c r="J945" s="49">
        <v>944</v>
      </c>
    </row>
    <row r="946" spans="1:10" s="49" customFormat="1" ht="30" x14ac:dyDescent="0.25">
      <c r="A946" s="48">
        <v>33</v>
      </c>
      <c r="B946" s="48" t="s">
        <v>505</v>
      </c>
      <c r="C946" s="48" t="s">
        <v>511</v>
      </c>
      <c r="D946" s="48" t="s">
        <v>473</v>
      </c>
      <c r="E946" s="48" t="s">
        <v>474</v>
      </c>
      <c r="F946" s="49">
        <v>6</v>
      </c>
      <c r="G946" s="49">
        <v>14</v>
      </c>
      <c r="J946" s="49">
        <v>945</v>
      </c>
    </row>
    <row r="947" spans="1:10" s="49" customFormat="1" ht="30" x14ac:dyDescent="0.25">
      <c r="A947" s="48">
        <v>33</v>
      </c>
      <c r="B947" s="48" t="s">
        <v>505</v>
      </c>
      <c r="C947" s="48" t="s">
        <v>511</v>
      </c>
      <c r="D947" s="48" t="s">
        <v>473</v>
      </c>
      <c r="E947" s="48" t="s">
        <v>474</v>
      </c>
      <c r="F947" s="49">
        <v>7</v>
      </c>
      <c r="G947" s="49">
        <v>27</v>
      </c>
      <c r="J947" s="49">
        <v>946</v>
      </c>
    </row>
    <row r="948" spans="1:10" s="49" customFormat="1" ht="30" x14ac:dyDescent="0.25">
      <c r="A948" s="48">
        <v>33</v>
      </c>
      <c r="B948" s="48" t="s">
        <v>505</v>
      </c>
      <c r="C948" s="48" t="s">
        <v>511</v>
      </c>
      <c r="D948" s="48" t="s">
        <v>473</v>
      </c>
      <c r="E948" s="48" t="s">
        <v>474</v>
      </c>
      <c r="F948" s="49">
        <v>8</v>
      </c>
      <c r="G948" s="49">
        <v>18</v>
      </c>
      <c r="J948" s="49">
        <v>947</v>
      </c>
    </row>
    <row r="949" spans="1:10" s="49" customFormat="1" ht="30" x14ac:dyDescent="0.25">
      <c r="A949" s="48">
        <v>33</v>
      </c>
      <c r="B949" s="48" t="s">
        <v>505</v>
      </c>
      <c r="C949" s="48" t="s">
        <v>511</v>
      </c>
      <c r="D949" s="48" t="s">
        <v>473</v>
      </c>
      <c r="E949" s="48" t="s">
        <v>474</v>
      </c>
      <c r="F949" s="49">
        <v>9</v>
      </c>
      <c r="G949" s="49">
        <v>11</v>
      </c>
      <c r="J949" s="49">
        <v>948</v>
      </c>
    </row>
    <row r="950" spans="1:10" s="49" customFormat="1" ht="30" x14ac:dyDescent="0.25">
      <c r="A950" s="48">
        <v>33</v>
      </c>
      <c r="B950" s="48" t="s">
        <v>505</v>
      </c>
      <c r="C950" s="48" t="s">
        <v>511</v>
      </c>
      <c r="D950" s="48" t="s">
        <v>473</v>
      </c>
      <c r="E950" s="48" t="s">
        <v>474</v>
      </c>
      <c r="F950" s="49">
        <v>10</v>
      </c>
      <c r="G950" s="49">
        <v>22</v>
      </c>
      <c r="J950" s="49">
        <v>949</v>
      </c>
    </row>
    <row r="951" spans="1:10" s="49" customFormat="1" ht="30" x14ac:dyDescent="0.25">
      <c r="A951" s="48">
        <v>33</v>
      </c>
      <c r="B951" s="48" t="s">
        <v>505</v>
      </c>
      <c r="C951" s="48" t="s">
        <v>511</v>
      </c>
      <c r="D951" s="48" t="s">
        <v>473</v>
      </c>
      <c r="E951" s="48" t="s">
        <v>474</v>
      </c>
      <c r="F951" s="49">
        <v>11</v>
      </c>
      <c r="G951" s="49">
        <v>25</v>
      </c>
      <c r="J951" s="49">
        <v>950</v>
      </c>
    </row>
    <row r="952" spans="1:10" s="49" customFormat="1" ht="30" x14ac:dyDescent="0.25">
      <c r="A952" s="48">
        <v>33</v>
      </c>
      <c r="B952" s="48" t="s">
        <v>505</v>
      </c>
      <c r="C952" s="48" t="s">
        <v>511</v>
      </c>
      <c r="D952" s="48" t="s">
        <v>473</v>
      </c>
      <c r="E952" s="48" t="s">
        <v>474</v>
      </c>
      <c r="F952" s="49">
        <v>12</v>
      </c>
      <c r="G952" s="49">
        <v>28</v>
      </c>
      <c r="J952" s="49">
        <v>951</v>
      </c>
    </row>
    <row r="953" spans="1:10" s="49" customFormat="1" ht="30" x14ac:dyDescent="0.25">
      <c r="A953" s="48">
        <v>33</v>
      </c>
      <c r="B953" s="48" t="s">
        <v>505</v>
      </c>
      <c r="C953" s="48" t="s">
        <v>511</v>
      </c>
      <c r="D953" s="48" t="s">
        <v>473</v>
      </c>
      <c r="E953" s="48" t="s">
        <v>474</v>
      </c>
      <c r="F953" s="49">
        <v>13</v>
      </c>
      <c r="G953" s="49">
        <v>23</v>
      </c>
      <c r="J953" s="49">
        <v>952</v>
      </c>
    </row>
    <row r="954" spans="1:10" s="49" customFormat="1" ht="30" x14ac:dyDescent="0.25">
      <c r="A954" s="48">
        <v>33</v>
      </c>
      <c r="B954" s="48" t="s">
        <v>505</v>
      </c>
      <c r="C954" s="48" t="s">
        <v>511</v>
      </c>
      <c r="D954" s="48" t="s">
        <v>473</v>
      </c>
      <c r="E954" s="48" t="s">
        <v>474</v>
      </c>
      <c r="F954" s="49">
        <v>14</v>
      </c>
      <c r="G954" s="49">
        <v>23</v>
      </c>
      <c r="J954" s="49">
        <v>953</v>
      </c>
    </row>
    <row r="955" spans="1:10" s="49" customFormat="1" ht="30" x14ac:dyDescent="0.25">
      <c r="A955" s="48">
        <v>33</v>
      </c>
      <c r="B955" s="48" t="s">
        <v>505</v>
      </c>
      <c r="C955" s="48" t="s">
        <v>511</v>
      </c>
      <c r="D955" s="48" t="s">
        <v>473</v>
      </c>
      <c r="E955" s="48" t="s">
        <v>474</v>
      </c>
      <c r="F955" s="49">
        <v>15</v>
      </c>
      <c r="G955" s="49">
        <v>8</v>
      </c>
      <c r="J955" s="49">
        <v>954</v>
      </c>
    </row>
    <row r="956" spans="1:10" s="49" customFormat="1" ht="30" x14ac:dyDescent="0.25">
      <c r="A956" s="48">
        <v>33</v>
      </c>
      <c r="B956" s="48" t="s">
        <v>505</v>
      </c>
      <c r="C956" s="48" t="s">
        <v>511</v>
      </c>
      <c r="D956" s="48" t="s">
        <v>473</v>
      </c>
      <c r="E956" s="48" t="s">
        <v>474</v>
      </c>
      <c r="F956" s="49">
        <v>16</v>
      </c>
      <c r="G956" s="49">
        <v>63</v>
      </c>
      <c r="J956" s="49">
        <v>955</v>
      </c>
    </row>
    <row r="957" spans="1:10" s="49" customFormat="1" ht="30" x14ac:dyDescent="0.25">
      <c r="A957" s="48">
        <v>33</v>
      </c>
      <c r="B957" s="48" t="s">
        <v>505</v>
      </c>
      <c r="C957" s="48" t="s">
        <v>511</v>
      </c>
      <c r="D957" s="48" t="s">
        <v>473</v>
      </c>
      <c r="E957" s="48" t="s">
        <v>474</v>
      </c>
      <c r="F957" s="49">
        <v>17</v>
      </c>
      <c r="G957" s="49">
        <v>24</v>
      </c>
      <c r="J957" s="49">
        <v>956</v>
      </c>
    </row>
    <row r="958" spans="1:10" s="49" customFormat="1" ht="30" x14ac:dyDescent="0.25">
      <c r="A958" s="48">
        <v>33</v>
      </c>
      <c r="B958" s="48" t="s">
        <v>505</v>
      </c>
      <c r="C958" s="48" t="s">
        <v>511</v>
      </c>
      <c r="D958" s="48" t="s">
        <v>473</v>
      </c>
      <c r="E958" s="48" t="s">
        <v>474</v>
      </c>
      <c r="F958" s="49">
        <v>18</v>
      </c>
      <c r="G958" s="49">
        <v>32</v>
      </c>
      <c r="J958" s="49">
        <v>957</v>
      </c>
    </row>
    <row r="959" spans="1:10" s="49" customFormat="1" ht="30" x14ac:dyDescent="0.25">
      <c r="A959" s="48">
        <v>33</v>
      </c>
      <c r="B959" s="48" t="s">
        <v>505</v>
      </c>
      <c r="C959" s="48" t="s">
        <v>511</v>
      </c>
      <c r="D959" s="48" t="s">
        <v>473</v>
      </c>
      <c r="E959" s="48" t="s">
        <v>474</v>
      </c>
      <c r="F959" s="49">
        <v>19</v>
      </c>
      <c r="G959" s="49">
        <v>14</v>
      </c>
      <c r="J959" s="49">
        <v>958</v>
      </c>
    </row>
    <row r="960" spans="1:10" s="49" customFormat="1" ht="30" x14ac:dyDescent="0.25">
      <c r="A960" s="48">
        <v>33</v>
      </c>
      <c r="B960" s="48" t="s">
        <v>505</v>
      </c>
      <c r="C960" s="48" t="s">
        <v>511</v>
      </c>
      <c r="D960" s="48" t="s">
        <v>473</v>
      </c>
      <c r="E960" s="48" t="s">
        <v>474</v>
      </c>
      <c r="F960" s="49">
        <v>20</v>
      </c>
      <c r="G960" s="49">
        <v>44</v>
      </c>
      <c r="J960" s="49">
        <v>959</v>
      </c>
    </row>
    <row r="961" spans="1:10" s="49" customFormat="1" ht="30" x14ac:dyDescent="0.25">
      <c r="A961" s="48">
        <v>33</v>
      </c>
      <c r="B961" s="48" t="s">
        <v>505</v>
      </c>
      <c r="C961" s="48" t="s">
        <v>511</v>
      </c>
      <c r="D961" s="48" t="s">
        <v>473</v>
      </c>
      <c r="E961" s="48" t="s">
        <v>474</v>
      </c>
      <c r="F961" s="49">
        <v>21</v>
      </c>
      <c r="G961" s="49">
        <v>37</v>
      </c>
      <c r="J961" s="49">
        <v>960</v>
      </c>
    </row>
    <row r="962" spans="1:10" s="49" customFormat="1" ht="30" x14ac:dyDescent="0.25">
      <c r="A962" s="48">
        <v>33</v>
      </c>
      <c r="B962" s="48" t="s">
        <v>505</v>
      </c>
      <c r="C962" s="48" t="s">
        <v>511</v>
      </c>
      <c r="D962" s="48" t="s">
        <v>473</v>
      </c>
      <c r="E962" s="48" t="s">
        <v>474</v>
      </c>
      <c r="F962" s="49">
        <v>22</v>
      </c>
      <c r="G962" s="49">
        <v>31</v>
      </c>
      <c r="J962" s="49">
        <v>961</v>
      </c>
    </row>
    <row r="963" spans="1:10" s="49" customFormat="1" ht="30" x14ac:dyDescent="0.25">
      <c r="A963" s="48">
        <v>33</v>
      </c>
      <c r="B963" s="48" t="s">
        <v>505</v>
      </c>
      <c r="C963" s="48" t="s">
        <v>511</v>
      </c>
      <c r="D963" s="48" t="s">
        <v>473</v>
      </c>
      <c r="E963" s="48" t="s">
        <v>474</v>
      </c>
      <c r="F963" s="49">
        <v>23</v>
      </c>
      <c r="G963" s="49">
        <v>49</v>
      </c>
      <c r="J963" s="49">
        <v>962</v>
      </c>
    </row>
    <row r="964" spans="1:10" s="49" customFormat="1" ht="30" x14ac:dyDescent="0.25">
      <c r="A964" s="48">
        <v>33</v>
      </c>
      <c r="B964" s="48" t="s">
        <v>505</v>
      </c>
      <c r="C964" s="48" t="s">
        <v>511</v>
      </c>
      <c r="D964" s="48" t="s">
        <v>473</v>
      </c>
      <c r="E964" s="48" t="s">
        <v>474</v>
      </c>
      <c r="F964" s="49">
        <v>24</v>
      </c>
      <c r="G964" s="49">
        <v>27</v>
      </c>
      <c r="J964" s="49">
        <v>963</v>
      </c>
    </row>
    <row r="965" spans="1:10" s="49" customFormat="1" ht="30" x14ac:dyDescent="0.25">
      <c r="A965" s="48">
        <v>33</v>
      </c>
      <c r="B965" s="48" t="s">
        <v>505</v>
      </c>
      <c r="C965" s="48" t="s">
        <v>511</v>
      </c>
      <c r="D965" s="48" t="s">
        <v>473</v>
      </c>
      <c r="E965" s="48" t="s">
        <v>474</v>
      </c>
      <c r="F965" s="49">
        <v>25</v>
      </c>
      <c r="G965" s="49">
        <v>17</v>
      </c>
      <c r="J965" s="49">
        <v>964</v>
      </c>
    </row>
    <row r="966" spans="1:10" s="49" customFormat="1" ht="30" x14ac:dyDescent="0.25">
      <c r="A966" s="48">
        <v>33</v>
      </c>
      <c r="B966" s="48" t="s">
        <v>505</v>
      </c>
      <c r="C966" s="48" t="s">
        <v>511</v>
      </c>
      <c r="D966" s="48" t="s">
        <v>473</v>
      </c>
      <c r="E966" s="48" t="s">
        <v>474</v>
      </c>
      <c r="F966" s="49">
        <v>26</v>
      </c>
      <c r="G966" s="49">
        <v>21</v>
      </c>
      <c r="J966" s="49">
        <v>965</v>
      </c>
    </row>
    <row r="967" spans="1:10" s="49" customFormat="1" ht="30" x14ac:dyDescent="0.25">
      <c r="A967" s="48">
        <v>33</v>
      </c>
      <c r="B967" s="48" t="s">
        <v>505</v>
      </c>
      <c r="C967" s="48" t="s">
        <v>511</v>
      </c>
      <c r="D967" s="48" t="s">
        <v>473</v>
      </c>
      <c r="E967" s="48" t="s">
        <v>474</v>
      </c>
      <c r="F967" s="49">
        <v>27</v>
      </c>
      <c r="G967" s="49">
        <v>36</v>
      </c>
      <c r="J967" s="49">
        <v>966</v>
      </c>
    </row>
    <row r="968" spans="1:10" s="49" customFormat="1" ht="30" x14ac:dyDescent="0.25">
      <c r="A968" s="48">
        <v>33</v>
      </c>
      <c r="B968" s="48" t="s">
        <v>505</v>
      </c>
      <c r="C968" s="48" t="s">
        <v>511</v>
      </c>
      <c r="D968" s="48" t="s">
        <v>473</v>
      </c>
      <c r="E968" s="48" t="s">
        <v>474</v>
      </c>
      <c r="F968" s="49">
        <v>28</v>
      </c>
      <c r="G968" s="49">
        <v>26</v>
      </c>
      <c r="J968" s="49">
        <v>967</v>
      </c>
    </row>
    <row r="969" spans="1:10" s="49" customFormat="1" ht="30" x14ac:dyDescent="0.25">
      <c r="A969" s="48">
        <v>33</v>
      </c>
      <c r="B969" s="48" t="s">
        <v>505</v>
      </c>
      <c r="C969" s="48" t="s">
        <v>511</v>
      </c>
      <c r="D969" s="48" t="s">
        <v>473</v>
      </c>
      <c r="E969" s="48" t="s">
        <v>474</v>
      </c>
      <c r="F969" s="49">
        <v>29</v>
      </c>
      <c r="G969" s="49">
        <v>21</v>
      </c>
      <c r="J969" s="49">
        <v>968</v>
      </c>
    </row>
    <row r="970" spans="1:10" s="49" customFormat="1" ht="30" x14ac:dyDescent="0.25">
      <c r="A970" s="48">
        <v>33</v>
      </c>
      <c r="B970" s="48" t="s">
        <v>505</v>
      </c>
      <c r="C970" s="48" t="s">
        <v>511</v>
      </c>
      <c r="D970" s="48" t="s">
        <v>473</v>
      </c>
      <c r="E970" s="48" t="s">
        <v>474</v>
      </c>
      <c r="F970" s="49">
        <v>30</v>
      </c>
      <c r="G970" s="49">
        <v>26</v>
      </c>
      <c r="J970" s="49">
        <v>969</v>
      </c>
    </row>
    <row r="971" spans="1:10" s="49" customFormat="1" ht="30" x14ac:dyDescent="0.25">
      <c r="A971" s="48">
        <v>33</v>
      </c>
      <c r="B971" s="48" t="s">
        <v>505</v>
      </c>
      <c r="C971" s="48" t="s">
        <v>511</v>
      </c>
      <c r="D971" s="48" t="s">
        <v>473</v>
      </c>
      <c r="E971" s="48" t="s">
        <v>474</v>
      </c>
      <c r="F971" s="49">
        <v>31</v>
      </c>
      <c r="G971" s="49">
        <v>18</v>
      </c>
      <c r="J971" s="49">
        <v>970</v>
      </c>
    </row>
    <row r="972" spans="1:10" s="49" customFormat="1" ht="30" x14ac:dyDescent="0.25">
      <c r="A972" s="48">
        <v>33</v>
      </c>
      <c r="B972" s="48" t="s">
        <v>505</v>
      </c>
      <c r="C972" s="48" t="s">
        <v>511</v>
      </c>
      <c r="D972" s="48" t="s">
        <v>473</v>
      </c>
      <c r="E972" s="48" t="s">
        <v>474</v>
      </c>
      <c r="F972" s="49">
        <v>32</v>
      </c>
      <c r="G972" s="49">
        <v>32</v>
      </c>
      <c r="J972" s="49">
        <v>971</v>
      </c>
    </row>
    <row r="973" spans="1:10" s="49" customFormat="1" ht="30" x14ac:dyDescent="0.25">
      <c r="A973" s="48">
        <v>33</v>
      </c>
      <c r="B973" s="48" t="s">
        <v>505</v>
      </c>
      <c r="C973" s="48" t="s">
        <v>511</v>
      </c>
      <c r="D973" s="48" t="s">
        <v>473</v>
      </c>
      <c r="E973" s="48" t="s">
        <v>474</v>
      </c>
      <c r="F973" s="49">
        <v>33</v>
      </c>
      <c r="G973" s="49">
        <v>33</v>
      </c>
      <c r="J973" s="49">
        <v>972</v>
      </c>
    </row>
    <row r="974" spans="1:10" s="49" customFormat="1" ht="30" x14ac:dyDescent="0.25">
      <c r="A974" s="48">
        <v>33</v>
      </c>
      <c r="B974" s="48" t="s">
        <v>505</v>
      </c>
      <c r="C974" s="48" t="s">
        <v>511</v>
      </c>
      <c r="D974" s="48" t="s">
        <v>473</v>
      </c>
      <c r="E974" s="48" t="s">
        <v>474</v>
      </c>
      <c r="F974" s="49">
        <v>34</v>
      </c>
      <c r="G974" s="49">
        <v>31</v>
      </c>
      <c r="J974" s="49">
        <v>973</v>
      </c>
    </row>
    <row r="975" spans="1:10" s="49" customFormat="1" ht="30" x14ac:dyDescent="0.25">
      <c r="A975" s="48">
        <v>33</v>
      </c>
      <c r="B975" s="48" t="s">
        <v>505</v>
      </c>
      <c r="C975" s="48" t="s">
        <v>511</v>
      </c>
      <c r="D975" s="48" t="s">
        <v>473</v>
      </c>
      <c r="E975" s="48" t="s">
        <v>474</v>
      </c>
      <c r="F975" s="49">
        <v>35</v>
      </c>
      <c r="G975" s="49">
        <v>15</v>
      </c>
      <c r="J975" s="49">
        <v>974</v>
      </c>
    </row>
    <row r="976" spans="1:10" s="49" customFormat="1" ht="30" x14ac:dyDescent="0.25">
      <c r="A976" s="48">
        <v>33</v>
      </c>
      <c r="B976" s="48" t="s">
        <v>505</v>
      </c>
      <c r="C976" s="48" t="s">
        <v>511</v>
      </c>
      <c r="D976" s="48" t="s">
        <v>473</v>
      </c>
      <c r="E976" s="48" t="s">
        <v>474</v>
      </c>
      <c r="F976" s="49">
        <v>36</v>
      </c>
      <c r="G976" s="49">
        <v>38</v>
      </c>
      <c r="J976" s="49">
        <v>975</v>
      </c>
    </row>
    <row r="977" spans="1:10" s="49" customFormat="1" ht="30" x14ac:dyDescent="0.25">
      <c r="A977" s="48">
        <v>33</v>
      </c>
      <c r="B977" s="48" t="s">
        <v>505</v>
      </c>
      <c r="C977" s="48" t="s">
        <v>511</v>
      </c>
      <c r="D977" s="48" t="s">
        <v>473</v>
      </c>
      <c r="E977" s="48" t="s">
        <v>474</v>
      </c>
      <c r="F977" s="49">
        <v>37</v>
      </c>
      <c r="G977" s="49">
        <v>28</v>
      </c>
      <c r="J977" s="49">
        <v>976</v>
      </c>
    </row>
    <row r="978" spans="1:10" s="49" customFormat="1" ht="30" x14ac:dyDescent="0.25">
      <c r="A978" s="48">
        <v>33</v>
      </c>
      <c r="B978" s="48" t="s">
        <v>505</v>
      </c>
      <c r="C978" s="48" t="s">
        <v>511</v>
      </c>
      <c r="D978" s="48" t="s">
        <v>473</v>
      </c>
      <c r="E978" s="48" t="s">
        <v>474</v>
      </c>
      <c r="F978" s="49">
        <v>38</v>
      </c>
      <c r="G978" s="49">
        <v>23</v>
      </c>
      <c r="J978" s="49">
        <v>977</v>
      </c>
    </row>
    <row r="979" spans="1:10" s="49" customFormat="1" ht="30" x14ac:dyDescent="0.25">
      <c r="A979" s="48">
        <v>33</v>
      </c>
      <c r="B979" s="48" t="s">
        <v>505</v>
      </c>
      <c r="C979" s="48" t="s">
        <v>511</v>
      </c>
      <c r="D979" s="48" t="s">
        <v>473</v>
      </c>
      <c r="E979" s="48" t="s">
        <v>474</v>
      </c>
      <c r="F979" s="49">
        <v>39</v>
      </c>
      <c r="G979" s="49">
        <v>29</v>
      </c>
      <c r="J979" s="49">
        <v>978</v>
      </c>
    </row>
    <row r="980" spans="1:10" s="49" customFormat="1" ht="30" x14ac:dyDescent="0.25">
      <c r="A980" s="48">
        <v>33</v>
      </c>
      <c r="B980" s="48" t="s">
        <v>505</v>
      </c>
      <c r="C980" s="48" t="s">
        <v>511</v>
      </c>
      <c r="D980" s="48" t="s">
        <v>473</v>
      </c>
      <c r="E980" s="48" t="s">
        <v>474</v>
      </c>
      <c r="F980" s="49">
        <v>40</v>
      </c>
      <c r="G980" s="49">
        <v>49</v>
      </c>
      <c r="J980" s="49">
        <v>979</v>
      </c>
    </row>
    <row r="981" spans="1:10" s="49" customFormat="1" ht="30" x14ac:dyDescent="0.25">
      <c r="A981" s="48">
        <v>33</v>
      </c>
      <c r="B981" s="48" t="s">
        <v>505</v>
      </c>
      <c r="C981" s="48" t="s">
        <v>511</v>
      </c>
      <c r="D981" s="48" t="s">
        <v>473</v>
      </c>
      <c r="E981" s="48" t="s">
        <v>474</v>
      </c>
      <c r="F981" s="49">
        <v>41</v>
      </c>
      <c r="G981" s="49">
        <v>26</v>
      </c>
      <c r="J981" s="49">
        <v>980</v>
      </c>
    </row>
    <row r="982" spans="1:10" s="49" customFormat="1" ht="30" x14ac:dyDescent="0.25">
      <c r="A982" s="48">
        <v>33</v>
      </c>
      <c r="B982" s="48" t="s">
        <v>505</v>
      </c>
      <c r="C982" s="48" t="s">
        <v>511</v>
      </c>
      <c r="D982" s="48" t="s">
        <v>473</v>
      </c>
      <c r="E982" s="48" t="s">
        <v>474</v>
      </c>
      <c r="F982" s="49">
        <v>42</v>
      </c>
      <c r="G982" s="49">
        <v>20</v>
      </c>
      <c r="J982" s="49">
        <v>981</v>
      </c>
    </row>
    <row r="983" spans="1:10" s="49" customFormat="1" ht="30" x14ac:dyDescent="0.25">
      <c r="A983" s="48">
        <v>33</v>
      </c>
      <c r="B983" s="48" t="s">
        <v>505</v>
      </c>
      <c r="C983" s="48" t="s">
        <v>511</v>
      </c>
      <c r="D983" s="48" t="s">
        <v>473</v>
      </c>
      <c r="E983" s="48" t="s">
        <v>474</v>
      </c>
      <c r="F983" s="49">
        <v>43</v>
      </c>
      <c r="G983" s="49">
        <v>27</v>
      </c>
      <c r="J983" s="49">
        <v>982</v>
      </c>
    </row>
    <row r="984" spans="1:10" s="49" customFormat="1" ht="30" x14ac:dyDescent="0.25">
      <c r="A984" s="48">
        <v>33</v>
      </c>
      <c r="B984" s="48" t="s">
        <v>505</v>
      </c>
      <c r="C984" s="48" t="s">
        <v>511</v>
      </c>
      <c r="D984" s="48" t="s">
        <v>473</v>
      </c>
      <c r="E984" s="48" t="s">
        <v>474</v>
      </c>
      <c r="F984" s="49">
        <v>44</v>
      </c>
      <c r="G984" s="49">
        <v>31</v>
      </c>
      <c r="J984" s="49">
        <v>983</v>
      </c>
    </row>
    <row r="985" spans="1:10" s="49" customFormat="1" ht="30" x14ac:dyDescent="0.25">
      <c r="A985" s="48">
        <v>33</v>
      </c>
      <c r="B985" s="48" t="s">
        <v>505</v>
      </c>
      <c r="C985" s="48" t="s">
        <v>511</v>
      </c>
      <c r="D985" s="48" t="s">
        <v>473</v>
      </c>
      <c r="E985" s="48" t="s">
        <v>474</v>
      </c>
      <c r="F985" s="49">
        <v>45</v>
      </c>
      <c r="G985" s="49">
        <v>25</v>
      </c>
      <c r="J985" s="49">
        <v>984</v>
      </c>
    </row>
    <row r="986" spans="1:10" s="49" customFormat="1" ht="30" x14ac:dyDescent="0.25">
      <c r="A986" s="48">
        <v>33</v>
      </c>
      <c r="B986" s="48" t="s">
        <v>505</v>
      </c>
      <c r="C986" s="48" t="s">
        <v>511</v>
      </c>
      <c r="D986" s="48" t="s">
        <v>473</v>
      </c>
      <c r="E986" s="48" t="s">
        <v>474</v>
      </c>
      <c r="F986" s="49">
        <v>46</v>
      </c>
      <c r="G986" s="49">
        <v>24</v>
      </c>
      <c r="J986" s="49">
        <v>985</v>
      </c>
    </row>
    <row r="987" spans="1:10" s="49" customFormat="1" ht="30" x14ac:dyDescent="0.25">
      <c r="A987" s="48">
        <v>33</v>
      </c>
      <c r="B987" s="48" t="s">
        <v>505</v>
      </c>
      <c r="C987" s="48" t="s">
        <v>511</v>
      </c>
      <c r="D987" s="48" t="s">
        <v>473</v>
      </c>
      <c r="E987" s="48" t="s">
        <v>474</v>
      </c>
      <c r="F987" s="49">
        <v>47</v>
      </c>
      <c r="G987" s="49">
        <v>23</v>
      </c>
      <c r="J987" s="49">
        <v>986</v>
      </c>
    </row>
    <row r="988" spans="1:10" s="49" customFormat="1" ht="30.75" thickBot="1" x14ac:dyDescent="0.3">
      <c r="A988" s="48">
        <v>33</v>
      </c>
      <c r="B988" s="48" t="s">
        <v>505</v>
      </c>
      <c r="C988" s="48" t="s">
        <v>511</v>
      </c>
      <c r="D988" s="51" t="s">
        <v>473</v>
      </c>
      <c r="E988" s="51" t="s">
        <v>474</v>
      </c>
      <c r="F988" s="52">
        <v>48</v>
      </c>
      <c r="G988" s="52">
        <v>35</v>
      </c>
      <c r="H988" s="52">
        <v>1272</v>
      </c>
      <c r="I988" s="52">
        <v>48</v>
      </c>
      <c r="J988" s="49">
        <v>987</v>
      </c>
    </row>
    <row r="989" spans="1:10" s="49" customFormat="1" ht="30.75" thickTop="1" x14ac:dyDescent="0.25">
      <c r="A989" s="48">
        <v>34</v>
      </c>
      <c r="B989" s="48" t="s">
        <v>505</v>
      </c>
      <c r="C989" s="48" t="s">
        <v>511</v>
      </c>
      <c r="D989" s="48" t="s">
        <v>475</v>
      </c>
      <c r="E989" s="48" t="s">
        <v>476</v>
      </c>
      <c r="F989" s="49">
        <v>1</v>
      </c>
      <c r="G989" s="49">
        <v>21</v>
      </c>
      <c r="J989" s="49">
        <v>988</v>
      </c>
    </row>
    <row r="990" spans="1:10" s="49" customFormat="1" ht="30" x14ac:dyDescent="0.25">
      <c r="A990" s="48">
        <v>34</v>
      </c>
      <c r="B990" s="48" t="s">
        <v>505</v>
      </c>
      <c r="C990" s="48" t="s">
        <v>511</v>
      </c>
      <c r="D990" s="48" t="s">
        <v>475</v>
      </c>
      <c r="E990" s="48" t="s">
        <v>476</v>
      </c>
      <c r="F990" s="49">
        <v>2</v>
      </c>
      <c r="G990" s="49">
        <v>49</v>
      </c>
      <c r="J990" s="49">
        <v>989</v>
      </c>
    </row>
    <row r="991" spans="1:10" s="49" customFormat="1" ht="30" x14ac:dyDescent="0.25">
      <c r="A991" s="48">
        <v>34</v>
      </c>
      <c r="B991" s="48" t="s">
        <v>505</v>
      </c>
      <c r="C991" s="48" t="s">
        <v>511</v>
      </c>
      <c r="D991" s="48" t="s">
        <v>475</v>
      </c>
      <c r="E991" s="48" t="s">
        <v>476</v>
      </c>
      <c r="F991" s="49">
        <v>3</v>
      </c>
      <c r="G991" s="49">
        <v>100</v>
      </c>
      <c r="J991" s="49">
        <v>990</v>
      </c>
    </row>
    <row r="992" spans="1:10" s="49" customFormat="1" ht="30" x14ac:dyDescent="0.25">
      <c r="A992" s="48">
        <v>34</v>
      </c>
      <c r="B992" s="48" t="s">
        <v>505</v>
      </c>
      <c r="C992" s="48" t="s">
        <v>511</v>
      </c>
      <c r="D992" s="48" t="s">
        <v>475</v>
      </c>
      <c r="E992" s="48" t="s">
        <v>476</v>
      </c>
      <c r="F992" s="49">
        <v>4</v>
      </c>
      <c r="G992" s="49">
        <v>34</v>
      </c>
      <c r="J992" s="49">
        <v>991</v>
      </c>
    </row>
    <row r="993" spans="1:13" s="49" customFormat="1" ht="30" x14ac:dyDescent="0.25">
      <c r="A993" s="48">
        <v>34</v>
      </c>
      <c r="B993" s="48" t="s">
        <v>505</v>
      </c>
      <c r="C993" s="48" t="s">
        <v>511</v>
      </c>
      <c r="D993" s="48" t="s">
        <v>475</v>
      </c>
      <c r="E993" s="48" t="s">
        <v>476</v>
      </c>
      <c r="F993" s="49">
        <v>5</v>
      </c>
      <c r="G993" s="49">
        <v>30</v>
      </c>
      <c r="J993" s="49">
        <v>992</v>
      </c>
      <c r="M993" s="49" t="s">
        <v>889</v>
      </c>
    </row>
    <row r="994" spans="1:13" s="49" customFormat="1" ht="30" x14ac:dyDescent="0.25">
      <c r="A994" s="48">
        <v>34</v>
      </c>
      <c r="B994" s="48" t="s">
        <v>505</v>
      </c>
      <c r="C994" s="48" t="s">
        <v>511</v>
      </c>
      <c r="D994" s="48" t="s">
        <v>475</v>
      </c>
      <c r="E994" s="48" t="s">
        <v>476</v>
      </c>
      <c r="F994" s="49">
        <v>6</v>
      </c>
      <c r="G994" s="49">
        <v>29</v>
      </c>
      <c r="J994" s="49">
        <v>993</v>
      </c>
    </row>
    <row r="995" spans="1:13" s="49" customFormat="1" ht="30" x14ac:dyDescent="0.25">
      <c r="A995" s="48">
        <v>34</v>
      </c>
      <c r="B995" s="48" t="s">
        <v>505</v>
      </c>
      <c r="C995" s="48" t="s">
        <v>511</v>
      </c>
      <c r="D995" s="48" t="s">
        <v>475</v>
      </c>
      <c r="E995" s="48" t="s">
        <v>476</v>
      </c>
      <c r="F995" s="49">
        <v>7</v>
      </c>
      <c r="G995" s="49">
        <v>28</v>
      </c>
      <c r="J995" s="49">
        <v>994</v>
      </c>
    </row>
    <row r="996" spans="1:13" s="49" customFormat="1" ht="30" x14ac:dyDescent="0.25">
      <c r="A996" s="48">
        <v>34</v>
      </c>
      <c r="B996" s="48" t="s">
        <v>505</v>
      </c>
      <c r="C996" s="48" t="s">
        <v>511</v>
      </c>
      <c r="D996" s="48" t="s">
        <v>475</v>
      </c>
      <c r="E996" s="48" t="s">
        <v>476</v>
      </c>
      <c r="F996" s="49">
        <v>8</v>
      </c>
      <c r="G996" s="49">
        <v>27</v>
      </c>
      <c r="J996" s="49">
        <v>995</v>
      </c>
    </row>
    <row r="997" spans="1:13" s="49" customFormat="1" ht="30" x14ac:dyDescent="0.25">
      <c r="A997" s="48">
        <v>34</v>
      </c>
      <c r="B997" s="48" t="s">
        <v>505</v>
      </c>
      <c r="C997" s="48" t="s">
        <v>511</v>
      </c>
      <c r="D997" s="48" t="s">
        <v>475</v>
      </c>
      <c r="E997" s="48" t="s">
        <v>476</v>
      </c>
      <c r="F997" s="49">
        <v>9</v>
      </c>
      <c r="G997" s="49">
        <v>27</v>
      </c>
      <c r="J997" s="49">
        <v>996</v>
      </c>
    </row>
    <row r="998" spans="1:13" s="49" customFormat="1" ht="30" x14ac:dyDescent="0.25">
      <c r="A998" s="48">
        <v>34</v>
      </c>
      <c r="B998" s="48" t="s">
        <v>505</v>
      </c>
      <c r="C998" s="48" t="s">
        <v>511</v>
      </c>
      <c r="D998" s="48" t="s">
        <v>475</v>
      </c>
      <c r="E998" s="48" t="s">
        <v>476</v>
      </c>
      <c r="F998" s="49">
        <v>10</v>
      </c>
      <c r="G998" s="49">
        <v>21</v>
      </c>
      <c r="J998" s="49">
        <v>997</v>
      </c>
    </row>
    <row r="999" spans="1:13" s="49" customFormat="1" ht="30" x14ac:dyDescent="0.25">
      <c r="A999" s="48">
        <v>34</v>
      </c>
      <c r="B999" s="48" t="s">
        <v>505</v>
      </c>
      <c r="C999" s="48" t="s">
        <v>511</v>
      </c>
      <c r="D999" s="48" t="s">
        <v>475</v>
      </c>
      <c r="E999" s="48" t="s">
        <v>476</v>
      </c>
      <c r="F999" s="49">
        <v>11</v>
      </c>
      <c r="G999" s="49">
        <v>45</v>
      </c>
      <c r="J999" s="49">
        <v>998</v>
      </c>
    </row>
    <row r="1000" spans="1:13" s="49" customFormat="1" ht="30" x14ac:dyDescent="0.25">
      <c r="A1000" s="48">
        <v>34</v>
      </c>
      <c r="B1000" s="48" t="s">
        <v>505</v>
      </c>
      <c r="C1000" s="48" t="s">
        <v>511</v>
      </c>
      <c r="D1000" s="48" t="s">
        <v>475</v>
      </c>
      <c r="E1000" s="48" t="s">
        <v>476</v>
      </c>
      <c r="F1000" s="49">
        <v>12</v>
      </c>
      <c r="G1000" s="49">
        <v>13</v>
      </c>
      <c r="J1000" s="49">
        <v>999</v>
      </c>
    </row>
    <row r="1001" spans="1:13" s="49" customFormat="1" ht="30" x14ac:dyDescent="0.25">
      <c r="A1001" s="48">
        <v>34</v>
      </c>
      <c r="B1001" s="48" t="s">
        <v>505</v>
      </c>
      <c r="C1001" s="48" t="s">
        <v>511</v>
      </c>
      <c r="D1001" s="48" t="s">
        <v>475</v>
      </c>
      <c r="E1001" s="48" t="s">
        <v>476</v>
      </c>
      <c r="F1001" s="49">
        <v>13</v>
      </c>
      <c r="G1001" s="49">
        <v>64</v>
      </c>
      <c r="J1001" s="49">
        <v>1000</v>
      </c>
    </row>
    <row r="1002" spans="1:13" s="49" customFormat="1" ht="30.75" thickBot="1" x14ac:dyDescent="0.3">
      <c r="A1002" s="48">
        <v>34</v>
      </c>
      <c r="B1002" s="48" t="s">
        <v>505</v>
      </c>
      <c r="C1002" s="48" t="s">
        <v>511</v>
      </c>
      <c r="D1002" s="51" t="s">
        <v>475</v>
      </c>
      <c r="E1002" s="51" t="s">
        <v>476</v>
      </c>
      <c r="F1002" s="52">
        <v>14</v>
      </c>
      <c r="G1002" s="52">
        <v>42</v>
      </c>
      <c r="H1002" s="52">
        <v>530</v>
      </c>
      <c r="I1002" s="52">
        <v>14</v>
      </c>
      <c r="J1002" s="49">
        <v>1001</v>
      </c>
    </row>
    <row r="1003" spans="1:13" s="49" customFormat="1" ht="30.75" thickTop="1" x14ac:dyDescent="0.25">
      <c r="A1003" s="48">
        <v>35</v>
      </c>
      <c r="B1003" s="48" t="s">
        <v>505</v>
      </c>
      <c r="C1003" s="48" t="s">
        <v>512</v>
      </c>
      <c r="D1003" s="48" t="s">
        <v>477</v>
      </c>
      <c r="E1003" s="48" t="s">
        <v>478</v>
      </c>
      <c r="F1003" s="49">
        <v>1</v>
      </c>
      <c r="G1003" s="49">
        <v>9</v>
      </c>
      <c r="J1003" s="49">
        <v>1002</v>
      </c>
    </row>
    <row r="1004" spans="1:13" s="49" customFormat="1" ht="30" x14ac:dyDescent="0.25">
      <c r="A1004" s="48">
        <v>35</v>
      </c>
      <c r="B1004" s="48" t="s">
        <v>505</v>
      </c>
      <c r="C1004" s="48" t="s">
        <v>512</v>
      </c>
      <c r="D1004" s="48" t="s">
        <v>477</v>
      </c>
      <c r="E1004" s="48" t="s">
        <v>478</v>
      </c>
      <c r="F1004" s="49">
        <v>2</v>
      </c>
      <c r="G1004" s="49">
        <v>25</v>
      </c>
      <c r="J1004" s="49">
        <v>1003</v>
      </c>
    </row>
    <row r="1005" spans="1:13" s="49" customFormat="1" ht="30" x14ac:dyDescent="0.25">
      <c r="A1005" s="48">
        <v>35</v>
      </c>
      <c r="B1005" s="48" t="s">
        <v>505</v>
      </c>
      <c r="C1005" s="48" t="s">
        <v>512</v>
      </c>
      <c r="D1005" s="48" t="s">
        <v>477</v>
      </c>
      <c r="E1005" s="48" t="s">
        <v>478</v>
      </c>
      <c r="F1005" s="49">
        <v>3</v>
      </c>
      <c r="G1005" s="49">
        <v>5</v>
      </c>
      <c r="J1005" s="49">
        <v>1004</v>
      </c>
    </row>
    <row r="1006" spans="1:13" s="49" customFormat="1" ht="30" x14ac:dyDescent="0.25">
      <c r="A1006" s="48">
        <v>35</v>
      </c>
      <c r="B1006" s="48" t="s">
        <v>505</v>
      </c>
      <c r="C1006" s="48" t="s">
        <v>512</v>
      </c>
      <c r="D1006" s="48" t="s">
        <v>477</v>
      </c>
      <c r="E1006" s="48" t="s">
        <v>478</v>
      </c>
      <c r="F1006" s="49">
        <v>4</v>
      </c>
      <c r="G1006" s="49">
        <v>19</v>
      </c>
      <c r="J1006" s="49">
        <v>1005</v>
      </c>
    </row>
    <row r="1007" spans="1:13" s="49" customFormat="1" ht="30" x14ac:dyDescent="0.25">
      <c r="A1007" s="48">
        <v>35</v>
      </c>
      <c r="B1007" s="48" t="s">
        <v>505</v>
      </c>
      <c r="C1007" s="48" t="s">
        <v>512</v>
      </c>
      <c r="D1007" s="48" t="s">
        <v>477</v>
      </c>
      <c r="E1007" s="48" t="s">
        <v>478</v>
      </c>
      <c r="F1007" s="49">
        <v>5</v>
      </c>
      <c r="G1007" s="49">
        <v>15</v>
      </c>
      <c r="J1007" s="49">
        <v>1006</v>
      </c>
    </row>
    <row r="1008" spans="1:13" s="49" customFormat="1" ht="30" x14ac:dyDescent="0.25">
      <c r="A1008" s="48">
        <v>35</v>
      </c>
      <c r="B1008" s="48" t="s">
        <v>505</v>
      </c>
      <c r="C1008" s="48" t="s">
        <v>512</v>
      </c>
      <c r="D1008" s="48" t="s">
        <v>477</v>
      </c>
      <c r="E1008" s="48" t="s">
        <v>478</v>
      </c>
      <c r="F1008" s="49">
        <v>6</v>
      </c>
      <c r="G1008" s="49">
        <v>11</v>
      </c>
      <c r="J1008" s="49">
        <v>1007</v>
      </c>
    </row>
    <row r="1009" spans="1:10" s="49" customFormat="1" ht="30" x14ac:dyDescent="0.25">
      <c r="A1009" s="48">
        <v>35</v>
      </c>
      <c r="B1009" s="48" t="s">
        <v>505</v>
      </c>
      <c r="C1009" s="48" t="s">
        <v>512</v>
      </c>
      <c r="D1009" s="48" t="s">
        <v>477</v>
      </c>
      <c r="E1009" s="48" t="s">
        <v>478</v>
      </c>
      <c r="F1009" s="49">
        <v>7</v>
      </c>
      <c r="G1009" s="49">
        <v>16</v>
      </c>
      <c r="J1009" s="49">
        <v>1008</v>
      </c>
    </row>
    <row r="1010" spans="1:10" s="49" customFormat="1" ht="30" x14ac:dyDescent="0.25">
      <c r="A1010" s="48">
        <v>35</v>
      </c>
      <c r="B1010" s="48" t="s">
        <v>505</v>
      </c>
      <c r="C1010" s="48" t="s">
        <v>512</v>
      </c>
      <c r="D1010" s="48" t="s">
        <v>477</v>
      </c>
      <c r="E1010" s="48" t="s">
        <v>478</v>
      </c>
      <c r="F1010" s="49">
        <v>8</v>
      </c>
      <c r="G1010" s="49">
        <v>14</v>
      </c>
      <c r="J1010" s="49">
        <v>1009</v>
      </c>
    </row>
    <row r="1011" spans="1:10" s="49" customFormat="1" ht="30" x14ac:dyDescent="0.25">
      <c r="A1011" s="48">
        <v>35</v>
      </c>
      <c r="B1011" s="48" t="s">
        <v>505</v>
      </c>
      <c r="C1011" s="48" t="s">
        <v>512</v>
      </c>
      <c r="D1011" s="48" t="s">
        <v>477</v>
      </c>
      <c r="E1011" s="48" t="s">
        <v>478</v>
      </c>
      <c r="F1011" s="49">
        <v>9</v>
      </c>
      <c r="G1011" s="49">
        <v>17</v>
      </c>
      <c r="J1011" s="49">
        <v>1010</v>
      </c>
    </row>
    <row r="1012" spans="1:10" s="49" customFormat="1" ht="30" x14ac:dyDescent="0.25">
      <c r="A1012" s="48">
        <v>35</v>
      </c>
      <c r="B1012" s="48" t="s">
        <v>505</v>
      </c>
      <c r="C1012" s="48" t="s">
        <v>512</v>
      </c>
      <c r="D1012" s="48" t="s">
        <v>477</v>
      </c>
      <c r="E1012" s="48" t="s">
        <v>478</v>
      </c>
      <c r="F1012" s="49">
        <v>10</v>
      </c>
      <c r="G1012" s="49">
        <v>15</v>
      </c>
      <c r="J1012" s="49">
        <v>1011</v>
      </c>
    </row>
    <row r="1013" spans="1:10" s="49" customFormat="1" ht="30" x14ac:dyDescent="0.25">
      <c r="A1013" s="48">
        <v>35</v>
      </c>
      <c r="B1013" s="48" t="s">
        <v>505</v>
      </c>
      <c r="C1013" s="48" t="s">
        <v>512</v>
      </c>
      <c r="D1013" s="48" t="s">
        <v>477</v>
      </c>
      <c r="E1013" s="48" t="s">
        <v>478</v>
      </c>
      <c r="F1013" s="49">
        <v>11</v>
      </c>
      <c r="G1013" s="49">
        <v>11</v>
      </c>
      <c r="J1013" s="49">
        <v>1012</v>
      </c>
    </row>
    <row r="1014" spans="1:10" s="49" customFormat="1" ht="30" x14ac:dyDescent="0.25">
      <c r="A1014" s="48">
        <v>35</v>
      </c>
      <c r="B1014" s="48" t="s">
        <v>505</v>
      </c>
      <c r="C1014" s="48" t="s">
        <v>512</v>
      </c>
      <c r="D1014" s="48" t="s">
        <v>477</v>
      </c>
      <c r="E1014" s="48" t="s">
        <v>478</v>
      </c>
      <c r="F1014" s="49">
        <v>12</v>
      </c>
      <c r="G1014" s="49">
        <v>15</v>
      </c>
      <c r="J1014" s="49">
        <v>1013</v>
      </c>
    </row>
    <row r="1015" spans="1:10" s="49" customFormat="1" ht="30" x14ac:dyDescent="0.25">
      <c r="A1015" s="48">
        <v>35</v>
      </c>
      <c r="B1015" s="48" t="s">
        <v>505</v>
      </c>
      <c r="C1015" s="48" t="s">
        <v>512</v>
      </c>
      <c r="D1015" s="48" t="s">
        <v>477</v>
      </c>
      <c r="E1015" s="48" t="s">
        <v>478</v>
      </c>
      <c r="F1015" s="49">
        <v>13</v>
      </c>
      <c r="G1015" s="49">
        <v>15</v>
      </c>
      <c r="J1015" s="49">
        <v>1014</v>
      </c>
    </row>
    <row r="1016" spans="1:10" s="49" customFormat="1" ht="30.75" thickBot="1" x14ac:dyDescent="0.3">
      <c r="A1016" s="48">
        <v>35</v>
      </c>
      <c r="B1016" s="48" t="s">
        <v>505</v>
      </c>
      <c r="C1016" s="48" t="s">
        <v>512</v>
      </c>
      <c r="D1016" s="51" t="s">
        <v>477</v>
      </c>
      <c r="E1016" s="51" t="s">
        <v>478</v>
      </c>
      <c r="F1016" s="52">
        <v>14</v>
      </c>
      <c r="G1016" s="52">
        <v>10</v>
      </c>
      <c r="H1016" s="52">
        <v>197</v>
      </c>
      <c r="I1016" s="52">
        <v>14</v>
      </c>
      <c r="J1016" s="49">
        <v>1015</v>
      </c>
    </row>
    <row r="1017" spans="1:10" s="49" customFormat="1" ht="30.75" thickTop="1" x14ac:dyDescent="0.25">
      <c r="A1017" s="48">
        <v>36</v>
      </c>
      <c r="B1017" s="48" t="s">
        <v>505</v>
      </c>
      <c r="C1017" s="48" t="s">
        <v>512</v>
      </c>
      <c r="D1017" s="48" t="s">
        <v>479</v>
      </c>
      <c r="E1017" s="48" t="s">
        <v>480</v>
      </c>
      <c r="F1017" s="49">
        <v>1</v>
      </c>
      <c r="G1017" s="49">
        <v>20</v>
      </c>
      <c r="J1017" s="49">
        <v>1016</v>
      </c>
    </row>
    <row r="1018" spans="1:10" s="49" customFormat="1" ht="30" x14ac:dyDescent="0.25">
      <c r="A1018" s="48">
        <v>36</v>
      </c>
      <c r="B1018" s="48" t="s">
        <v>505</v>
      </c>
      <c r="C1018" s="48" t="s">
        <v>512</v>
      </c>
      <c r="D1018" s="48" t="s">
        <v>479</v>
      </c>
      <c r="E1018" s="48" t="s">
        <v>480</v>
      </c>
      <c r="F1018" s="49">
        <v>2</v>
      </c>
      <c r="G1018" s="49">
        <v>27</v>
      </c>
      <c r="J1018" s="49">
        <v>1017</v>
      </c>
    </row>
    <row r="1019" spans="1:10" s="49" customFormat="1" ht="30" x14ac:dyDescent="0.25">
      <c r="A1019" s="48">
        <v>36</v>
      </c>
      <c r="B1019" s="48" t="s">
        <v>505</v>
      </c>
      <c r="C1019" s="48" t="s">
        <v>512</v>
      </c>
      <c r="D1019" s="48" t="s">
        <v>479</v>
      </c>
      <c r="E1019" s="48" t="s">
        <v>480</v>
      </c>
      <c r="F1019" s="49">
        <v>3</v>
      </c>
      <c r="G1019" s="49">
        <v>5</v>
      </c>
      <c r="J1019" s="49">
        <v>1018</v>
      </c>
    </row>
    <row r="1020" spans="1:10" s="49" customFormat="1" ht="30.75" thickBot="1" x14ac:dyDescent="0.3">
      <c r="A1020" s="48">
        <v>36</v>
      </c>
      <c r="B1020" s="48" t="s">
        <v>505</v>
      </c>
      <c r="C1020" s="48" t="s">
        <v>512</v>
      </c>
      <c r="D1020" s="51" t="s">
        <v>479</v>
      </c>
      <c r="E1020" s="51" t="s">
        <v>480</v>
      </c>
      <c r="F1020" s="52">
        <v>4</v>
      </c>
      <c r="G1020" s="52">
        <v>21</v>
      </c>
      <c r="H1020" s="52">
        <v>73</v>
      </c>
      <c r="I1020" s="52">
        <v>4</v>
      </c>
      <c r="J1020" s="49">
        <v>1019</v>
      </c>
    </row>
    <row r="1021" spans="1:10" s="49" customFormat="1" ht="30.75" thickTop="1" x14ac:dyDescent="0.25">
      <c r="A1021" s="48">
        <v>37</v>
      </c>
      <c r="B1021" s="48" t="s">
        <v>505</v>
      </c>
      <c r="C1021" s="48" t="s">
        <v>512</v>
      </c>
      <c r="D1021" s="48" t="s">
        <v>481</v>
      </c>
      <c r="E1021" s="48" t="s">
        <v>482</v>
      </c>
      <c r="F1021" s="49">
        <v>1</v>
      </c>
      <c r="G1021" s="49">
        <v>15</v>
      </c>
      <c r="J1021" s="49">
        <v>1020</v>
      </c>
    </row>
    <row r="1022" spans="1:10" s="49" customFormat="1" ht="30" x14ac:dyDescent="0.25">
      <c r="A1022" s="48">
        <v>37</v>
      </c>
      <c r="B1022" s="48" t="s">
        <v>505</v>
      </c>
      <c r="C1022" s="48" t="s">
        <v>512</v>
      </c>
      <c r="D1022" s="48" t="s">
        <v>481</v>
      </c>
      <c r="E1022" s="48" t="s">
        <v>482</v>
      </c>
      <c r="F1022" s="49">
        <v>2</v>
      </c>
      <c r="G1022" s="49">
        <v>16</v>
      </c>
      <c r="J1022" s="49">
        <v>1021</v>
      </c>
    </row>
    <row r="1023" spans="1:10" s="49" customFormat="1" ht="30" x14ac:dyDescent="0.25">
      <c r="A1023" s="48">
        <v>37</v>
      </c>
      <c r="B1023" s="48" t="s">
        <v>505</v>
      </c>
      <c r="C1023" s="48" t="s">
        <v>512</v>
      </c>
      <c r="D1023" s="48" t="s">
        <v>481</v>
      </c>
      <c r="E1023" s="48" t="s">
        <v>482</v>
      </c>
      <c r="F1023" s="49">
        <v>3</v>
      </c>
      <c r="G1023" s="49">
        <v>15</v>
      </c>
      <c r="J1023" s="49">
        <v>1022</v>
      </c>
    </row>
    <row r="1024" spans="1:10" s="49" customFormat="1" ht="30" x14ac:dyDescent="0.25">
      <c r="A1024" s="48">
        <v>37</v>
      </c>
      <c r="B1024" s="48" t="s">
        <v>505</v>
      </c>
      <c r="C1024" s="48" t="s">
        <v>512</v>
      </c>
      <c r="D1024" s="48" t="s">
        <v>481</v>
      </c>
      <c r="E1024" s="48" t="s">
        <v>482</v>
      </c>
      <c r="F1024" s="49">
        <v>4</v>
      </c>
      <c r="G1024" s="49">
        <v>13</v>
      </c>
      <c r="J1024" s="49">
        <v>1023</v>
      </c>
    </row>
    <row r="1025" spans="1:10" s="49" customFormat="1" ht="30" x14ac:dyDescent="0.25">
      <c r="A1025" s="48">
        <v>37</v>
      </c>
      <c r="B1025" s="48" t="s">
        <v>505</v>
      </c>
      <c r="C1025" s="48" t="s">
        <v>512</v>
      </c>
      <c r="D1025" s="48" t="s">
        <v>481</v>
      </c>
      <c r="E1025" s="48" t="s">
        <v>482</v>
      </c>
      <c r="F1025" s="49">
        <v>5</v>
      </c>
      <c r="G1025" s="49">
        <v>27</v>
      </c>
      <c r="J1025" s="49">
        <v>1024</v>
      </c>
    </row>
    <row r="1026" spans="1:10" s="49" customFormat="1" ht="30" x14ac:dyDescent="0.25">
      <c r="A1026" s="48">
        <v>37</v>
      </c>
      <c r="B1026" s="48" t="s">
        <v>505</v>
      </c>
      <c r="C1026" s="48" t="s">
        <v>512</v>
      </c>
      <c r="D1026" s="48" t="s">
        <v>481</v>
      </c>
      <c r="E1026" s="48" t="s">
        <v>482</v>
      </c>
      <c r="F1026" s="49">
        <v>6</v>
      </c>
      <c r="G1026" s="49">
        <v>14</v>
      </c>
      <c r="J1026" s="49">
        <v>1025</v>
      </c>
    </row>
    <row r="1027" spans="1:10" s="49" customFormat="1" ht="30" x14ac:dyDescent="0.25">
      <c r="A1027" s="48">
        <v>37</v>
      </c>
      <c r="B1027" s="48" t="s">
        <v>505</v>
      </c>
      <c r="C1027" s="48" t="s">
        <v>512</v>
      </c>
      <c r="D1027" s="48" t="s">
        <v>481</v>
      </c>
      <c r="E1027" s="48" t="s">
        <v>482</v>
      </c>
      <c r="F1027" s="49">
        <v>7</v>
      </c>
      <c r="G1027" s="49">
        <v>17</v>
      </c>
      <c r="J1027" s="49">
        <v>1026</v>
      </c>
    </row>
    <row r="1028" spans="1:10" s="49" customFormat="1" ht="30" x14ac:dyDescent="0.25">
      <c r="A1028" s="48">
        <v>37</v>
      </c>
      <c r="B1028" s="48" t="s">
        <v>505</v>
      </c>
      <c r="C1028" s="48" t="s">
        <v>512</v>
      </c>
      <c r="D1028" s="48" t="s">
        <v>481</v>
      </c>
      <c r="E1028" s="48" t="s">
        <v>482</v>
      </c>
      <c r="F1028" s="49">
        <v>8</v>
      </c>
      <c r="G1028" s="49">
        <v>14</v>
      </c>
      <c r="J1028" s="49">
        <v>1027</v>
      </c>
    </row>
    <row r="1029" spans="1:10" s="49" customFormat="1" ht="30.75" thickBot="1" x14ac:dyDescent="0.3">
      <c r="A1029" s="48">
        <v>37</v>
      </c>
      <c r="B1029" s="48" t="s">
        <v>505</v>
      </c>
      <c r="C1029" s="48" t="s">
        <v>512</v>
      </c>
      <c r="D1029" s="51" t="s">
        <v>481</v>
      </c>
      <c r="E1029" s="51" t="s">
        <v>482</v>
      </c>
      <c r="F1029" s="52">
        <v>9</v>
      </c>
      <c r="G1029" s="52">
        <v>15</v>
      </c>
      <c r="H1029" s="52">
        <v>146</v>
      </c>
      <c r="I1029" s="52">
        <v>9</v>
      </c>
      <c r="J1029" s="49">
        <v>1028</v>
      </c>
    </row>
    <row r="1030" spans="1:10" s="49" customFormat="1" ht="31.5" thickTop="1" thickBot="1" x14ac:dyDescent="0.3">
      <c r="A1030" s="48">
        <v>38</v>
      </c>
      <c r="B1030" s="48" t="s">
        <v>505</v>
      </c>
      <c r="C1030" s="48" t="s">
        <v>512</v>
      </c>
      <c r="D1030" s="51" t="s">
        <v>483</v>
      </c>
      <c r="E1030" s="51" t="s">
        <v>484</v>
      </c>
      <c r="F1030" s="52">
        <v>1</v>
      </c>
      <c r="G1030" s="52">
        <v>21</v>
      </c>
      <c r="H1030" s="52">
        <v>21</v>
      </c>
      <c r="I1030" s="52">
        <v>1</v>
      </c>
      <c r="J1030" s="49">
        <v>1029</v>
      </c>
    </row>
    <row r="1031" spans="1:10" s="49" customFormat="1" ht="30.75" thickTop="1" x14ac:dyDescent="0.25">
      <c r="A1031" s="48">
        <v>39</v>
      </c>
      <c r="B1031" s="48" t="s">
        <v>505</v>
      </c>
      <c r="C1031" s="48" t="s">
        <v>512</v>
      </c>
      <c r="D1031" s="48" t="s">
        <v>485</v>
      </c>
      <c r="E1031" s="48" t="s">
        <v>486</v>
      </c>
      <c r="F1031" s="49">
        <v>1</v>
      </c>
      <c r="G1031" s="49">
        <v>16</v>
      </c>
      <c r="J1031" s="49">
        <v>1030</v>
      </c>
    </row>
    <row r="1032" spans="1:10" s="49" customFormat="1" ht="30" x14ac:dyDescent="0.25">
      <c r="A1032" s="48">
        <v>39</v>
      </c>
      <c r="B1032" s="48" t="s">
        <v>505</v>
      </c>
      <c r="C1032" s="48" t="s">
        <v>512</v>
      </c>
      <c r="D1032" s="48" t="s">
        <v>485</v>
      </c>
      <c r="E1032" s="48" t="s">
        <v>486</v>
      </c>
      <c r="F1032" s="49">
        <v>2</v>
      </c>
      <c r="G1032" s="49">
        <v>11</v>
      </c>
      <c r="J1032" s="49">
        <v>1031</v>
      </c>
    </row>
    <row r="1033" spans="1:10" s="49" customFormat="1" ht="30" x14ac:dyDescent="0.25">
      <c r="A1033" s="48">
        <v>39</v>
      </c>
      <c r="B1033" s="48" t="s">
        <v>505</v>
      </c>
      <c r="C1033" s="48" t="s">
        <v>512</v>
      </c>
      <c r="D1033" s="48" t="s">
        <v>485</v>
      </c>
      <c r="E1033" s="48" t="s">
        <v>486</v>
      </c>
      <c r="F1033" s="49">
        <v>3</v>
      </c>
      <c r="G1033" s="49">
        <v>10</v>
      </c>
      <c r="J1033" s="49">
        <v>1032</v>
      </c>
    </row>
    <row r="1034" spans="1:10" s="49" customFormat="1" ht="30.75" thickBot="1" x14ac:dyDescent="0.3">
      <c r="A1034" s="48">
        <v>39</v>
      </c>
      <c r="B1034" s="48" t="s">
        <v>505</v>
      </c>
      <c r="C1034" s="48" t="s">
        <v>512</v>
      </c>
      <c r="D1034" s="51" t="s">
        <v>485</v>
      </c>
      <c r="E1034" s="51" t="s">
        <v>486</v>
      </c>
      <c r="F1034" s="52">
        <v>4</v>
      </c>
      <c r="G1034" s="52">
        <v>11</v>
      </c>
      <c r="H1034" s="52">
        <v>48</v>
      </c>
      <c r="I1034" s="52">
        <v>4</v>
      </c>
      <c r="J1034" s="49">
        <v>1033</v>
      </c>
    </row>
    <row r="1035" spans="1:10" s="49" customFormat="1" ht="30.75" thickTop="1" x14ac:dyDescent="0.25">
      <c r="A1035" s="48">
        <v>40</v>
      </c>
      <c r="B1035" s="48" t="s">
        <v>505</v>
      </c>
      <c r="C1035" s="48" t="s">
        <v>512</v>
      </c>
      <c r="D1035" s="48" t="s">
        <v>487</v>
      </c>
      <c r="E1035" s="48" t="s">
        <v>488</v>
      </c>
      <c r="F1035" s="49">
        <v>1</v>
      </c>
      <c r="G1035" s="49">
        <v>16</v>
      </c>
      <c r="J1035" s="49">
        <v>1034</v>
      </c>
    </row>
    <row r="1036" spans="1:10" s="49" customFormat="1" ht="30" x14ac:dyDescent="0.25">
      <c r="A1036" s="48">
        <v>40</v>
      </c>
      <c r="B1036" s="48" t="s">
        <v>505</v>
      </c>
      <c r="C1036" s="48" t="s">
        <v>512</v>
      </c>
      <c r="D1036" s="48" t="s">
        <v>487</v>
      </c>
      <c r="E1036" s="48" t="s">
        <v>488</v>
      </c>
      <c r="F1036" s="49">
        <v>2</v>
      </c>
      <c r="G1036" s="49">
        <v>13</v>
      </c>
      <c r="J1036" s="49">
        <v>1035</v>
      </c>
    </row>
    <row r="1037" spans="1:10" s="49" customFormat="1" ht="30" x14ac:dyDescent="0.25">
      <c r="A1037" s="48">
        <v>40</v>
      </c>
      <c r="B1037" s="48" t="s">
        <v>505</v>
      </c>
      <c r="C1037" s="48" t="s">
        <v>512</v>
      </c>
      <c r="D1037" s="48" t="s">
        <v>487</v>
      </c>
      <c r="E1037" s="48" t="s">
        <v>488</v>
      </c>
      <c r="F1037" s="49">
        <v>3</v>
      </c>
      <c r="G1037" s="49">
        <v>12</v>
      </c>
      <c r="J1037" s="49">
        <v>1036</v>
      </c>
    </row>
    <row r="1038" spans="1:10" s="49" customFormat="1" ht="30" x14ac:dyDescent="0.25">
      <c r="A1038" s="48">
        <v>40</v>
      </c>
      <c r="B1038" s="48" t="s">
        <v>505</v>
      </c>
      <c r="C1038" s="48" t="s">
        <v>512</v>
      </c>
      <c r="D1038" s="48" t="s">
        <v>487</v>
      </c>
      <c r="E1038" s="48" t="s">
        <v>488</v>
      </c>
      <c r="F1038" s="49">
        <v>4</v>
      </c>
      <c r="G1038" s="49">
        <v>14</v>
      </c>
      <c r="J1038" s="49">
        <v>1037</v>
      </c>
    </row>
    <row r="1039" spans="1:10" s="49" customFormat="1" ht="30" x14ac:dyDescent="0.25">
      <c r="A1039" s="48">
        <v>40</v>
      </c>
      <c r="B1039" s="48" t="s">
        <v>505</v>
      </c>
      <c r="C1039" s="48" t="s">
        <v>512</v>
      </c>
      <c r="D1039" s="48" t="s">
        <v>487</v>
      </c>
      <c r="E1039" s="48" t="s">
        <v>488</v>
      </c>
      <c r="F1039" s="49">
        <v>5</v>
      </c>
      <c r="G1039" s="49">
        <v>14</v>
      </c>
      <c r="J1039" s="49">
        <v>1038</v>
      </c>
    </row>
    <row r="1040" spans="1:10" s="49" customFormat="1" ht="30" x14ac:dyDescent="0.25">
      <c r="A1040" s="48">
        <v>40</v>
      </c>
      <c r="B1040" s="48" t="s">
        <v>505</v>
      </c>
      <c r="C1040" s="48" t="s">
        <v>512</v>
      </c>
      <c r="D1040" s="48" t="s">
        <v>487</v>
      </c>
      <c r="E1040" s="48" t="s">
        <v>488</v>
      </c>
      <c r="F1040" s="49">
        <v>6</v>
      </c>
      <c r="G1040" s="49">
        <v>16</v>
      </c>
      <c r="J1040" s="49">
        <v>1039</v>
      </c>
    </row>
    <row r="1041" spans="1:10" s="49" customFormat="1" ht="30.75" thickBot="1" x14ac:dyDescent="0.3">
      <c r="A1041" s="48">
        <v>40</v>
      </c>
      <c r="B1041" s="48" t="s">
        <v>505</v>
      </c>
      <c r="C1041" s="48" t="s">
        <v>512</v>
      </c>
      <c r="D1041" s="51" t="s">
        <v>487</v>
      </c>
      <c r="E1041" s="51" t="s">
        <v>488</v>
      </c>
      <c r="F1041" s="52">
        <v>7</v>
      </c>
      <c r="G1041" s="52">
        <v>20</v>
      </c>
      <c r="H1041" s="52">
        <v>105</v>
      </c>
      <c r="I1041" s="52">
        <v>7</v>
      </c>
      <c r="J1041" s="49">
        <v>1040</v>
      </c>
    </row>
    <row r="1042" spans="1:10" s="49" customFormat="1" ht="30.75" thickTop="1" x14ac:dyDescent="0.25">
      <c r="A1042" s="48">
        <v>41</v>
      </c>
      <c r="B1042" s="48" t="s">
        <v>505</v>
      </c>
      <c r="C1042" s="48" t="s">
        <v>512</v>
      </c>
      <c r="D1042" s="48" t="s">
        <v>489</v>
      </c>
      <c r="E1042" s="48" t="s">
        <v>490</v>
      </c>
      <c r="F1042" s="49">
        <v>1</v>
      </c>
      <c r="G1042" s="49">
        <v>14</v>
      </c>
      <c r="J1042" s="49">
        <v>1041</v>
      </c>
    </row>
    <row r="1043" spans="1:10" s="49" customFormat="1" ht="30" x14ac:dyDescent="0.25">
      <c r="A1043" s="48">
        <v>41</v>
      </c>
      <c r="B1043" s="48" t="s">
        <v>505</v>
      </c>
      <c r="C1043" s="48" t="s">
        <v>512</v>
      </c>
      <c r="D1043" s="48" t="s">
        <v>489</v>
      </c>
      <c r="E1043" s="48" t="s">
        <v>490</v>
      </c>
      <c r="F1043" s="49">
        <v>2</v>
      </c>
      <c r="G1043" s="49">
        <v>14</v>
      </c>
      <c r="J1043" s="49">
        <v>1042</v>
      </c>
    </row>
    <row r="1044" spans="1:10" s="49" customFormat="1" ht="30.75" thickBot="1" x14ac:dyDescent="0.3">
      <c r="A1044" s="48">
        <v>41</v>
      </c>
      <c r="B1044" s="48" t="s">
        <v>505</v>
      </c>
      <c r="C1044" s="48" t="s">
        <v>512</v>
      </c>
      <c r="D1044" s="51" t="s">
        <v>489</v>
      </c>
      <c r="E1044" s="51" t="s">
        <v>490</v>
      </c>
      <c r="F1044" s="52">
        <v>3</v>
      </c>
      <c r="G1044" s="52">
        <v>19</v>
      </c>
      <c r="H1044" s="52">
        <v>47</v>
      </c>
      <c r="I1044" s="52">
        <v>3</v>
      </c>
      <c r="J1044" s="49">
        <v>1043</v>
      </c>
    </row>
    <row r="1045" spans="1:10" s="49" customFormat="1" ht="30.75" thickTop="1" x14ac:dyDescent="0.25">
      <c r="A1045" s="48">
        <v>42</v>
      </c>
      <c r="B1045" s="48" t="s">
        <v>505</v>
      </c>
      <c r="C1045" s="48" t="s">
        <v>512</v>
      </c>
      <c r="D1045" s="48" t="s">
        <v>491</v>
      </c>
      <c r="E1045" s="48" t="s">
        <v>492</v>
      </c>
      <c r="F1045" s="49">
        <v>1</v>
      </c>
      <c r="G1045" s="49">
        <v>17</v>
      </c>
      <c r="J1045" s="49">
        <v>1044</v>
      </c>
    </row>
    <row r="1046" spans="1:10" s="49" customFormat="1" ht="30" x14ac:dyDescent="0.25">
      <c r="A1046" s="48">
        <v>42</v>
      </c>
      <c r="B1046" s="48" t="s">
        <v>505</v>
      </c>
      <c r="C1046" s="48" t="s">
        <v>512</v>
      </c>
      <c r="D1046" s="48" t="s">
        <v>491</v>
      </c>
      <c r="E1046" s="48" t="s">
        <v>492</v>
      </c>
      <c r="F1046" s="49">
        <v>2</v>
      </c>
      <c r="G1046" s="49">
        <v>20</v>
      </c>
      <c r="J1046" s="49">
        <v>1045</v>
      </c>
    </row>
    <row r="1047" spans="1:10" s="49" customFormat="1" ht="30.75" thickBot="1" x14ac:dyDescent="0.3">
      <c r="A1047" s="48">
        <v>42</v>
      </c>
      <c r="B1047" s="48" t="s">
        <v>505</v>
      </c>
      <c r="C1047" s="48" t="s">
        <v>512</v>
      </c>
      <c r="D1047" s="51" t="s">
        <v>491</v>
      </c>
      <c r="E1047" s="51" t="s">
        <v>492</v>
      </c>
      <c r="F1047" s="52">
        <v>3</v>
      </c>
      <c r="G1047" s="52">
        <v>19</v>
      </c>
      <c r="H1047" s="52">
        <v>56</v>
      </c>
      <c r="I1047" s="52">
        <v>3</v>
      </c>
      <c r="J1047" s="49">
        <v>1046</v>
      </c>
    </row>
    <row r="1048" spans="1:10" s="49" customFormat="1" ht="30.75" thickTop="1" x14ac:dyDescent="0.25">
      <c r="A1048" s="48">
        <v>43</v>
      </c>
      <c r="B1048" s="48" t="s">
        <v>505</v>
      </c>
      <c r="C1048" s="48" t="s">
        <v>512</v>
      </c>
      <c r="D1048" s="48" t="s">
        <v>493</v>
      </c>
      <c r="E1048" s="48" t="s">
        <v>494</v>
      </c>
      <c r="F1048" s="49">
        <v>1</v>
      </c>
      <c r="G1048" s="49">
        <v>18</v>
      </c>
      <c r="J1048" s="49">
        <v>1047</v>
      </c>
    </row>
    <row r="1049" spans="1:10" s="49" customFormat="1" ht="30" x14ac:dyDescent="0.25">
      <c r="A1049" s="48">
        <v>43</v>
      </c>
      <c r="B1049" s="48" t="s">
        <v>505</v>
      </c>
      <c r="C1049" s="48" t="s">
        <v>512</v>
      </c>
      <c r="D1049" s="48" t="s">
        <v>493</v>
      </c>
      <c r="E1049" s="48" t="s">
        <v>494</v>
      </c>
      <c r="F1049" s="49">
        <v>2</v>
      </c>
      <c r="G1049" s="49">
        <v>15</v>
      </c>
      <c r="J1049" s="49">
        <v>1048</v>
      </c>
    </row>
    <row r="1050" spans="1:10" s="49" customFormat="1" ht="30.75" thickBot="1" x14ac:dyDescent="0.3">
      <c r="A1050" s="48">
        <v>43</v>
      </c>
      <c r="B1050" s="48" t="s">
        <v>505</v>
      </c>
      <c r="C1050" s="48" t="s">
        <v>512</v>
      </c>
      <c r="D1050" s="51" t="s">
        <v>493</v>
      </c>
      <c r="E1050" s="51" t="s">
        <v>494</v>
      </c>
      <c r="F1050" s="52">
        <v>3</v>
      </c>
      <c r="G1050" s="52">
        <v>20</v>
      </c>
      <c r="H1050" s="52">
        <v>53</v>
      </c>
      <c r="I1050" s="52">
        <v>3</v>
      </c>
      <c r="J1050" s="49">
        <v>1049</v>
      </c>
    </row>
    <row r="1051" spans="1:10" s="49" customFormat="1" ht="30.75" thickTop="1" x14ac:dyDescent="0.25">
      <c r="A1051" s="48">
        <v>44</v>
      </c>
      <c r="B1051" s="48" t="s">
        <v>505</v>
      </c>
      <c r="C1051" s="48" t="s">
        <v>512</v>
      </c>
      <c r="D1051" s="48" t="s">
        <v>495</v>
      </c>
      <c r="E1051" s="48" t="s">
        <v>496</v>
      </c>
      <c r="F1051" s="49">
        <v>1</v>
      </c>
      <c r="G1051" s="49">
        <v>15</v>
      </c>
      <c r="J1051" s="49">
        <v>1050</v>
      </c>
    </row>
    <row r="1052" spans="1:10" s="49" customFormat="1" ht="30.75" thickBot="1" x14ac:dyDescent="0.3">
      <c r="A1052" s="48">
        <v>44</v>
      </c>
      <c r="B1052" s="48" t="s">
        <v>505</v>
      </c>
      <c r="C1052" s="48" t="s">
        <v>512</v>
      </c>
      <c r="D1052" s="51" t="s">
        <v>495</v>
      </c>
      <c r="E1052" s="51" t="s">
        <v>496</v>
      </c>
      <c r="F1052" s="52">
        <v>2</v>
      </c>
      <c r="G1052" s="52">
        <v>23</v>
      </c>
      <c r="H1052" s="52">
        <v>38</v>
      </c>
      <c r="I1052" s="52">
        <v>2</v>
      </c>
      <c r="J1052" s="49">
        <v>1051</v>
      </c>
    </row>
    <row r="1053" spans="1:10" s="49" customFormat="1" ht="30.75" thickTop="1" x14ac:dyDescent="0.25">
      <c r="A1053" s="48">
        <v>45</v>
      </c>
      <c r="B1053" s="48" t="s">
        <v>505</v>
      </c>
      <c r="C1053" s="48" t="s">
        <v>512</v>
      </c>
      <c r="D1053" s="48" t="s">
        <v>497</v>
      </c>
      <c r="E1053" s="48" t="s">
        <v>498</v>
      </c>
      <c r="F1053" s="49">
        <v>1</v>
      </c>
      <c r="G1053" s="49">
        <v>17</v>
      </c>
      <c r="J1053" s="49">
        <v>1052</v>
      </c>
    </row>
    <row r="1054" spans="1:10" s="49" customFormat="1" ht="30" x14ac:dyDescent="0.25">
      <c r="A1054" s="48">
        <v>45</v>
      </c>
      <c r="B1054" s="48" t="s">
        <v>505</v>
      </c>
      <c r="C1054" s="48" t="s">
        <v>512</v>
      </c>
      <c r="D1054" s="48" t="s">
        <v>497</v>
      </c>
      <c r="E1054" s="48" t="s">
        <v>498</v>
      </c>
      <c r="F1054" s="49">
        <v>2</v>
      </c>
      <c r="G1054" s="49">
        <v>17</v>
      </c>
      <c r="J1054" s="49">
        <v>1053</v>
      </c>
    </row>
    <row r="1055" spans="1:10" s="49" customFormat="1" ht="30" x14ac:dyDescent="0.25">
      <c r="A1055" s="48">
        <v>45</v>
      </c>
      <c r="B1055" s="48" t="s">
        <v>505</v>
      </c>
      <c r="C1055" s="48" t="s">
        <v>512</v>
      </c>
      <c r="D1055" s="48" t="s">
        <v>497</v>
      </c>
      <c r="E1055" s="48" t="s">
        <v>498</v>
      </c>
      <c r="F1055" s="49">
        <v>3</v>
      </c>
      <c r="G1055" s="49">
        <v>10</v>
      </c>
      <c r="J1055" s="49">
        <v>1054</v>
      </c>
    </row>
    <row r="1056" spans="1:10" s="49" customFormat="1" ht="30" x14ac:dyDescent="0.25">
      <c r="A1056" s="48">
        <v>45</v>
      </c>
      <c r="B1056" s="48" t="s">
        <v>505</v>
      </c>
      <c r="C1056" s="48" t="s">
        <v>512</v>
      </c>
      <c r="D1056" s="48" t="s">
        <v>497</v>
      </c>
      <c r="E1056" s="48" t="s">
        <v>498</v>
      </c>
      <c r="F1056" s="49">
        <v>4</v>
      </c>
      <c r="G1056" s="49">
        <v>14</v>
      </c>
      <c r="J1056" s="49">
        <v>1055</v>
      </c>
    </row>
    <row r="1057" spans="1:12" s="49" customFormat="1" ht="30" x14ac:dyDescent="0.25">
      <c r="A1057" s="48">
        <v>45</v>
      </c>
      <c r="B1057" s="48" t="s">
        <v>505</v>
      </c>
      <c r="C1057" s="48" t="s">
        <v>512</v>
      </c>
      <c r="D1057" s="48" t="s">
        <v>497</v>
      </c>
      <c r="E1057" s="48" t="s">
        <v>498</v>
      </c>
      <c r="F1057" s="49">
        <v>5</v>
      </c>
      <c r="G1057" s="49">
        <v>11</v>
      </c>
      <c r="J1057" s="49">
        <v>1056</v>
      </c>
    </row>
    <row r="1058" spans="1:12" s="49" customFormat="1" ht="30" x14ac:dyDescent="0.25">
      <c r="A1058" s="48">
        <v>45</v>
      </c>
      <c r="B1058" s="48" t="s">
        <v>505</v>
      </c>
      <c r="C1058" s="48" t="s">
        <v>512</v>
      </c>
      <c r="D1058" s="48" t="s">
        <v>497</v>
      </c>
      <c r="E1058" s="48" t="s">
        <v>498</v>
      </c>
      <c r="F1058" s="49">
        <v>6</v>
      </c>
      <c r="G1058" s="49">
        <v>15</v>
      </c>
      <c r="J1058" s="49">
        <v>1057</v>
      </c>
    </row>
    <row r="1059" spans="1:12" s="49" customFormat="1" ht="30" x14ac:dyDescent="0.25">
      <c r="A1059" s="48">
        <v>45</v>
      </c>
      <c r="B1059" s="48" t="s">
        <v>505</v>
      </c>
      <c r="C1059" s="48" t="s">
        <v>512</v>
      </c>
      <c r="D1059" s="48" t="s">
        <v>497</v>
      </c>
      <c r="E1059" s="48" t="s">
        <v>498</v>
      </c>
      <c r="F1059" s="49">
        <v>7</v>
      </c>
      <c r="G1059" s="49">
        <v>14</v>
      </c>
      <c r="J1059" s="49">
        <v>1058</v>
      </c>
    </row>
    <row r="1060" spans="1:12" s="49" customFormat="1" ht="30" x14ac:dyDescent="0.25">
      <c r="A1060" s="48">
        <v>45</v>
      </c>
      <c r="B1060" s="48" t="s">
        <v>505</v>
      </c>
      <c r="C1060" s="48" t="s">
        <v>512</v>
      </c>
      <c r="D1060" s="48" t="s">
        <v>497</v>
      </c>
      <c r="E1060" s="48" t="s">
        <v>498</v>
      </c>
      <c r="F1060" s="49">
        <v>8</v>
      </c>
      <c r="G1060" s="49">
        <v>23</v>
      </c>
      <c r="J1060" s="49">
        <v>1059</v>
      </c>
    </row>
    <row r="1061" spans="1:12" s="49" customFormat="1" ht="30" x14ac:dyDescent="0.25">
      <c r="A1061" s="48">
        <v>45</v>
      </c>
      <c r="B1061" s="48" t="s">
        <v>505</v>
      </c>
      <c r="C1061" s="48" t="s">
        <v>512</v>
      </c>
      <c r="D1061" s="48" t="s">
        <v>497</v>
      </c>
      <c r="E1061" s="48" t="s">
        <v>498</v>
      </c>
      <c r="F1061" s="49">
        <v>9</v>
      </c>
      <c r="G1061" s="49">
        <v>17</v>
      </c>
      <c r="J1061" s="49">
        <v>1060</v>
      </c>
    </row>
    <row r="1062" spans="1:12" s="49" customFormat="1" ht="30" x14ac:dyDescent="0.25">
      <c r="A1062" s="48">
        <v>45</v>
      </c>
      <c r="B1062" s="48" t="s">
        <v>505</v>
      </c>
      <c r="C1062" s="48" t="s">
        <v>512</v>
      </c>
      <c r="D1062" s="48" t="s">
        <v>497</v>
      </c>
      <c r="E1062" s="48" t="s">
        <v>498</v>
      </c>
      <c r="F1062" s="49">
        <v>10</v>
      </c>
      <c r="G1062" s="49">
        <v>12</v>
      </c>
      <c r="J1062" s="49">
        <v>1061</v>
      </c>
    </row>
    <row r="1063" spans="1:12" s="49" customFormat="1" ht="30" x14ac:dyDescent="0.25">
      <c r="A1063" s="48">
        <v>45</v>
      </c>
      <c r="B1063" s="48" t="s">
        <v>505</v>
      </c>
      <c r="C1063" s="48" t="s">
        <v>512</v>
      </c>
      <c r="D1063" s="48" t="s">
        <v>497</v>
      </c>
      <c r="E1063" s="48" t="s">
        <v>498</v>
      </c>
      <c r="F1063" s="49">
        <v>11</v>
      </c>
      <c r="G1063" s="49">
        <v>17</v>
      </c>
      <c r="J1063" s="49">
        <v>1062</v>
      </c>
    </row>
    <row r="1064" spans="1:12" s="49" customFormat="1" ht="30" x14ac:dyDescent="0.25">
      <c r="A1064" s="48">
        <v>45</v>
      </c>
      <c r="B1064" s="48" t="s">
        <v>505</v>
      </c>
      <c r="C1064" s="48" t="s">
        <v>512</v>
      </c>
      <c r="D1064" s="48" t="s">
        <v>497</v>
      </c>
      <c r="E1064" s="48" t="s">
        <v>498</v>
      </c>
      <c r="F1064" s="49">
        <v>12</v>
      </c>
      <c r="G1064" s="49">
        <v>14</v>
      </c>
      <c r="J1064" s="49">
        <v>1063</v>
      </c>
    </row>
    <row r="1065" spans="1:12" s="49" customFormat="1" ht="30" x14ac:dyDescent="0.25">
      <c r="A1065" s="48">
        <v>45</v>
      </c>
      <c r="B1065" s="48" t="s">
        <v>505</v>
      </c>
      <c r="C1065" s="48" t="s">
        <v>512</v>
      </c>
      <c r="D1065" s="48" t="s">
        <v>497</v>
      </c>
      <c r="E1065" s="48" t="s">
        <v>498</v>
      </c>
      <c r="F1065" s="49">
        <v>13</v>
      </c>
      <c r="G1065" s="49">
        <v>9</v>
      </c>
      <c r="J1065" s="49">
        <v>1064</v>
      </c>
    </row>
    <row r="1066" spans="1:12" s="49" customFormat="1" ht="30.75" thickBot="1" x14ac:dyDescent="0.3">
      <c r="A1066" s="48">
        <v>45</v>
      </c>
      <c r="B1066" s="48" t="s">
        <v>505</v>
      </c>
      <c r="C1066" s="48" t="s">
        <v>512</v>
      </c>
      <c r="D1066" s="51" t="s">
        <v>497</v>
      </c>
      <c r="E1066" s="51" t="s">
        <v>498</v>
      </c>
      <c r="F1066" s="52">
        <v>14</v>
      </c>
      <c r="G1066" s="52">
        <v>21</v>
      </c>
      <c r="H1066" s="52">
        <v>211</v>
      </c>
      <c r="I1066" s="52">
        <v>14</v>
      </c>
      <c r="J1066" s="49">
        <v>1065</v>
      </c>
    </row>
    <row r="1067" spans="1:12" s="49" customFormat="1" ht="30.75" thickTop="1" x14ac:dyDescent="0.25">
      <c r="A1067" s="48">
        <v>46</v>
      </c>
      <c r="B1067" s="48" t="s">
        <v>505</v>
      </c>
      <c r="C1067" s="48" t="s">
        <v>512</v>
      </c>
      <c r="D1067" s="48" t="s">
        <v>499</v>
      </c>
      <c r="E1067" s="48" t="s">
        <v>500</v>
      </c>
      <c r="F1067" s="49">
        <v>1</v>
      </c>
      <c r="G1067" s="49">
        <v>14</v>
      </c>
      <c r="J1067" s="49">
        <v>1066</v>
      </c>
    </row>
    <row r="1068" spans="1:12" s="49" customFormat="1" ht="30" x14ac:dyDescent="0.25">
      <c r="A1068" s="48">
        <v>46</v>
      </c>
      <c r="B1068" s="48" t="s">
        <v>505</v>
      </c>
      <c r="C1068" s="48" t="s">
        <v>512</v>
      </c>
      <c r="D1068" s="48" t="s">
        <v>499</v>
      </c>
      <c r="E1068" s="48" t="s">
        <v>500</v>
      </c>
      <c r="F1068" s="49">
        <v>2</v>
      </c>
      <c r="G1068" s="49">
        <v>17</v>
      </c>
      <c r="J1068" s="49">
        <v>1067</v>
      </c>
    </row>
    <row r="1069" spans="1:12" s="49" customFormat="1" ht="30.75" thickBot="1" x14ac:dyDescent="0.3">
      <c r="A1069" s="48">
        <v>46</v>
      </c>
      <c r="B1069" s="48" t="s">
        <v>505</v>
      </c>
      <c r="C1069" s="48" t="s">
        <v>512</v>
      </c>
      <c r="D1069" s="51" t="s">
        <v>499</v>
      </c>
      <c r="E1069" s="51" t="s">
        <v>500</v>
      </c>
      <c r="F1069" s="52">
        <v>3</v>
      </c>
      <c r="G1069" s="52">
        <v>24</v>
      </c>
      <c r="H1069" s="52">
        <v>55</v>
      </c>
      <c r="I1069" s="52">
        <v>3</v>
      </c>
      <c r="J1069" s="49">
        <v>1068</v>
      </c>
    </row>
    <row r="1070" spans="1:12" s="50" customFormat="1" ht="16.5" thickTop="1" x14ac:dyDescent="0.25">
      <c r="A1070" s="53">
        <v>47</v>
      </c>
      <c r="B1070" s="53" t="s">
        <v>504</v>
      </c>
      <c r="C1070" s="53" t="s">
        <v>513</v>
      </c>
      <c r="D1070" s="53" t="s">
        <v>2</v>
      </c>
      <c r="E1070" s="53" t="s">
        <v>148</v>
      </c>
      <c r="F1070" s="45">
        <v>1</v>
      </c>
      <c r="G1070" s="50">
        <v>25</v>
      </c>
      <c r="J1070" s="50">
        <v>1069</v>
      </c>
      <c r="L1070" s="50" t="s">
        <v>897</v>
      </c>
    </row>
    <row r="1071" spans="1:12" s="50" customFormat="1" x14ac:dyDescent="0.25">
      <c r="A1071" s="53">
        <v>47</v>
      </c>
      <c r="B1071" s="53" t="s">
        <v>504</v>
      </c>
      <c r="C1071" s="53" t="s">
        <v>513</v>
      </c>
      <c r="D1071" s="53" t="s">
        <v>2</v>
      </c>
      <c r="E1071" s="53" t="s">
        <v>148</v>
      </c>
      <c r="F1071" s="45">
        <v>2</v>
      </c>
      <c r="G1071" s="50">
        <v>23</v>
      </c>
      <c r="J1071" s="50">
        <v>1070</v>
      </c>
      <c r="L1071" s="50" t="s">
        <v>897</v>
      </c>
    </row>
    <row r="1072" spans="1:12" s="50" customFormat="1" x14ac:dyDescent="0.25">
      <c r="A1072" s="53">
        <v>47</v>
      </c>
      <c r="B1072" s="53" t="s">
        <v>504</v>
      </c>
      <c r="C1072" s="53" t="s">
        <v>513</v>
      </c>
      <c r="D1072" s="53" t="s">
        <v>2</v>
      </c>
      <c r="E1072" s="53" t="s">
        <v>148</v>
      </c>
      <c r="F1072" s="45">
        <v>3</v>
      </c>
      <c r="G1072" s="50">
        <v>17</v>
      </c>
      <c r="J1072" s="50">
        <v>1071</v>
      </c>
      <c r="L1072" s="50" t="s">
        <v>897</v>
      </c>
    </row>
    <row r="1073" spans="1:12" s="50" customFormat="1" x14ac:dyDescent="0.25">
      <c r="A1073" s="53">
        <v>47</v>
      </c>
      <c r="B1073" s="53" t="s">
        <v>504</v>
      </c>
      <c r="C1073" s="53" t="s">
        <v>513</v>
      </c>
      <c r="D1073" s="53" t="s">
        <v>2</v>
      </c>
      <c r="E1073" s="53" t="s">
        <v>148</v>
      </c>
      <c r="F1073" s="45">
        <v>4</v>
      </c>
      <c r="G1073" s="50">
        <v>25</v>
      </c>
      <c r="J1073" s="50">
        <v>1072</v>
      </c>
      <c r="L1073" s="50" t="s">
        <v>897</v>
      </c>
    </row>
    <row r="1074" spans="1:12" s="50" customFormat="1" x14ac:dyDescent="0.25">
      <c r="A1074" s="53">
        <v>47</v>
      </c>
      <c r="B1074" s="53" t="s">
        <v>504</v>
      </c>
      <c r="C1074" s="53" t="s">
        <v>513</v>
      </c>
      <c r="D1074" s="53" t="s">
        <v>2</v>
      </c>
      <c r="E1074" s="53" t="s">
        <v>148</v>
      </c>
      <c r="F1074" s="45">
        <v>5</v>
      </c>
      <c r="G1074" s="50">
        <v>48</v>
      </c>
      <c r="J1074" s="50">
        <v>1073</v>
      </c>
      <c r="L1074" s="50" t="s">
        <v>897</v>
      </c>
    </row>
    <row r="1075" spans="1:12" s="50" customFormat="1" x14ac:dyDescent="0.25">
      <c r="A1075" s="53">
        <v>47</v>
      </c>
      <c r="B1075" s="53" t="s">
        <v>504</v>
      </c>
      <c r="C1075" s="53" t="s">
        <v>513</v>
      </c>
      <c r="D1075" s="53" t="s">
        <v>2</v>
      </c>
      <c r="E1075" s="53" t="s">
        <v>148</v>
      </c>
      <c r="F1075" s="45">
        <v>6</v>
      </c>
      <c r="G1075" s="50">
        <v>34</v>
      </c>
      <c r="J1075" s="50">
        <v>1074</v>
      </c>
      <c r="L1075" s="50" t="s">
        <v>897</v>
      </c>
    </row>
    <row r="1076" spans="1:12" s="50" customFormat="1" x14ac:dyDescent="0.25">
      <c r="A1076" s="53">
        <v>47</v>
      </c>
      <c r="B1076" s="53" t="s">
        <v>504</v>
      </c>
      <c r="C1076" s="53" t="s">
        <v>513</v>
      </c>
      <c r="D1076" s="53" t="s">
        <v>2</v>
      </c>
      <c r="E1076" s="53" t="s">
        <v>148</v>
      </c>
      <c r="F1076" s="45">
        <v>7</v>
      </c>
      <c r="G1076" s="50">
        <v>29</v>
      </c>
      <c r="J1076" s="50">
        <v>1075</v>
      </c>
      <c r="L1076" s="50" t="s">
        <v>897</v>
      </c>
    </row>
    <row r="1077" spans="1:12" s="50" customFormat="1" x14ac:dyDescent="0.25">
      <c r="A1077" s="53">
        <v>47</v>
      </c>
      <c r="B1077" s="53" t="s">
        <v>504</v>
      </c>
      <c r="C1077" s="53" t="s">
        <v>513</v>
      </c>
      <c r="D1077" s="53" t="s">
        <v>2</v>
      </c>
      <c r="E1077" s="53" t="s">
        <v>148</v>
      </c>
      <c r="F1077" s="45">
        <v>8</v>
      </c>
      <c r="G1077" s="50">
        <v>34</v>
      </c>
      <c r="J1077" s="50">
        <v>1076</v>
      </c>
      <c r="L1077" s="50" t="s">
        <v>897</v>
      </c>
    </row>
    <row r="1078" spans="1:12" s="50" customFormat="1" x14ac:dyDescent="0.25">
      <c r="A1078" s="53">
        <v>47</v>
      </c>
      <c r="B1078" s="53" t="s">
        <v>504</v>
      </c>
      <c r="C1078" s="53" t="s">
        <v>513</v>
      </c>
      <c r="D1078" s="53" t="s">
        <v>2</v>
      </c>
      <c r="E1078" s="53" t="s">
        <v>148</v>
      </c>
      <c r="F1078" s="45">
        <v>9</v>
      </c>
      <c r="G1078" s="50">
        <v>38</v>
      </c>
      <c r="J1078" s="50">
        <v>1077</v>
      </c>
      <c r="L1078" s="50" t="s">
        <v>897</v>
      </c>
    </row>
    <row r="1079" spans="1:12" s="50" customFormat="1" x14ac:dyDescent="0.25">
      <c r="A1079" s="53">
        <v>47</v>
      </c>
      <c r="B1079" s="53" t="s">
        <v>504</v>
      </c>
      <c r="C1079" s="53" t="s">
        <v>513</v>
      </c>
      <c r="D1079" s="53" t="s">
        <v>2</v>
      </c>
      <c r="E1079" s="53" t="s">
        <v>148</v>
      </c>
      <c r="F1079" s="45">
        <v>10</v>
      </c>
      <c r="G1079" s="50">
        <v>42</v>
      </c>
      <c r="J1079" s="50">
        <v>1078</v>
      </c>
      <c r="L1079" s="50" t="s">
        <v>897</v>
      </c>
    </row>
    <row r="1080" spans="1:12" s="50" customFormat="1" x14ac:dyDescent="0.25">
      <c r="A1080" s="53">
        <v>47</v>
      </c>
      <c r="B1080" s="53" t="s">
        <v>504</v>
      </c>
      <c r="C1080" s="53" t="s">
        <v>513</v>
      </c>
      <c r="D1080" s="53" t="s">
        <v>2</v>
      </c>
      <c r="E1080" s="53" t="s">
        <v>148</v>
      </c>
      <c r="F1080" s="45">
        <v>11</v>
      </c>
      <c r="G1080" s="50">
        <v>30</v>
      </c>
      <c r="J1080" s="50">
        <v>1079</v>
      </c>
      <c r="L1080" s="50" t="s">
        <v>897</v>
      </c>
    </row>
    <row r="1081" spans="1:12" s="50" customFormat="1" x14ac:dyDescent="0.25">
      <c r="A1081" s="53">
        <v>47</v>
      </c>
      <c r="B1081" s="53" t="s">
        <v>504</v>
      </c>
      <c r="C1081" s="53" t="s">
        <v>513</v>
      </c>
      <c r="D1081" s="53" t="s">
        <v>2</v>
      </c>
      <c r="E1081" s="53" t="s">
        <v>148</v>
      </c>
      <c r="F1081" s="45">
        <v>12</v>
      </c>
      <c r="G1081" s="50">
        <v>50</v>
      </c>
      <c r="J1081" s="50">
        <v>1080</v>
      </c>
      <c r="L1081" s="50" t="s">
        <v>897</v>
      </c>
    </row>
    <row r="1082" spans="1:12" s="50" customFormat="1" x14ac:dyDescent="0.25">
      <c r="A1082" s="53">
        <v>47</v>
      </c>
      <c r="B1082" s="53" t="s">
        <v>504</v>
      </c>
      <c r="C1082" s="53" t="s">
        <v>513</v>
      </c>
      <c r="D1082" s="53" t="s">
        <v>2</v>
      </c>
      <c r="E1082" s="53" t="s">
        <v>148</v>
      </c>
      <c r="F1082" s="45">
        <v>13</v>
      </c>
      <c r="G1082" s="50">
        <v>58</v>
      </c>
      <c r="J1082" s="50">
        <v>1081</v>
      </c>
      <c r="L1082" s="50" t="s">
        <v>897</v>
      </c>
    </row>
    <row r="1083" spans="1:12" s="50" customFormat="1" x14ac:dyDescent="0.25">
      <c r="A1083" s="53">
        <v>47</v>
      </c>
      <c r="B1083" s="53" t="s">
        <v>504</v>
      </c>
      <c r="C1083" s="53" t="s">
        <v>513</v>
      </c>
      <c r="D1083" s="53" t="s">
        <v>2</v>
      </c>
      <c r="E1083" s="53" t="s">
        <v>148</v>
      </c>
      <c r="F1083" s="45">
        <v>14</v>
      </c>
      <c r="G1083" s="50">
        <v>36</v>
      </c>
      <c r="J1083" s="50">
        <v>1082</v>
      </c>
      <c r="L1083" s="50" t="s">
        <v>897</v>
      </c>
    </row>
    <row r="1084" spans="1:12" s="50" customFormat="1" x14ac:dyDescent="0.25">
      <c r="A1084" s="53">
        <v>47</v>
      </c>
      <c r="B1084" s="53" t="s">
        <v>504</v>
      </c>
      <c r="C1084" s="53" t="s">
        <v>513</v>
      </c>
      <c r="D1084" s="53" t="s">
        <v>2</v>
      </c>
      <c r="E1084" s="53" t="s">
        <v>148</v>
      </c>
      <c r="F1084" s="45">
        <v>15</v>
      </c>
      <c r="G1084" s="50">
        <v>39</v>
      </c>
      <c r="J1084" s="50">
        <v>1083</v>
      </c>
      <c r="L1084" s="50" t="s">
        <v>897</v>
      </c>
    </row>
    <row r="1085" spans="1:12" s="50" customFormat="1" x14ac:dyDescent="0.25">
      <c r="A1085" s="53">
        <v>47</v>
      </c>
      <c r="B1085" s="53" t="s">
        <v>504</v>
      </c>
      <c r="C1085" s="53" t="s">
        <v>513</v>
      </c>
      <c r="D1085" s="53" t="s">
        <v>2</v>
      </c>
      <c r="E1085" s="53" t="s">
        <v>148</v>
      </c>
      <c r="F1085" s="45">
        <v>16</v>
      </c>
      <c r="G1085" s="50">
        <v>28</v>
      </c>
      <c r="J1085" s="50">
        <v>1084</v>
      </c>
      <c r="L1085" s="50" t="s">
        <v>897</v>
      </c>
    </row>
    <row r="1086" spans="1:12" s="50" customFormat="1" x14ac:dyDescent="0.25">
      <c r="A1086" s="53">
        <v>47</v>
      </c>
      <c r="B1086" s="53" t="s">
        <v>504</v>
      </c>
      <c r="C1086" s="53" t="s">
        <v>513</v>
      </c>
      <c r="D1086" s="53" t="s">
        <v>2</v>
      </c>
      <c r="E1086" s="53" t="s">
        <v>148</v>
      </c>
      <c r="F1086" s="45">
        <v>17</v>
      </c>
      <c r="G1086" s="50">
        <v>27</v>
      </c>
      <c r="J1086" s="50">
        <v>1085</v>
      </c>
      <c r="L1086" s="50" t="s">
        <v>897</v>
      </c>
    </row>
    <row r="1087" spans="1:12" s="50" customFormat="1" x14ac:dyDescent="0.25">
      <c r="A1087" s="53">
        <v>47</v>
      </c>
      <c r="B1087" s="53" t="s">
        <v>504</v>
      </c>
      <c r="C1087" s="53" t="s">
        <v>513</v>
      </c>
      <c r="D1087" s="53" t="s">
        <v>2</v>
      </c>
      <c r="E1087" s="53" t="s">
        <v>148</v>
      </c>
      <c r="F1087" s="45">
        <v>18</v>
      </c>
      <c r="G1087" s="50">
        <v>35</v>
      </c>
      <c r="J1087" s="50">
        <v>1086</v>
      </c>
      <c r="L1087" s="50" t="s">
        <v>897</v>
      </c>
    </row>
    <row r="1088" spans="1:12" s="50" customFormat="1" x14ac:dyDescent="0.25">
      <c r="A1088" s="53">
        <v>47</v>
      </c>
      <c r="B1088" s="53" t="s">
        <v>504</v>
      </c>
      <c r="C1088" s="53" t="s">
        <v>513</v>
      </c>
      <c r="D1088" s="53" t="s">
        <v>2</v>
      </c>
      <c r="E1088" s="53" t="s">
        <v>148</v>
      </c>
      <c r="F1088" s="45">
        <v>19</v>
      </c>
      <c r="G1088" s="50">
        <v>30</v>
      </c>
      <c r="J1088" s="50">
        <v>1087</v>
      </c>
      <c r="L1088" s="50" t="s">
        <v>897</v>
      </c>
    </row>
    <row r="1089" spans="1:12" s="50" customFormat="1" x14ac:dyDescent="0.25">
      <c r="A1089" s="53">
        <v>47</v>
      </c>
      <c r="B1089" s="53" t="s">
        <v>504</v>
      </c>
      <c r="C1089" s="53" t="s">
        <v>513</v>
      </c>
      <c r="D1089" s="53" t="s">
        <v>2</v>
      </c>
      <c r="E1089" s="53" t="s">
        <v>148</v>
      </c>
      <c r="F1089" s="45">
        <v>20</v>
      </c>
      <c r="G1089" s="50">
        <v>34</v>
      </c>
      <c r="J1089" s="50">
        <v>1088</v>
      </c>
      <c r="L1089" s="50" t="s">
        <v>897</v>
      </c>
    </row>
    <row r="1090" spans="1:12" s="50" customFormat="1" x14ac:dyDescent="0.25">
      <c r="A1090" s="53">
        <v>47</v>
      </c>
      <c r="B1090" s="53" t="s">
        <v>504</v>
      </c>
      <c r="C1090" s="53" t="s">
        <v>513</v>
      </c>
      <c r="D1090" s="53" t="s">
        <v>2</v>
      </c>
      <c r="E1090" s="53" t="s">
        <v>148</v>
      </c>
      <c r="F1090" s="45">
        <v>21</v>
      </c>
      <c r="G1090" s="50">
        <v>46</v>
      </c>
      <c r="J1090" s="50">
        <v>1089</v>
      </c>
      <c r="L1090" s="50" t="s">
        <v>897</v>
      </c>
    </row>
    <row r="1091" spans="1:12" s="50" customFormat="1" x14ac:dyDescent="0.25">
      <c r="A1091" s="53">
        <v>47</v>
      </c>
      <c r="B1091" s="53" t="s">
        <v>504</v>
      </c>
      <c r="C1091" s="53" t="s">
        <v>513</v>
      </c>
      <c r="D1091" s="53" t="s">
        <v>2</v>
      </c>
      <c r="E1091" s="53" t="s">
        <v>148</v>
      </c>
      <c r="F1091" s="45">
        <v>22</v>
      </c>
      <c r="G1091" s="50">
        <v>46</v>
      </c>
      <c r="J1091" s="50">
        <v>1090</v>
      </c>
      <c r="L1091" s="50" t="s">
        <v>897</v>
      </c>
    </row>
    <row r="1092" spans="1:12" s="50" customFormat="1" x14ac:dyDescent="0.25">
      <c r="A1092" s="53">
        <v>47</v>
      </c>
      <c r="B1092" s="53" t="s">
        <v>504</v>
      </c>
      <c r="C1092" s="53" t="s">
        <v>513</v>
      </c>
      <c r="D1092" s="53" t="s">
        <v>2</v>
      </c>
      <c r="E1092" s="53" t="s">
        <v>148</v>
      </c>
      <c r="F1092" s="45">
        <v>23</v>
      </c>
      <c r="G1092" s="50">
        <v>39</v>
      </c>
      <c r="J1092" s="50">
        <v>1091</v>
      </c>
      <c r="L1092" s="50" t="s">
        <v>897</v>
      </c>
    </row>
    <row r="1093" spans="1:12" s="50" customFormat="1" x14ac:dyDescent="0.25">
      <c r="A1093" s="53">
        <v>47</v>
      </c>
      <c r="B1093" s="53" t="s">
        <v>504</v>
      </c>
      <c r="C1093" s="53" t="s">
        <v>513</v>
      </c>
      <c r="D1093" s="53" t="s">
        <v>2</v>
      </c>
      <c r="E1093" s="53" t="s">
        <v>148</v>
      </c>
      <c r="F1093" s="45">
        <v>24</v>
      </c>
      <c r="G1093" s="50">
        <v>51</v>
      </c>
      <c r="J1093" s="50">
        <v>1092</v>
      </c>
      <c r="L1093" s="50" t="s">
        <v>897</v>
      </c>
    </row>
    <row r="1094" spans="1:12" s="50" customFormat="1" x14ac:dyDescent="0.25">
      <c r="A1094" s="53">
        <v>47</v>
      </c>
      <c r="B1094" s="53" t="s">
        <v>504</v>
      </c>
      <c r="C1094" s="53" t="s">
        <v>513</v>
      </c>
      <c r="D1094" s="53" t="s">
        <v>2</v>
      </c>
      <c r="E1094" s="53" t="s">
        <v>148</v>
      </c>
      <c r="F1094" s="45">
        <v>25</v>
      </c>
      <c r="G1094" s="50">
        <v>46</v>
      </c>
      <c r="J1094" s="50">
        <v>1093</v>
      </c>
      <c r="L1094" s="50" t="s">
        <v>897</v>
      </c>
    </row>
    <row r="1095" spans="1:12" s="50" customFormat="1" x14ac:dyDescent="0.25">
      <c r="A1095" s="53">
        <v>47</v>
      </c>
      <c r="B1095" s="53" t="s">
        <v>504</v>
      </c>
      <c r="C1095" s="53" t="s">
        <v>513</v>
      </c>
      <c r="D1095" s="53" t="s">
        <v>2</v>
      </c>
      <c r="E1095" s="53" t="s">
        <v>148</v>
      </c>
      <c r="F1095" s="45">
        <v>26</v>
      </c>
      <c r="G1095" s="50">
        <v>75</v>
      </c>
      <c r="J1095" s="50">
        <v>1094</v>
      </c>
      <c r="L1095" s="50" t="s">
        <v>897</v>
      </c>
    </row>
    <row r="1096" spans="1:12" s="50" customFormat="1" x14ac:dyDescent="0.25">
      <c r="A1096" s="53">
        <v>47</v>
      </c>
      <c r="B1096" s="53" t="s">
        <v>504</v>
      </c>
      <c r="C1096" s="53" t="s">
        <v>513</v>
      </c>
      <c r="D1096" s="53" t="s">
        <v>2</v>
      </c>
      <c r="E1096" s="53" t="s">
        <v>148</v>
      </c>
      <c r="F1096" s="45">
        <v>27</v>
      </c>
      <c r="G1096" s="50">
        <v>66</v>
      </c>
      <c r="J1096" s="50">
        <v>1095</v>
      </c>
      <c r="L1096" s="50" t="s">
        <v>897</v>
      </c>
    </row>
    <row r="1097" spans="1:12" s="50" customFormat="1" ht="16.5" thickBot="1" x14ac:dyDescent="0.3">
      <c r="A1097" s="53">
        <v>47</v>
      </c>
      <c r="B1097" s="53" t="s">
        <v>504</v>
      </c>
      <c r="C1097" s="53" t="s">
        <v>513</v>
      </c>
      <c r="D1097" s="54" t="s">
        <v>2</v>
      </c>
      <c r="E1097" s="54" t="s">
        <v>148</v>
      </c>
      <c r="F1097" s="46">
        <v>28</v>
      </c>
      <c r="G1097" s="55">
        <v>20</v>
      </c>
      <c r="H1097" s="55">
        <v>1071</v>
      </c>
      <c r="I1097" s="55">
        <v>28</v>
      </c>
      <c r="J1097" s="50">
        <v>1096</v>
      </c>
      <c r="L1097" s="50" t="s">
        <v>897</v>
      </c>
    </row>
    <row r="1098" spans="1:12" s="50" customFormat="1" ht="16.5" thickTop="1" x14ac:dyDescent="0.25">
      <c r="A1098" s="53">
        <v>48</v>
      </c>
      <c r="B1098" s="53" t="s">
        <v>504</v>
      </c>
      <c r="C1098" s="53" t="s">
        <v>513</v>
      </c>
      <c r="D1098" s="53" t="s">
        <v>7</v>
      </c>
      <c r="E1098" s="53" t="s">
        <v>149</v>
      </c>
      <c r="F1098" s="45">
        <v>1</v>
      </c>
      <c r="G1098" s="50">
        <v>45</v>
      </c>
      <c r="J1098" s="50">
        <v>1097</v>
      </c>
      <c r="L1098" s="50" t="s">
        <v>897</v>
      </c>
    </row>
    <row r="1099" spans="1:12" s="50" customFormat="1" x14ac:dyDescent="0.25">
      <c r="A1099" s="53">
        <v>48</v>
      </c>
      <c r="B1099" s="53" t="s">
        <v>504</v>
      </c>
      <c r="C1099" s="53" t="s">
        <v>513</v>
      </c>
      <c r="D1099" s="53" t="s">
        <v>7</v>
      </c>
      <c r="E1099" s="53" t="s">
        <v>149</v>
      </c>
      <c r="F1099" s="45">
        <v>2</v>
      </c>
      <c r="G1099" s="50">
        <v>28</v>
      </c>
      <c r="J1099" s="50">
        <v>1098</v>
      </c>
      <c r="L1099" s="50" t="s">
        <v>897</v>
      </c>
    </row>
    <row r="1100" spans="1:12" s="50" customFormat="1" x14ac:dyDescent="0.25">
      <c r="A1100" s="53">
        <v>48</v>
      </c>
      <c r="B1100" s="53" t="s">
        <v>504</v>
      </c>
      <c r="C1100" s="53" t="s">
        <v>513</v>
      </c>
      <c r="D1100" s="53" t="s">
        <v>7</v>
      </c>
      <c r="E1100" s="53" t="s">
        <v>149</v>
      </c>
      <c r="F1100" s="45">
        <v>3</v>
      </c>
      <c r="G1100" s="50">
        <v>35</v>
      </c>
      <c r="J1100" s="50">
        <v>1099</v>
      </c>
      <c r="L1100" s="50" t="s">
        <v>897</v>
      </c>
    </row>
    <row r="1101" spans="1:12" s="50" customFormat="1" x14ac:dyDescent="0.25">
      <c r="A1101" s="53">
        <v>48</v>
      </c>
      <c r="B1101" s="53" t="s">
        <v>504</v>
      </c>
      <c r="C1101" s="53" t="s">
        <v>513</v>
      </c>
      <c r="D1101" s="53" t="s">
        <v>7</v>
      </c>
      <c r="E1101" s="53" t="s">
        <v>149</v>
      </c>
      <c r="F1101" s="45">
        <v>4</v>
      </c>
      <c r="G1101" s="50">
        <v>41</v>
      </c>
      <c r="J1101" s="50">
        <v>1100</v>
      </c>
      <c r="L1101" s="50" t="s">
        <v>897</v>
      </c>
    </row>
    <row r="1102" spans="1:12" s="50" customFormat="1" x14ac:dyDescent="0.25">
      <c r="A1102" s="53">
        <v>48</v>
      </c>
      <c r="B1102" s="53" t="s">
        <v>504</v>
      </c>
      <c r="C1102" s="53" t="s">
        <v>513</v>
      </c>
      <c r="D1102" s="53" t="s">
        <v>7</v>
      </c>
      <c r="E1102" s="53" t="s">
        <v>149</v>
      </c>
      <c r="F1102" s="45">
        <v>5</v>
      </c>
      <c r="G1102" s="50">
        <v>43</v>
      </c>
      <c r="J1102" s="50">
        <v>1101</v>
      </c>
      <c r="L1102" s="50" t="s">
        <v>897</v>
      </c>
    </row>
    <row r="1103" spans="1:12" s="50" customFormat="1" x14ac:dyDescent="0.25">
      <c r="A1103" s="53">
        <v>48</v>
      </c>
      <c r="B1103" s="53" t="s">
        <v>504</v>
      </c>
      <c r="C1103" s="53" t="s">
        <v>513</v>
      </c>
      <c r="D1103" s="53" t="s">
        <v>7</v>
      </c>
      <c r="E1103" s="53" t="s">
        <v>149</v>
      </c>
      <c r="F1103" s="45">
        <v>6</v>
      </c>
      <c r="G1103" s="50">
        <v>56</v>
      </c>
      <c r="J1103" s="50">
        <v>1102</v>
      </c>
      <c r="L1103" s="50" t="s">
        <v>897</v>
      </c>
    </row>
    <row r="1104" spans="1:12" s="50" customFormat="1" x14ac:dyDescent="0.25">
      <c r="A1104" s="53">
        <v>48</v>
      </c>
      <c r="B1104" s="53" t="s">
        <v>504</v>
      </c>
      <c r="C1104" s="53" t="s">
        <v>513</v>
      </c>
      <c r="D1104" s="53" t="s">
        <v>7</v>
      </c>
      <c r="E1104" s="53" t="s">
        <v>149</v>
      </c>
      <c r="F1104" s="45">
        <v>7</v>
      </c>
      <c r="G1104" s="50">
        <v>37</v>
      </c>
      <c r="J1104" s="50">
        <v>1103</v>
      </c>
      <c r="L1104" s="50" t="s">
        <v>897</v>
      </c>
    </row>
    <row r="1105" spans="1:12" s="50" customFormat="1" x14ac:dyDescent="0.25">
      <c r="A1105" s="53">
        <v>48</v>
      </c>
      <c r="B1105" s="53" t="s">
        <v>504</v>
      </c>
      <c r="C1105" s="53" t="s">
        <v>513</v>
      </c>
      <c r="D1105" s="53" t="s">
        <v>7</v>
      </c>
      <c r="E1105" s="53" t="s">
        <v>149</v>
      </c>
      <c r="F1105" s="45">
        <v>8</v>
      </c>
      <c r="G1105" s="50">
        <v>38</v>
      </c>
      <c r="J1105" s="50">
        <v>1104</v>
      </c>
      <c r="L1105" s="50" t="s">
        <v>897</v>
      </c>
    </row>
    <row r="1106" spans="1:12" s="50" customFormat="1" x14ac:dyDescent="0.25">
      <c r="A1106" s="53">
        <v>48</v>
      </c>
      <c r="B1106" s="53" t="s">
        <v>504</v>
      </c>
      <c r="C1106" s="53" t="s">
        <v>513</v>
      </c>
      <c r="D1106" s="53" t="s">
        <v>7</v>
      </c>
      <c r="E1106" s="53" t="s">
        <v>149</v>
      </c>
      <c r="F1106" s="45">
        <v>9</v>
      </c>
      <c r="G1106" s="50">
        <v>50</v>
      </c>
      <c r="J1106" s="50">
        <v>1105</v>
      </c>
      <c r="L1106" s="50" t="s">
        <v>897</v>
      </c>
    </row>
    <row r="1107" spans="1:12" s="50" customFormat="1" x14ac:dyDescent="0.25">
      <c r="A1107" s="53">
        <v>48</v>
      </c>
      <c r="B1107" s="53" t="s">
        <v>504</v>
      </c>
      <c r="C1107" s="53" t="s">
        <v>513</v>
      </c>
      <c r="D1107" s="53" t="s">
        <v>7</v>
      </c>
      <c r="E1107" s="53" t="s">
        <v>149</v>
      </c>
      <c r="F1107" s="47">
        <v>10</v>
      </c>
      <c r="G1107" s="50">
        <v>52</v>
      </c>
      <c r="J1107" s="50">
        <v>1106</v>
      </c>
      <c r="L1107" s="50" t="s">
        <v>897</v>
      </c>
    </row>
    <row r="1108" spans="1:12" s="50" customFormat="1" x14ac:dyDescent="0.25">
      <c r="A1108" s="53">
        <v>48</v>
      </c>
      <c r="B1108" s="53" t="s">
        <v>504</v>
      </c>
      <c r="C1108" s="53" t="s">
        <v>513</v>
      </c>
      <c r="D1108" s="53" t="s">
        <v>7</v>
      </c>
      <c r="E1108" s="53" t="s">
        <v>149</v>
      </c>
      <c r="F1108" s="47">
        <v>11</v>
      </c>
      <c r="G1108" s="50">
        <v>33</v>
      </c>
      <c r="J1108" s="50">
        <v>1107</v>
      </c>
      <c r="L1108" s="50" t="s">
        <v>897</v>
      </c>
    </row>
    <row r="1109" spans="1:12" s="50" customFormat="1" x14ac:dyDescent="0.25">
      <c r="A1109" s="53">
        <v>48</v>
      </c>
      <c r="B1109" s="53" t="s">
        <v>504</v>
      </c>
      <c r="C1109" s="53" t="s">
        <v>513</v>
      </c>
      <c r="D1109" s="53" t="s">
        <v>7</v>
      </c>
      <c r="E1109" s="53" t="s">
        <v>149</v>
      </c>
      <c r="F1109" s="47">
        <v>12</v>
      </c>
      <c r="G1109" s="50">
        <v>44</v>
      </c>
      <c r="J1109" s="50">
        <v>1108</v>
      </c>
      <c r="L1109" s="50" t="s">
        <v>897</v>
      </c>
    </row>
    <row r="1110" spans="1:12" s="50" customFormat="1" x14ac:dyDescent="0.25">
      <c r="A1110" s="53">
        <v>48</v>
      </c>
      <c r="B1110" s="53" t="s">
        <v>504</v>
      </c>
      <c r="C1110" s="53" t="s">
        <v>513</v>
      </c>
      <c r="D1110" s="53" t="s">
        <v>7</v>
      </c>
      <c r="E1110" s="53" t="s">
        <v>149</v>
      </c>
      <c r="F1110" s="47">
        <v>13</v>
      </c>
      <c r="G1110" s="50">
        <v>37</v>
      </c>
      <c r="J1110" s="50">
        <v>1109</v>
      </c>
      <c r="L1110" s="50" t="s">
        <v>897</v>
      </c>
    </row>
    <row r="1111" spans="1:12" s="50" customFormat="1" x14ac:dyDescent="0.25">
      <c r="A1111" s="53">
        <v>48</v>
      </c>
      <c r="B1111" s="53" t="s">
        <v>504</v>
      </c>
      <c r="C1111" s="53" t="s">
        <v>513</v>
      </c>
      <c r="D1111" s="53" t="s">
        <v>7</v>
      </c>
      <c r="E1111" s="53" t="s">
        <v>149</v>
      </c>
      <c r="F1111" s="47">
        <v>14</v>
      </c>
      <c r="G1111" s="50">
        <v>72</v>
      </c>
      <c r="J1111" s="50">
        <v>1110</v>
      </c>
      <c r="L1111" s="50" t="s">
        <v>897</v>
      </c>
    </row>
    <row r="1112" spans="1:12" s="50" customFormat="1" x14ac:dyDescent="0.25">
      <c r="A1112" s="53">
        <v>48</v>
      </c>
      <c r="B1112" s="53" t="s">
        <v>504</v>
      </c>
      <c r="C1112" s="53" t="s">
        <v>513</v>
      </c>
      <c r="D1112" s="53" t="s">
        <v>7</v>
      </c>
      <c r="E1112" s="53" t="s">
        <v>149</v>
      </c>
      <c r="F1112" s="47">
        <v>15</v>
      </c>
      <c r="G1112" s="50">
        <v>47</v>
      </c>
      <c r="J1112" s="50">
        <v>1111</v>
      </c>
      <c r="L1112" s="50" t="s">
        <v>897</v>
      </c>
    </row>
    <row r="1113" spans="1:12" s="50" customFormat="1" ht="16.5" thickBot="1" x14ac:dyDescent="0.3">
      <c r="A1113" s="53">
        <v>48</v>
      </c>
      <c r="B1113" s="53" t="s">
        <v>504</v>
      </c>
      <c r="C1113" s="53" t="s">
        <v>513</v>
      </c>
      <c r="D1113" s="54" t="s">
        <v>7</v>
      </c>
      <c r="E1113" s="54" t="s">
        <v>149</v>
      </c>
      <c r="F1113" s="46">
        <v>16</v>
      </c>
      <c r="G1113" s="55">
        <v>20</v>
      </c>
      <c r="H1113" s="55">
        <v>678</v>
      </c>
      <c r="I1113" s="55">
        <v>16</v>
      </c>
      <c r="J1113" s="50">
        <v>1112</v>
      </c>
      <c r="L1113" s="50" t="s">
        <v>897</v>
      </c>
    </row>
    <row r="1114" spans="1:12" s="50" customFormat="1" ht="16.5" thickTop="1" x14ac:dyDescent="0.25">
      <c r="A1114" s="53">
        <v>49</v>
      </c>
      <c r="B1114" s="53" t="s">
        <v>504</v>
      </c>
      <c r="C1114" s="53" t="s">
        <v>513</v>
      </c>
      <c r="D1114" s="53" t="s">
        <v>8</v>
      </c>
      <c r="E1114" s="53" t="s">
        <v>150</v>
      </c>
      <c r="F1114" s="47">
        <v>1</v>
      </c>
      <c r="G1114" s="50">
        <v>80</v>
      </c>
      <c r="J1114" s="50">
        <v>1113</v>
      </c>
    </row>
    <row r="1115" spans="1:12" s="50" customFormat="1" x14ac:dyDescent="0.25">
      <c r="A1115" s="53">
        <v>49</v>
      </c>
      <c r="B1115" s="53" t="s">
        <v>504</v>
      </c>
      <c r="C1115" s="53" t="s">
        <v>513</v>
      </c>
      <c r="D1115" s="53" t="s">
        <v>8</v>
      </c>
      <c r="E1115" s="53" t="s">
        <v>150</v>
      </c>
      <c r="F1115" s="47">
        <v>2</v>
      </c>
      <c r="G1115" s="50">
        <v>52</v>
      </c>
      <c r="J1115" s="50">
        <v>1114</v>
      </c>
    </row>
    <row r="1116" spans="1:12" s="50" customFormat="1" x14ac:dyDescent="0.25">
      <c r="A1116" s="53">
        <v>49</v>
      </c>
      <c r="B1116" s="53" t="s">
        <v>504</v>
      </c>
      <c r="C1116" s="53" t="s">
        <v>513</v>
      </c>
      <c r="D1116" s="53" t="s">
        <v>8</v>
      </c>
      <c r="E1116" s="53" t="s">
        <v>150</v>
      </c>
      <c r="F1116" s="47">
        <v>3</v>
      </c>
      <c r="G1116" s="50">
        <v>38</v>
      </c>
      <c r="J1116" s="50">
        <v>1115</v>
      </c>
    </row>
    <row r="1117" spans="1:12" s="50" customFormat="1" x14ac:dyDescent="0.25">
      <c r="A1117" s="53">
        <v>49</v>
      </c>
      <c r="B1117" s="53" t="s">
        <v>504</v>
      </c>
      <c r="C1117" s="53" t="s">
        <v>513</v>
      </c>
      <c r="D1117" s="53" t="s">
        <v>8</v>
      </c>
      <c r="E1117" s="53" t="s">
        <v>150</v>
      </c>
      <c r="F1117" s="47">
        <v>4</v>
      </c>
      <c r="G1117" s="50">
        <v>44</v>
      </c>
      <c r="J1117" s="50">
        <v>1116</v>
      </c>
    </row>
    <row r="1118" spans="1:12" s="50" customFormat="1" x14ac:dyDescent="0.25">
      <c r="A1118" s="53">
        <v>49</v>
      </c>
      <c r="B1118" s="53" t="s">
        <v>504</v>
      </c>
      <c r="C1118" s="53" t="s">
        <v>513</v>
      </c>
      <c r="D1118" s="53" t="s">
        <v>8</v>
      </c>
      <c r="E1118" s="53" t="s">
        <v>150</v>
      </c>
      <c r="F1118" s="47">
        <v>5</v>
      </c>
      <c r="G1118" s="50">
        <v>39</v>
      </c>
      <c r="J1118" s="50">
        <v>1117</v>
      </c>
    </row>
    <row r="1119" spans="1:12" s="50" customFormat="1" x14ac:dyDescent="0.25">
      <c r="A1119" s="53">
        <v>49</v>
      </c>
      <c r="B1119" s="53" t="s">
        <v>504</v>
      </c>
      <c r="C1119" s="53" t="s">
        <v>513</v>
      </c>
      <c r="D1119" s="53" t="s">
        <v>8</v>
      </c>
      <c r="E1119" s="53" t="s">
        <v>150</v>
      </c>
      <c r="F1119" s="47">
        <v>6</v>
      </c>
      <c r="G1119" s="50">
        <v>49</v>
      </c>
      <c r="J1119" s="50">
        <v>1118</v>
      </c>
    </row>
    <row r="1120" spans="1:12" s="50" customFormat="1" x14ac:dyDescent="0.25">
      <c r="A1120" s="53">
        <v>49</v>
      </c>
      <c r="B1120" s="53" t="s">
        <v>504</v>
      </c>
      <c r="C1120" s="53" t="s">
        <v>513</v>
      </c>
      <c r="D1120" s="53" t="s">
        <v>8</v>
      </c>
      <c r="E1120" s="53" t="s">
        <v>150</v>
      </c>
      <c r="F1120" s="47">
        <v>7</v>
      </c>
      <c r="G1120" s="50">
        <v>50</v>
      </c>
      <c r="J1120" s="50">
        <v>1119</v>
      </c>
    </row>
    <row r="1121" spans="1:10" s="50" customFormat="1" x14ac:dyDescent="0.25">
      <c r="A1121" s="53">
        <v>49</v>
      </c>
      <c r="B1121" s="53" t="s">
        <v>504</v>
      </c>
      <c r="C1121" s="53" t="s">
        <v>513</v>
      </c>
      <c r="D1121" s="53" t="s">
        <v>8</v>
      </c>
      <c r="E1121" s="53" t="s">
        <v>150</v>
      </c>
      <c r="F1121" s="47">
        <v>8</v>
      </c>
      <c r="G1121" s="50">
        <v>56</v>
      </c>
      <c r="J1121" s="50">
        <v>1120</v>
      </c>
    </row>
    <row r="1122" spans="1:10" s="50" customFormat="1" x14ac:dyDescent="0.25">
      <c r="A1122" s="53">
        <v>49</v>
      </c>
      <c r="B1122" s="53" t="s">
        <v>504</v>
      </c>
      <c r="C1122" s="53" t="s">
        <v>513</v>
      </c>
      <c r="D1122" s="53" t="s">
        <v>8</v>
      </c>
      <c r="E1122" s="53" t="s">
        <v>150</v>
      </c>
      <c r="F1122" s="47">
        <v>9</v>
      </c>
      <c r="G1122" s="50">
        <v>62</v>
      </c>
      <c r="J1122" s="50">
        <v>1121</v>
      </c>
    </row>
    <row r="1123" spans="1:10" s="50" customFormat="1" x14ac:dyDescent="0.25">
      <c r="A1123" s="53">
        <v>49</v>
      </c>
      <c r="B1123" s="53" t="s">
        <v>504</v>
      </c>
      <c r="C1123" s="53" t="s">
        <v>513</v>
      </c>
      <c r="D1123" s="53" t="s">
        <v>8</v>
      </c>
      <c r="E1123" s="53" t="s">
        <v>150</v>
      </c>
      <c r="F1123" s="47">
        <v>10</v>
      </c>
      <c r="G1123" s="50">
        <v>42</v>
      </c>
      <c r="J1123" s="50">
        <v>1122</v>
      </c>
    </row>
    <row r="1124" spans="1:10" s="50" customFormat="1" x14ac:dyDescent="0.25">
      <c r="A1124" s="53">
        <v>49</v>
      </c>
      <c r="B1124" s="53" t="s">
        <v>504</v>
      </c>
      <c r="C1124" s="53" t="s">
        <v>513</v>
      </c>
      <c r="D1124" s="53" t="s">
        <v>8</v>
      </c>
      <c r="E1124" s="53" t="s">
        <v>150</v>
      </c>
      <c r="F1124" s="47">
        <v>11</v>
      </c>
      <c r="G1124" s="50">
        <v>54</v>
      </c>
      <c r="J1124" s="50">
        <v>1123</v>
      </c>
    </row>
    <row r="1125" spans="1:10" s="50" customFormat="1" x14ac:dyDescent="0.25">
      <c r="A1125" s="53">
        <v>49</v>
      </c>
      <c r="B1125" s="53" t="s">
        <v>504</v>
      </c>
      <c r="C1125" s="53" t="s">
        <v>513</v>
      </c>
      <c r="D1125" s="53" t="s">
        <v>8</v>
      </c>
      <c r="E1125" s="53" t="s">
        <v>150</v>
      </c>
      <c r="F1125" s="47">
        <v>12</v>
      </c>
      <c r="G1125" s="50">
        <v>59</v>
      </c>
      <c r="J1125" s="50">
        <v>1124</v>
      </c>
    </row>
    <row r="1126" spans="1:10" s="50" customFormat="1" x14ac:dyDescent="0.25">
      <c r="A1126" s="53">
        <v>49</v>
      </c>
      <c r="B1126" s="53" t="s">
        <v>504</v>
      </c>
      <c r="C1126" s="53" t="s">
        <v>513</v>
      </c>
      <c r="D1126" s="53" t="s">
        <v>8</v>
      </c>
      <c r="E1126" s="53" t="s">
        <v>150</v>
      </c>
      <c r="F1126" s="47">
        <v>13</v>
      </c>
      <c r="G1126" s="50">
        <v>35</v>
      </c>
      <c r="J1126" s="50">
        <v>1125</v>
      </c>
    </row>
    <row r="1127" spans="1:10" s="50" customFormat="1" x14ac:dyDescent="0.25">
      <c r="A1127" s="53">
        <v>49</v>
      </c>
      <c r="B1127" s="53" t="s">
        <v>504</v>
      </c>
      <c r="C1127" s="53" t="s">
        <v>513</v>
      </c>
      <c r="D1127" s="53" t="s">
        <v>8</v>
      </c>
      <c r="E1127" s="53" t="s">
        <v>150</v>
      </c>
      <c r="F1127" s="47">
        <v>14</v>
      </c>
      <c r="G1127" s="50">
        <v>35</v>
      </c>
      <c r="J1127" s="50">
        <v>1126</v>
      </c>
    </row>
    <row r="1128" spans="1:10" s="50" customFormat="1" x14ac:dyDescent="0.25">
      <c r="A1128" s="53">
        <v>49</v>
      </c>
      <c r="B1128" s="53" t="s">
        <v>504</v>
      </c>
      <c r="C1128" s="53" t="s">
        <v>513</v>
      </c>
      <c r="D1128" s="53" t="s">
        <v>8</v>
      </c>
      <c r="E1128" s="53" t="s">
        <v>150</v>
      </c>
      <c r="F1128" s="47">
        <v>15</v>
      </c>
      <c r="G1128" s="50">
        <v>32</v>
      </c>
      <c r="J1128" s="50">
        <v>1127</v>
      </c>
    </row>
    <row r="1129" spans="1:10" s="50" customFormat="1" x14ac:dyDescent="0.25">
      <c r="A1129" s="53">
        <v>49</v>
      </c>
      <c r="B1129" s="53" t="s">
        <v>504</v>
      </c>
      <c r="C1129" s="53" t="s">
        <v>513</v>
      </c>
      <c r="D1129" s="53" t="s">
        <v>8</v>
      </c>
      <c r="E1129" s="53" t="s">
        <v>150</v>
      </c>
      <c r="F1129" s="47">
        <v>16</v>
      </c>
      <c r="G1129" s="50">
        <v>31</v>
      </c>
      <c r="J1129" s="50">
        <v>1128</v>
      </c>
    </row>
    <row r="1130" spans="1:10" s="50" customFormat="1" x14ac:dyDescent="0.25">
      <c r="A1130" s="53">
        <v>49</v>
      </c>
      <c r="B1130" s="53" t="s">
        <v>504</v>
      </c>
      <c r="C1130" s="53" t="s">
        <v>513</v>
      </c>
      <c r="D1130" s="53" t="s">
        <v>8</v>
      </c>
      <c r="E1130" s="53" t="s">
        <v>150</v>
      </c>
      <c r="F1130" s="47">
        <v>17</v>
      </c>
      <c r="G1130" s="50">
        <v>37</v>
      </c>
      <c r="J1130" s="50">
        <v>1129</v>
      </c>
    </row>
    <row r="1131" spans="1:10" s="50" customFormat="1" x14ac:dyDescent="0.25">
      <c r="A1131" s="53">
        <v>49</v>
      </c>
      <c r="B1131" s="53" t="s">
        <v>504</v>
      </c>
      <c r="C1131" s="53" t="s">
        <v>513</v>
      </c>
      <c r="D1131" s="53" t="s">
        <v>8</v>
      </c>
      <c r="E1131" s="53" t="s">
        <v>150</v>
      </c>
      <c r="F1131" s="47">
        <v>18</v>
      </c>
      <c r="G1131" s="50">
        <v>43</v>
      </c>
      <c r="J1131" s="50">
        <v>1130</v>
      </c>
    </row>
    <row r="1132" spans="1:10" s="50" customFormat="1" x14ac:dyDescent="0.25">
      <c r="A1132" s="53">
        <v>49</v>
      </c>
      <c r="B1132" s="53" t="s">
        <v>504</v>
      </c>
      <c r="C1132" s="53" t="s">
        <v>513</v>
      </c>
      <c r="D1132" s="53" t="s">
        <v>8</v>
      </c>
      <c r="E1132" s="53" t="s">
        <v>150</v>
      </c>
      <c r="F1132" s="47">
        <v>19</v>
      </c>
      <c r="G1132" s="50">
        <v>48</v>
      </c>
      <c r="J1132" s="50">
        <v>1131</v>
      </c>
    </row>
    <row r="1133" spans="1:10" s="50" customFormat="1" x14ac:dyDescent="0.25">
      <c r="A1133" s="53">
        <v>49</v>
      </c>
      <c r="B1133" s="53" t="s">
        <v>504</v>
      </c>
      <c r="C1133" s="53" t="s">
        <v>513</v>
      </c>
      <c r="D1133" s="53" t="s">
        <v>8</v>
      </c>
      <c r="E1133" s="53" t="s">
        <v>150</v>
      </c>
      <c r="F1133" s="47">
        <v>20</v>
      </c>
      <c r="G1133" s="50">
        <v>47</v>
      </c>
      <c r="J1133" s="50">
        <v>1132</v>
      </c>
    </row>
    <row r="1134" spans="1:10" s="50" customFormat="1" x14ac:dyDescent="0.25">
      <c r="A1134" s="53">
        <v>49</v>
      </c>
      <c r="B1134" s="53" t="s">
        <v>504</v>
      </c>
      <c r="C1134" s="53" t="s">
        <v>513</v>
      </c>
      <c r="D1134" s="53" t="s">
        <v>8</v>
      </c>
      <c r="E1134" s="53" t="s">
        <v>150</v>
      </c>
      <c r="F1134" s="47">
        <v>21</v>
      </c>
      <c r="G1134" s="50">
        <v>38</v>
      </c>
      <c r="J1134" s="50">
        <v>1133</v>
      </c>
    </row>
    <row r="1135" spans="1:10" s="50" customFormat="1" x14ac:dyDescent="0.25">
      <c r="A1135" s="53">
        <v>49</v>
      </c>
      <c r="B1135" s="53" t="s">
        <v>504</v>
      </c>
      <c r="C1135" s="53" t="s">
        <v>513</v>
      </c>
      <c r="D1135" s="53" t="s">
        <v>8</v>
      </c>
      <c r="E1135" s="53" t="s">
        <v>150</v>
      </c>
      <c r="F1135" s="47">
        <v>22</v>
      </c>
      <c r="G1135" s="50">
        <v>71</v>
      </c>
      <c r="J1135" s="50">
        <v>1134</v>
      </c>
    </row>
    <row r="1136" spans="1:10" s="50" customFormat="1" x14ac:dyDescent="0.25">
      <c r="A1136" s="53">
        <v>49</v>
      </c>
      <c r="B1136" s="53" t="s">
        <v>504</v>
      </c>
      <c r="C1136" s="53" t="s">
        <v>513</v>
      </c>
      <c r="D1136" s="53" t="s">
        <v>8</v>
      </c>
      <c r="E1136" s="53" t="s">
        <v>150</v>
      </c>
      <c r="F1136" s="47">
        <v>23</v>
      </c>
      <c r="G1136" s="50">
        <v>56</v>
      </c>
      <c r="J1136" s="50">
        <v>1135</v>
      </c>
    </row>
    <row r="1137" spans="1:10" s="50" customFormat="1" ht="16.5" thickBot="1" x14ac:dyDescent="0.3">
      <c r="A1137" s="53">
        <v>49</v>
      </c>
      <c r="B1137" s="53" t="s">
        <v>504</v>
      </c>
      <c r="C1137" s="53" t="s">
        <v>513</v>
      </c>
      <c r="D1137" s="54" t="s">
        <v>8</v>
      </c>
      <c r="E1137" s="54" t="s">
        <v>150</v>
      </c>
      <c r="F1137" s="46">
        <v>24</v>
      </c>
      <c r="G1137" s="55">
        <v>53</v>
      </c>
      <c r="H1137" s="55">
        <v>1151</v>
      </c>
      <c r="I1137" s="55">
        <v>24</v>
      </c>
      <c r="J1137" s="50">
        <v>1136</v>
      </c>
    </row>
    <row r="1138" spans="1:10" s="50" customFormat="1" ht="16.5" thickTop="1" x14ac:dyDescent="0.25">
      <c r="A1138" s="53">
        <v>50</v>
      </c>
      <c r="B1138" s="53" t="s">
        <v>504</v>
      </c>
      <c r="C1138" s="53" t="s">
        <v>513</v>
      </c>
      <c r="D1138" s="53" t="s">
        <v>9</v>
      </c>
      <c r="E1138" s="53" t="s">
        <v>151</v>
      </c>
      <c r="F1138" s="47">
        <v>1</v>
      </c>
      <c r="G1138" s="50">
        <v>51</v>
      </c>
      <c r="J1138" s="50">
        <v>1137</v>
      </c>
    </row>
    <row r="1139" spans="1:10" s="50" customFormat="1" x14ac:dyDescent="0.25">
      <c r="A1139" s="53">
        <v>50</v>
      </c>
      <c r="B1139" s="53" t="s">
        <v>504</v>
      </c>
      <c r="C1139" s="53" t="s">
        <v>513</v>
      </c>
      <c r="D1139" s="53" t="s">
        <v>9</v>
      </c>
      <c r="E1139" s="53" t="s">
        <v>151</v>
      </c>
      <c r="F1139" s="47">
        <v>2</v>
      </c>
      <c r="G1139" s="50">
        <v>25</v>
      </c>
      <c r="J1139" s="50">
        <v>1138</v>
      </c>
    </row>
    <row r="1140" spans="1:10" s="50" customFormat="1" x14ac:dyDescent="0.25">
      <c r="A1140" s="53">
        <v>50</v>
      </c>
      <c r="B1140" s="53" t="s">
        <v>504</v>
      </c>
      <c r="C1140" s="53" t="s">
        <v>513</v>
      </c>
      <c r="D1140" s="53" t="s">
        <v>9</v>
      </c>
      <c r="E1140" s="53" t="s">
        <v>151</v>
      </c>
      <c r="F1140" s="47">
        <v>3</v>
      </c>
      <c r="G1140" s="50">
        <v>36</v>
      </c>
      <c r="J1140" s="50">
        <v>1139</v>
      </c>
    </row>
    <row r="1141" spans="1:10" s="50" customFormat="1" x14ac:dyDescent="0.25">
      <c r="A1141" s="53">
        <v>50</v>
      </c>
      <c r="B1141" s="53" t="s">
        <v>504</v>
      </c>
      <c r="C1141" s="53" t="s">
        <v>513</v>
      </c>
      <c r="D1141" s="53" t="s">
        <v>9</v>
      </c>
      <c r="E1141" s="53" t="s">
        <v>151</v>
      </c>
      <c r="F1141" s="47">
        <v>4</v>
      </c>
      <c r="G1141" s="50">
        <v>54</v>
      </c>
      <c r="J1141" s="50">
        <v>1140</v>
      </c>
    </row>
    <row r="1142" spans="1:10" s="50" customFormat="1" x14ac:dyDescent="0.25">
      <c r="A1142" s="53">
        <v>50</v>
      </c>
      <c r="B1142" s="53" t="s">
        <v>504</v>
      </c>
      <c r="C1142" s="53" t="s">
        <v>513</v>
      </c>
      <c r="D1142" s="53" t="s">
        <v>9</v>
      </c>
      <c r="E1142" s="53" t="s">
        <v>151</v>
      </c>
      <c r="F1142" s="47">
        <v>5</v>
      </c>
      <c r="G1142" s="50">
        <v>47</v>
      </c>
      <c r="J1142" s="50">
        <v>1141</v>
      </c>
    </row>
    <row r="1143" spans="1:10" s="50" customFormat="1" x14ac:dyDescent="0.25">
      <c r="A1143" s="53">
        <v>50</v>
      </c>
      <c r="B1143" s="53" t="s">
        <v>504</v>
      </c>
      <c r="C1143" s="53" t="s">
        <v>513</v>
      </c>
      <c r="D1143" s="53" t="s">
        <v>9</v>
      </c>
      <c r="E1143" s="53" t="s">
        <v>151</v>
      </c>
      <c r="F1143" s="47">
        <v>6</v>
      </c>
      <c r="G1143" s="50">
        <v>71</v>
      </c>
      <c r="J1143" s="50">
        <v>1142</v>
      </c>
    </row>
    <row r="1144" spans="1:10" s="50" customFormat="1" x14ac:dyDescent="0.25">
      <c r="A1144" s="53">
        <v>50</v>
      </c>
      <c r="B1144" s="53" t="s">
        <v>504</v>
      </c>
      <c r="C1144" s="53" t="s">
        <v>513</v>
      </c>
      <c r="D1144" s="53" t="s">
        <v>9</v>
      </c>
      <c r="E1144" s="53" t="s">
        <v>151</v>
      </c>
      <c r="F1144" s="47">
        <v>7</v>
      </c>
      <c r="G1144" s="50">
        <v>53</v>
      </c>
      <c r="J1144" s="50">
        <v>1143</v>
      </c>
    </row>
    <row r="1145" spans="1:10" s="50" customFormat="1" x14ac:dyDescent="0.25">
      <c r="A1145" s="53">
        <v>50</v>
      </c>
      <c r="B1145" s="53" t="s">
        <v>504</v>
      </c>
      <c r="C1145" s="53" t="s">
        <v>513</v>
      </c>
      <c r="D1145" s="53" t="s">
        <v>9</v>
      </c>
      <c r="E1145" s="53" t="s">
        <v>151</v>
      </c>
      <c r="F1145" s="47">
        <v>8</v>
      </c>
      <c r="G1145" s="50">
        <v>59</v>
      </c>
      <c r="J1145" s="50">
        <v>1144</v>
      </c>
    </row>
    <row r="1146" spans="1:10" s="50" customFormat="1" x14ac:dyDescent="0.25">
      <c r="A1146" s="53">
        <v>50</v>
      </c>
      <c r="B1146" s="53" t="s">
        <v>504</v>
      </c>
      <c r="C1146" s="53" t="s">
        <v>513</v>
      </c>
      <c r="D1146" s="53" t="s">
        <v>9</v>
      </c>
      <c r="E1146" s="53" t="s">
        <v>151</v>
      </c>
      <c r="F1146" s="47">
        <v>9</v>
      </c>
      <c r="G1146" s="50">
        <v>41</v>
      </c>
      <c r="J1146" s="50">
        <v>1145</v>
      </c>
    </row>
    <row r="1147" spans="1:10" s="50" customFormat="1" x14ac:dyDescent="0.25">
      <c r="A1147" s="53">
        <v>50</v>
      </c>
      <c r="B1147" s="53" t="s">
        <v>504</v>
      </c>
      <c r="C1147" s="53" t="s">
        <v>513</v>
      </c>
      <c r="D1147" s="53" t="s">
        <v>9</v>
      </c>
      <c r="E1147" s="53" t="s">
        <v>151</v>
      </c>
      <c r="F1147" s="47">
        <v>10</v>
      </c>
      <c r="G1147" s="50">
        <v>42</v>
      </c>
      <c r="J1147" s="50">
        <v>1146</v>
      </c>
    </row>
    <row r="1148" spans="1:10" s="50" customFormat="1" x14ac:dyDescent="0.25">
      <c r="A1148" s="53">
        <v>50</v>
      </c>
      <c r="B1148" s="53" t="s">
        <v>504</v>
      </c>
      <c r="C1148" s="53" t="s">
        <v>513</v>
      </c>
      <c r="D1148" s="53" t="s">
        <v>9</v>
      </c>
      <c r="E1148" s="53" t="s">
        <v>151</v>
      </c>
      <c r="F1148" s="47">
        <v>11</v>
      </c>
      <c r="G1148" s="50">
        <v>57</v>
      </c>
      <c r="J1148" s="50">
        <v>1147</v>
      </c>
    </row>
    <row r="1149" spans="1:10" s="50" customFormat="1" x14ac:dyDescent="0.25">
      <c r="A1149" s="53">
        <v>50</v>
      </c>
      <c r="B1149" s="53" t="s">
        <v>504</v>
      </c>
      <c r="C1149" s="53" t="s">
        <v>513</v>
      </c>
      <c r="D1149" s="53" t="s">
        <v>9</v>
      </c>
      <c r="E1149" s="53" t="s">
        <v>151</v>
      </c>
      <c r="F1149" s="47">
        <v>12</v>
      </c>
      <c r="G1149" s="50">
        <v>50</v>
      </c>
      <c r="J1149" s="50">
        <v>1148</v>
      </c>
    </row>
    <row r="1150" spans="1:10" s="50" customFormat="1" x14ac:dyDescent="0.25">
      <c r="A1150" s="53">
        <v>50</v>
      </c>
      <c r="B1150" s="53" t="s">
        <v>504</v>
      </c>
      <c r="C1150" s="53" t="s">
        <v>513</v>
      </c>
      <c r="D1150" s="53" t="s">
        <v>9</v>
      </c>
      <c r="E1150" s="53" t="s">
        <v>151</v>
      </c>
      <c r="F1150" s="47">
        <v>13</v>
      </c>
      <c r="G1150" s="50">
        <v>38</v>
      </c>
      <c r="J1150" s="50">
        <v>1149</v>
      </c>
    </row>
    <row r="1151" spans="1:10" s="50" customFormat="1" x14ac:dyDescent="0.25">
      <c r="A1151" s="53">
        <v>50</v>
      </c>
      <c r="B1151" s="53" t="s">
        <v>504</v>
      </c>
      <c r="C1151" s="53" t="s">
        <v>513</v>
      </c>
      <c r="D1151" s="53" t="s">
        <v>9</v>
      </c>
      <c r="E1151" s="53" t="s">
        <v>151</v>
      </c>
      <c r="F1151" s="47">
        <v>14</v>
      </c>
      <c r="G1151" s="50">
        <v>31</v>
      </c>
      <c r="J1151" s="50">
        <v>1150</v>
      </c>
    </row>
    <row r="1152" spans="1:10" s="50" customFormat="1" x14ac:dyDescent="0.25">
      <c r="A1152" s="53">
        <v>50</v>
      </c>
      <c r="B1152" s="53" t="s">
        <v>504</v>
      </c>
      <c r="C1152" s="53" t="s">
        <v>513</v>
      </c>
      <c r="D1152" s="53" t="s">
        <v>9</v>
      </c>
      <c r="E1152" s="53" t="s">
        <v>151</v>
      </c>
      <c r="F1152" s="47">
        <v>15</v>
      </c>
      <c r="G1152" s="50">
        <v>27</v>
      </c>
      <c r="J1152" s="50">
        <v>1151</v>
      </c>
    </row>
    <row r="1153" spans="1:13" s="50" customFormat="1" x14ac:dyDescent="0.25">
      <c r="A1153" s="53">
        <v>50</v>
      </c>
      <c r="B1153" s="53" t="s">
        <v>504</v>
      </c>
      <c r="C1153" s="53" t="s">
        <v>513</v>
      </c>
      <c r="D1153" s="53" t="s">
        <v>9</v>
      </c>
      <c r="E1153" s="53" t="s">
        <v>151</v>
      </c>
      <c r="F1153" s="47">
        <v>16</v>
      </c>
      <c r="G1153" s="50">
        <v>33</v>
      </c>
      <c r="J1153" s="50">
        <v>1152</v>
      </c>
    </row>
    <row r="1154" spans="1:13" s="50" customFormat="1" x14ac:dyDescent="0.25">
      <c r="A1154" s="53">
        <v>50</v>
      </c>
      <c r="B1154" s="53" t="s">
        <v>504</v>
      </c>
      <c r="C1154" s="53" t="s">
        <v>513</v>
      </c>
      <c r="D1154" s="53" t="s">
        <v>9</v>
      </c>
      <c r="E1154" s="53" t="s">
        <v>151</v>
      </c>
      <c r="F1154" s="47">
        <v>17</v>
      </c>
      <c r="G1154" s="50">
        <v>26</v>
      </c>
      <c r="J1154" s="50">
        <v>1153</v>
      </c>
    </row>
    <row r="1155" spans="1:13" s="50" customFormat="1" x14ac:dyDescent="0.25">
      <c r="A1155" s="53">
        <v>50</v>
      </c>
      <c r="B1155" s="53" t="s">
        <v>504</v>
      </c>
      <c r="C1155" s="53" t="s">
        <v>513</v>
      </c>
      <c r="D1155" s="53" t="s">
        <v>9</v>
      </c>
      <c r="E1155" s="53" t="s">
        <v>151</v>
      </c>
      <c r="F1155" s="47">
        <v>18</v>
      </c>
      <c r="G1155" s="50">
        <v>40</v>
      </c>
      <c r="J1155" s="50">
        <v>1154</v>
      </c>
    </row>
    <row r="1156" spans="1:13" s="50" customFormat="1" x14ac:dyDescent="0.25">
      <c r="A1156" s="53">
        <v>50</v>
      </c>
      <c r="B1156" s="53" t="s">
        <v>504</v>
      </c>
      <c r="C1156" s="53" t="s">
        <v>513</v>
      </c>
      <c r="D1156" s="53" t="s">
        <v>9</v>
      </c>
      <c r="E1156" s="53" t="s">
        <v>151</v>
      </c>
      <c r="F1156" s="47">
        <v>19</v>
      </c>
      <c r="G1156" s="50">
        <v>42</v>
      </c>
      <c r="J1156" s="50">
        <v>1155</v>
      </c>
    </row>
    <row r="1157" spans="1:13" s="50" customFormat="1" x14ac:dyDescent="0.25">
      <c r="A1157" s="53">
        <v>50</v>
      </c>
      <c r="B1157" s="53" t="s">
        <v>504</v>
      </c>
      <c r="C1157" s="53" t="s">
        <v>513</v>
      </c>
      <c r="D1157" s="53" t="s">
        <v>9</v>
      </c>
      <c r="E1157" s="53" t="s">
        <v>151</v>
      </c>
      <c r="F1157" s="47">
        <v>20</v>
      </c>
      <c r="G1157" s="50">
        <v>31</v>
      </c>
      <c r="J1157" s="50">
        <v>1156</v>
      </c>
    </row>
    <row r="1158" spans="1:13" s="50" customFormat="1" ht="16.5" thickBot="1" x14ac:dyDescent="0.3">
      <c r="A1158" s="53">
        <v>50</v>
      </c>
      <c r="B1158" s="53" t="s">
        <v>504</v>
      </c>
      <c r="C1158" s="53" t="s">
        <v>513</v>
      </c>
      <c r="D1158" s="54" t="s">
        <v>9</v>
      </c>
      <c r="E1158" s="54" t="s">
        <v>151</v>
      </c>
      <c r="F1158" s="46">
        <v>21</v>
      </c>
      <c r="G1158" s="55">
        <v>25</v>
      </c>
      <c r="H1158" s="55">
        <v>879</v>
      </c>
      <c r="I1158" s="55">
        <v>21</v>
      </c>
      <c r="J1158" s="50">
        <v>1157</v>
      </c>
    </row>
    <row r="1159" spans="1:13" s="50" customFormat="1" ht="16.5" thickTop="1" x14ac:dyDescent="0.25">
      <c r="A1159" s="53">
        <v>51</v>
      </c>
      <c r="B1159" s="53" t="s">
        <v>504</v>
      </c>
      <c r="C1159" s="53" t="s">
        <v>514</v>
      </c>
      <c r="D1159" s="53" t="s">
        <v>10</v>
      </c>
      <c r="E1159" s="53" t="s">
        <v>6</v>
      </c>
      <c r="F1159" s="47">
        <v>1</v>
      </c>
      <c r="G1159" s="50">
        <v>25</v>
      </c>
      <c r="J1159" s="50">
        <v>1158</v>
      </c>
    </row>
    <row r="1160" spans="1:13" s="50" customFormat="1" x14ac:dyDescent="0.25">
      <c r="A1160" s="53">
        <v>51</v>
      </c>
      <c r="B1160" s="53" t="s">
        <v>504</v>
      </c>
      <c r="C1160" s="53" t="s">
        <v>514</v>
      </c>
      <c r="D1160" s="53" t="s">
        <v>10</v>
      </c>
      <c r="E1160" s="53" t="s">
        <v>6</v>
      </c>
      <c r="F1160" s="47">
        <v>2</v>
      </c>
      <c r="G1160" s="50">
        <v>47</v>
      </c>
      <c r="J1160" s="50">
        <v>1159</v>
      </c>
      <c r="M1160" s="50" t="s">
        <v>876</v>
      </c>
    </row>
    <row r="1161" spans="1:13" s="50" customFormat="1" x14ac:dyDescent="0.25">
      <c r="A1161" s="53">
        <v>51</v>
      </c>
      <c r="B1161" s="53" t="s">
        <v>504</v>
      </c>
      <c r="C1161" s="53" t="s">
        <v>514</v>
      </c>
      <c r="D1161" s="53" t="s">
        <v>10</v>
      </c>
      <c r="E1161" s="53" t="s">
        <v>6</v>
      </c>
      <c r="F1161" s="47">
        <v>3</v>
      </c>
      <c r="G1161" s="50">
        <v>26</v>
      </c>
      <c r="J1161" s="50">
        <v>1160</v>
      </c>
    </row>
    <row r="1162" spans="1:13" s="50" customFormat="1" x14ac:dyDescent="0.25">
      <c r="A1162" s="53">
        <v>51</v>
      </c>
      <c r="B1162" s="53" t="s">
        <v>504</v>
      </c>
      <c r="C1162" s="53" t="s">
        <v>514</v>
      </c>
      <c r="D1162" s="53" t="s">
        <v>10</v>
      </c>
      <c r="E1162" s="53" t="s">
        <v>6</v>
      </c>
      <c r="F1162" s="47">
        <v>4</v>
      </c>
      <c r="G1162" s="50">
        <v>37</v>
      </c>
      <c r="J1162" s="50">
        <v>1161</v>
      </c>
    </row>
    <row r="1163" spans="1:13" s="50" customFormat="1" x14ac:dyDescent="0.25">
      <c r="A1163" s="53">
        <v>51</v>
      </c>
      <c r="B1163" s="53" t="s">
        <v>504</v>
      </c>
      <c r="C1163" s="53" t="s">
        <v>514</v>
      </c>
      <c r="D1163" s="53" t="s">
        <v>10</v>
      </c>
      <c r="E1163" s="53" t="s">
        <v>6</v>
      </c>
      <c r="F1163" s="47">
        <v>5</v>
      </c>
      <c r="G1163" s="50">
        <v>42</v>
      </c>
      <c r="J1163" s="50">
        <v>1162</v>
      </c>
    </row>
    <row r="1164" spans="1:13" s="50" customFormat="1" x14ac:dyDescent="0.25">
      <c r="A1164" s="53">
        <v>51</v>
      </c>
      <c r="B1164" s="53" t="s">
        <v>504</v>
      </c>
      <c r="C1164" s="53" t="s">
        <v>514</v>
      </c>
      <c r="D1164" s="53" t="s">
        <v>10</v>
      </c>
      <c r="E1164" s="53" t="s">
        <v>6</v>
      </c>
      <c r="F1164" s="47">
        <v>6</v>
      </c>
      <c r="G1164" s="50">
        <v>15</v>
      </c>
      <c r="J1164" s="50">
        <v>1163</v>
      </c>
    </row>
    <row r="1165" spans="1:13" s="50" customFormat="1" x14ac:dyDescent="0.25">
      <c r="A1165" s="53">
        <v>51</v>
      </c>
      <c r="B1165" s="53" t="s">
        <v>504</v>
      </c>
      <c r="C1165" s="53" t="s">
        <v>514</v>
      </c>
      <c r="D1165" s="53" t="s">
        <v>10</v>
      </c>
      <c r="E1165" s="53" t="s">
        <v>6</v>
      </c>
      <c r="F1165" s="47">
        <v>7</v>
      </c>
      <c r="G1165" s="50">
        <v>60</v>
      </c>
      <c r="J1165" s="50">
        <v>1164</v>
      </c>
    </row>
    <row r="1166" spans="1:13" s="50" customFormat="1" x14ac:dyDescent="0.25">
      <c r="A1166" s="53">
        <v>51</v>
      </c>
      <c r="B1166" s="53" t="s">
        <v>504</v>
      </c>
      <c r="C1166" s="53" t="s">
        <v>514</v>
      </c>
      <c r="D1166" s="53" t="s">
        <v>10</v>
      </c>
      <c r="E1166" s="53" t="s">
        <v>6</v>
      </c>
      <c r="F1166" s="47">
        <v>8</v>
      </c>
      <c r="G1166" s="50">
        <v>40</v>
      </c>
      <c r="J1166" s="50">
        <v>1165</v>
      </c>
    </row>
    <row r="1167" spans="1:13" s="50" customFormat="1" x14ac:dyDescent="0.25">
      <c r="A1167" s="53">
        <v>51</v>
      </c>
      <c r="B1167" s="53" t="s">
        <v>504</v>
      </c>
      <c r="C1167" s="53" t="s">
        <v>514</v>
      </c>
      <c r="D1167" s="53" t="s">
        <v>10</v>
      </c>
      <c r="E1167" s="53" t="s">
        <v>6</v>
      </c>
      <c r="F1167" s="47">
        <v>9</v>
      </c>
      <c r="G1167" s="50">
        <v>43</v>
      </c>
      <c r="J1167" s="50">
        <v>1166</v>
      </c>
    </row>
    <row r="1168" spans="1:13" s="50" customFormat="1" x14ac:dyDescent="0.25">
      <c r="A1168" s="53">
        <v>51</v>
      </c>
      <c r="B1168" s="53" t="s">
        <v>504</v>
      </c>
      <c r="C1168" s="53" t="s">
        <v>514</v>
      </c>
      <c r="D1168" s="53" t="s">
        <v>10</v>
      </c>
      <c r="E1168" s="53" t="s">
        <v>6</v>
      </c>
      <c r="F1168" s="47">
        <v>10</v>
      </c>
      <c r="G1168" s="50">
        <v>48</v>
      </c>
      <c r="J1168" s="50">
        <v>1167</v>
      </c>
    </row>
    <row r="1169" spans="1:13" s="50" customFormat="1" x14ac:dyDescent="0.25">
      <c r="A1169" s="53">
        <v>51</v>
      </c>
      <c r="B1169" s="53" t="s">
        <v>504</v>
      </c>
      <c r="C1169" s="53" t="s">
        <v>514</v>
      </c>
      <c r="D1169" s="53" t="s">
        <v>10</v>
      </c>
      <c r="E1169" s="53" t="s">
        <v>6</v>
      </c>
      <c r="F1169" s="47">
        <v>11</v>
      </c>
      <c r="G1169" s="50">
        <v>30</v>
      </c>
      <c r="J1169" s="50">
        <v>1168</v>
      </c>
    </row>
    <row r="1170" spans="1:13" s="50" customFormat="1" x14ac:dyDescent="0.25">
      <c r="A1170" s="53">
        <v>51</v>
      </c>
      <c r="B1170" s="53" t="s">
        <v>504</v>
      </c>
      <c r="C1170" s="53" t="s">
        <v>514</v>
      </c>
      <c r="D1170" s="53" t="s">
        <v>10</v>
      </c>
      <c r="E1170" s="53" t="s">
        <v>6</v>
      </c>
      <c r="F1170" s="47">
        <v>12</v>
      </c>
      <c r="G1170" s="50">
        <v>25</v>
      </c>
      <c r="J1170" s="50">
        <v>1169</v>
      </c>
    </row>
    <row r="1171" spans="1:13" s="50" customFormat="1" x14ac:dyDescent="0.25">
      <c r="A1171" s="53">
        <v>51</v>
      </c>
      <c r="B1171" s="53" t="s">
        <v>504</v>
      </c>
      <c r="C1171" s="53" t="s">
        <v>514</v>
      </c>
      <c r="D1171" s="53" t="s">
        <v>10</v>
      </c>
      <c r="E1171" s="53" t="s">
        <v>6</v>
      </c>
      <c r="F1171" s="47">
        <v>13</v>
      </c>
      <c r="G1171" s="50">
        <v>52</v>
      </c>
      <c r="J1171" s="50">
        <v>1170</v>
      </c>
    </row>
    <row r="1172" spans="1:13" s="50" customFormat="1" x14ac:dyDescent="0.25">
      <c r="A1172" s="53">
        <v>51</v>
      </c>
      <c r="B1172" s="53" t="s">
        <v>504</v>
      </c>
      <c r="C1172" s="53" t="s">
        <v>514</v>
      </c>
      <c r="D1172" s="53" t="s">
        <v>10</v>
      </c>
      <c r="E1172" s="53" t="s">
        <v>6</v>
      </c>
      <c r="F1172" s="47">
        <v>14</v>
      </c>
      <c r="G1172" s="50">
        <v>28</v>
      </c>
      <c r="J1172" s="50">
        <v>1171</v>
      </c>
    </row>
    <row r="1173" spans="1:13" s="50" customFormat="1" x14ac:dyDescent="0.25">
      <c r="A1173" s="53">
        <v>51</v>
      </c>
      <c r="B1173" s="53" t="s">
        <v>504</v>
      </c>
      <c r="C1173" s="53" t="s">
        <v>514</v>
      </c>
      <c r="D1173" s="53" t="s">
        <v>10</v>
      </c>
      <c r="E1173" s="53" t="s">
        <v>6</v>
      </c>
      <c r="F1173" s="47">
        <v>15</v>
      </c>
      <c r="G1173" s="50">
        <v>41</v>
      </c>
      <c r="J1173" s="50">
        <v>1172</v>
      </c>
    </row>
    <row r="1174" spans="1:13" s="50" customFormat="1" x14ac:dyDescent="0.25">
      <c r="A1174" s="53">
        <v>51</v>
      </c>
      <c r="B1174" s="53" t="s">
        <v>504</v>
      </c>
      <c r="C1174" s="53" t="s">
        <v>514</v>
      </c>
      <c r="D1174" s="53" t="s">
        <v>10</v>
      </c>
      <c r="E1174" s="53" t="s">
        <v>6</v>
      </c>
      <c r="F1174" s="47">
        <v>16</v>
      </c>
      <c r="G1174" s="50">
        <v>40</v>
      </c>
      <c r="J1174" s="50">
        <v>1173</v>
      </c>
    </row>
    <row r="1175" spans="1:13" s="50" customFormat="1" x14ac:dyDescent="0.25">
      <c r="A1175" s="53">
        <v>51</v>
      </c>
      <c r="B1175" s="53" t="s">
        <v>504</v>
      </c>
      <c r="C1175" s="53" t="s">
        <v>514</v>
      </c>
      <c r="D1175" s="53" t="s">
        <v>10</v>
      </c>
      <c r="E1175" s="53" t="s">
        <v>6</v>
      </c>
      <c r="F1175" s="47">
        <v>17</v>
      </c>
      <c r="G1175" s="50">
        <v>34</v>
      </c>
      <c r="J1175" s="50">
        <v>1174</v>
      </c>
    </row>
    <row r="1176" spans="1:13" s="50" customFormat="1" x14ac:dyDescent="0.25">
      <c r="A1176" s="53">
        <v>51</v>
      </c>
      <c r="B1176" s="53" t="s">
        <v>504</v>
      </c>
      <c r="C1176" s="53" t="s">
        <v>514</v>
      </c>
      <c r="D1176" s="53" t="s">
        <v>10</v>
      </c>
      <c r="E1176" s="53" t="s">
        <v>6</v>
      </c>
      <c r="F1176" s="47">
        <v>18</v>
      </c>
      <c r="G1176" s="50">
        <v>28</v>
      </c>
      <c r="J1176" s="50">
        <v>1175</v>
      </c>
    </row>
    <row r="1177" spans="1:13" s="50" customFormat="1" x14ac:dyDescent="0.25">
      <c r="A1177" s="53">
        <v>51</v>
      </c>
      <c r="B1177" s="53" t="s">
        <v>504</v>
      </c>
      <c r="C1177" s="53" t="s">
        <v>514</v>
      </c>
      <c r="D1177" s="53" t="s">
        <v>10</v>
      </c>
      <c r="E1177" s="53" t="s">
        <v>6</v>
      </c>
      <c r="F1177" s="47">
        <v>19</v>
      </c>
      <c r="G1177" s="50">
        <v>40</v>
      </c>
      <c r="J1177" s="50">
        <v>1176</v>
      </c>
      <c r="M1177" s="50" t="s">
        <v>878</v>
      </c>
    </row>
    <row r="1178" spans="1:13" s="50" customFormat="1" x14ac:dyDescent="0.25">
      <c r="A1178" s="53">
        <v>51</v>
      </c>
      <c r="B1178" s="53" t="s">
        <v>504</v>
      </c>
      <c r="C1178" s="53" t="s">
        <v>514</v>
      </c>
      <c r="D1178" s="53" t="s">
        <v>10</v>
      </c>
      <c r="E1178" s="53" t="s">
        <v>6</v>
      </c>
      <c r="F1178" s="47">
        <v>20</v>
      </c>
      <c r="G1178" s="50">
        <v>38</v>
      </c>
      <c r="J1178" s="50">
        <v>1177</v>
      </c>
    </row>
    <row r="1179" spans="1:13" s="50" customFormat="1" x14ac:dyDescent="0.25">
      <c r="A1179" s="53">
        <v>51</v>
      </c>
      <c r="B1179" s="53" t="s">
        <v>504</v>
      </c>
      <c r="C1179" s="53" t="s">
        <v>514</v>
      </c>
      <c r="D1179" s="53" t="s">
        <v>10</v>
      </c>
      <c r="E1179" s="53" t="s">
        <v>6</v>
      </c>
      <c r="F1179" s="47">
        <v>21</v>
      </c>
      <c r="G1179" s="50">
        <v>40</v>
      </c>
      <c r="J1179" s="50">
        <v>1178</v>
      </c>
    </row>
    <row r="1180" spans="1:13" s="50" customFormat="1" x14ac:dyDescent="0.25">
      <c r="A1180" s="53">
        <v>51</v>
      </c>
      <c r="B1180" s="53" t="s">
        <v>504</v>
      </c>
      <c r="C1180" s="53" t="s">
        <v>514</v>
      </c>
      <c r="D1180" s="53" t="s">
        <v>10</v>
      </c>
      <c r="E1180" s="53" t="s">
        <v>6</v>
      </c>
      <c r="F1180" s="47">
        <v>22</v>
      </c>
      <c r="G1180" s="50">
        <v>30</v>
      </c>
      <c r="J1180" s="50">
        <v>1179</v>
      </c>
    </row>
    <row r="1181" spans="1:13" s="50" customFormat="1" x14ac:dyDescent="0.25">
      <c r="A1181" s="53">
        <v>51</v>
      </c>
      <c r="B1181" s="53" t="s">
        <v>504</v>
      </c>
      <c r="C1181" s="53" t="s">
        <v>514</v>
      </c>
      <c r="D1181" s="53" t="s">
        <v>10</v>
      </c>
      <c r="E1181" s="53" t="s">
        <v>6</v>
      </c>
      <c r="F1181" s="47">
        <v>23</v>
      </c>
      <c r="G1181" s="50">
        <v>35</v>
      </c>
      <c r="J1181" s="50">
        <v>1180</v>
      </c>
    </row>
    <row r="1182" spans="1:13" s="50" customFormat="1" x14ac:dyDescent="0.25">
      <c r="A1182" s="53">
        <v>51</v>
      </c>
      <c r="B1182" s="53" t="s">
        <v>504</v>
      </c>
      <c r="C1182" s="53" t="s">
        <v>514</v>
      </c>
      <c r="D1182" s="53" t="s">
        <v>10</v>
      </c>
      <c r="E1182" s="53" t="s">
        <v>6</v>
      </c>
      <c r="F1182" s="47">
        <v>24</v>
      </c>
      <c r="G1182" s="50">
        <v>27</v>
      </c>
      <c r="J1182" s="50">
        <v>1181</v>
      </c>
    </row>
    <row r="1183" spans="1:13" s="50" customFormat="1" x14ac:dyDescent="0.25">
      <c r="A1183" s="53">
        <v>51</v>
      </c>
      <c r="B1183" s="53" t="s">
        <v>504</v>
      </c>
      <c r="C1183" s="53" t="s">
        <v>514</v>
      </c>
      <c r="D1183" s="53" t="s">
        <v>10</v>
      </c>
      <c r="E1183" s="53" t="s">
        <v>6</v>
      </c>
      <c r="F1183" s="47">
        <v>25</v>
      </c>
      <c r="G1183" s="50">
        <v>27</v>
      </c>
      <c r="J1183" s="50">
        <v>1182</v>
      </c>
    </row>
    <row r="1184" spans="1:13" s="50" customFormat="1" x14ac:dyDescent="0.25">
      <c r="A1184" s="53">
        <v>51</v>
      </c>
      <c r="B1184" s="53" t="s">
        <v>504</v>
      </c>
      <c r="C1184" s="53" t="s">
        <v>514</v>
      </c>
      <c r="D1184" s="53" t="s">
        <v>10</v>
      </c>
      <c r="E1184" s="53" t="s">
        <v>6</v>
      </c>
      <c r="F1184" s="47">
        <v>26</v>
      </c>
      <c r="G1184" s="50">
        <v>32</v>
      </c>
      <c r="J1184" s="50">
        <v>1183</v>
      </c>
    </row>
    <row r="1185" spans="1:10" s="50" customFormat="1" x14ac:dyDescent="0.25">
      <c r="A1185" s="53">
        <v>51</v>
      </c>
      <c r="B1185" s="53" t="s">
        <v>504</v>
      </c>
      <c r="C1185" s="53" t="s">
        <v>514</v>
      </c>
      <c r="D1185" s="53" t="s">
        <v>10</v>
      </c>
      <c r="E1185" s="53" t="s">
        <v>6</v>
      </c>
      <c r="F1185" s="47">
        <v>27</v>
      </c>
      <c r="G1185" s="50">
        <v>44</v>
      </c>
      <c r="J1185" s="50">
        <v>1184</v>
      </c>
    </row>
    <row r="1186" spans="1:10" s="50" customFormat="1" ht="16.5" thickBot="1" x14ac:dyDescent="0.3">
      <c r="A1186" s="53">
        <v>51</v>
      </c>
      <c r="B1186" s="53" t="s">
        <v>504</v>
      </c>
      <c r="C1186" s="53" t="s">
        <v>514</v>
      </c>
      <c r="D1186" s="54" t="s">
        <v>10</v>
      </c>
      <c r="E1186" s="54" t="s">
        <v>6</v>
      </c>
      <c r="F1186" s="46">
        <v>28</v>
      </c>
      <c r="G1186" s="55">
        <v>31</v>
      </c>
      <c r="H1186" s="55">
        <v>1005</v>
      </c>
      <c r="I1186" s="55">
        <v>28</v>
      </c>
      <c r="J1186" s="50">
        <v>1185</v>
      </c>
    </row>
    <row r="1187" spans="1:10" s="50" customFormat="1" ht="32.25" thickTop="1" x14ac:dyDescent="0.25">
      <c r="A1187" s="53">
        <v>52</v>
      </c>
      <c r="B1187" s="53" t="s">
        <v>504</v>
      </c>
      <c r="C1187" s="53" t="s">
        <v>515</v>
      </c>
      <c r="D1187" s="53" t="s">
        <v>11</v>
      </c>
      <c r="E1187" s="53" t="s">
        <v>12</v>
      </c>
      <c r="F1187" s="47">
        <v>1</v>
      </c>
      <c r="G1187" s="50">
        <v>32</v>
      </c>
      <c r="J1187" s="50">
        <v>1186</v>
      </c>
    </row>
    <row r="1188" spans="1:10" s="50" customFormat="1" ht="31.5" x14ac:dyDescent="0.25">
      <c r="A1188" s="53">
        <v>52</v>
      </c>
      <c r="B1188" s="53" t="s">
        <v>504</v>
      </c>
      <c r="C1188" s="53" t="s">
        <v>515</v>
      </c>
      <c r="D1188" s="53" t="s">
        <v>11</v>
      </c>
      <c r="E1188" s="53" t="s">
        <v>12</v>
      </c>
      <c r="F1188" s="47">
        <v>2</v>
      </c>
      <c r="G1188" s="50">
        <v>29</v>
      </c>
      <c r="J1188" s="50">
        <v>1187</v>
      </c>
    </row>
    <row r="1189" spans="1:10" s="50" customFormat="1" ht="31.5" x14ac:dyDescent="0.25">
      <c r="A1189" s="53">
        <v>52</v>
      </c>
      <c r="B1189" s="53" t="s">
        <v>504</v>
      </c>
      <c r="C1189" s="53" t="s">
        <v>515</v>
      </c>
      <c r="D1189" s="53" t="s">
        <v>11</v>
      </c>
      <c r="E1189" s="53" t="s">
        <v>12</v>
      </c>
      <c r="F1189" s="47">
        <v>3</v>
      </c>
      <c r="G1189" s="50">
        <v>31</v>
      </c>
      <c r="J1189" s="50">
        <v>1188</v>
      </c>
    </row>
    <row r="1190" spans="1:10" s="50" customFormat="1" ht="31.5" x14ac:dyDescent="0.25">
      <c r="A1190" s="53">
        <v>52</v>
      </c>
      <c r="B1190" s="53" t="s">
        <v>504</v>
      </c>
      <c r="C1190" s="53" t="s">
        <v>515</v>
      </c>
      <c r="D1190" s="53" t="s">
        <v>11</v>
      </c>
      <c r="E1190" s="53" t="s">
        <v>12</v>
      </c>
      <c r="F1190" s="47">
        <v>4</v>
      </c>
      <c r="G1190" s="50">
        <v>25</v>
      </c>
      <c r="J1190" s="50">
        <v>1189</v>
      </c>
    </row>
    <row r="1191" spans="1:10" s="50" customFormat="1" ht="31.5" x14ac:dyDescent="0.25">
      <c r="A1191" s="53">
        <v>52</v>
      </c>
      <c r="B1191" s="53" t="s">
        <v>504</v>
      </c>
      <c r="C1191" s="53" t="s">
        <v>515</v>
      </c>
      <c r="D1191" s="53" t="s">
        <v>11</v>
      </c>
      <c r="E1191" s="53" t="s">
        <v>12</v>
      </c>
      <c r="F1191" s="47">
        <v>5</v>
      </c>
      <c r="G1191" s="50">
        <v>21</v>
      </c>
      <c r="J1191" s="50">
        <v>1190</v>
      </c>
    </row>
    <row r="1192" spans="1:10" s="50" customFormat="1" ht="31.5" x14ac:dyDescent="0.25">
      <c r="A1192" s="53">
        <v>52</v>
      </c>
      <c r="B1192" s="53" t="s">
        <v>504</v>
      </c>
      <c r="C1192" s="53" t="s">
        <v>515</v>
      </c>
      <c r="D1192" s="53" t="s">
        <v>11</v>
      </c>
      <c r="E1192" s="53" t="s">
        <v>12</v>
      </c>
      <c r="F1192" s="47">
        <v>6</v>
      </c>
      <c r="G1192" s="50">
        <v>23</v>
      </c>
      <c r="J1192" s="50">
        <v>1191</v>
      </c>
    </row>
    <row r="1193" spans="1:10" s="50" customFormat="1" ht="31.5" x14ac:dyDescent="0.25">
      <c r="A1193" s="53">
        <v>52</v>
      </c>
      <c r="B1193" s="53" t="s">
        <v>504</v>
      </c>
      <c r="C1193" s="53" t="s">
        <v>515</v>
      </c>
      <c r="D1193" s="53" t="s">
        <v>11</v>
      </c>
      <c r="E1193" s="53" t="s">
        <v>12</v>
      </c>
      <c r="F1193" s="47">
        <v>7</v>
      </c>
      <c r="G1193" s="50">
        <v>25</v>
      </c>
      <c r="J1193" s="50">
        <v>1192</v>
      </c>
    </row>
    <row r="1194" spans="1:10" s="50" customFormat="1" ht="31.5" x14ac:dyDescent="0.25">
      <c r="A1194" s="53">
        <v>52</v>
      </c>
      <c r="B1194" s="53" t="s">
        <v>504</v>
      </c>
      <c r="C1194" s="53" t="s">
        <v>515</v>
      </c>
      <c r="D1194" s="53" t="s">
        <v>11</v>
      </c>
      <c r="E1194" s="53" t="s">
        <v>12</v>
      </c>
      <c r="F1194" s="47">
        <v>8</v>
      </c>
      <c r="G1194" s="50">
        <v>39</v>
      </c>
      <c r="J1194" s="50">
        <v>1193</v>
      </c>
    </row>
    <row r="1195" spans="1:10" s="50" customFormat="1" ht="31.5" x14ac:dyDescent="0.25">
      <c r="A1195" s="53">
        <v>52</v>
      </c>
      <c r="B1195" s="53" t="s">
        <v>504</v>
      </c>
      <c r="C1195" s="53" t="s">
        <v>515</v>
      </c>
      <c r="D1195" s="53" t="s">
        <v>11</v>
      </c>
      <c r="E1195" s="53" t="s">
        <v>12</v>
      </c>
      <c r="F1195" s="47">
        <v>9</v>
      </c>
      <c r="G1195" s="50">
        <v>33</v>
      </c>
      <c r="J1195" s="50">
        <v>1194</v>
      </c>
    </row>
    <row r="1196" spans="1:10" s="50" customFormat="1" ht="31.5" x14ac:dyDescent="0.25">
      <c r="A1196" s="53">
        <v>52</v>
      </c>
      <c r="B1196" s="53" t="s">
        <v>504</v>
      </c>
      <c r="C1196" s="53" t="s">
        <v>515</v>
      </c>
      <c r="D1196" s="53" t="s">
        <v>11</v>
      </c>
      <c r="E1196" s="53" t="s">
        <v>12</v>
      </c>
      <c r="F1196" s="47">
        <v>10</v>
      </c>
      <c r="G1196" s="50">
        <v>21</v>
      </c>
      <c r="J1196" s="50">
        <v>1195</v>
      </c>
    </row>
    <row r="1197" spans="1:10" s="50" customFormat="1" ht="31.5" x14ac:dyDescent="0.25">
      <c r="A1197" s="53">
        <v>52</v>
      </c>
      <c r="B1197" s="53" t="s">
        <v>504</v>
      </c>
      <c r="C1197" s="53" t="s">
        <v>515</v>
      </c>
      <c r="D1197" s="53" t="s">
        <v>11</v>
      </c>
      <c r="E1197" s="53" t="s">
        <v>12</v>
      </c>
      <c r="F1197" s="47">
        <v>11</v>
      </c>
      <c r="G1197" s="50">
        <v>36</v>
      </c>
      <c r="J1197" s="50">
        <v>1196</v>
      </c>
    </row>
    <row r="1198" spans="1:10" s="50" customFormat="1" ht="31.5" x14ac:dyDescent="0.25">
      <c r="A1198" s="53">
        <v>52</v>
      </c>
      <c r="B1198" s="53" t="s">
        <v>504</v>
      </c>
      <c r="C1198" s="53" t="s">
        <v>515</v>
      </c>
      <c r="D1198" s="53" t="s">
        <v>11</v>
      </c>
      <c r="E1198" s="53" t="s">
        <v>12</v>
      </c>
      <c r="F1198" s="47">
        <v>12</v>
      </c>
      <c r="G1198" s="50">
        <v>21</v>
      </c>
      <c r="J1198" s="50">
        <v>1197</v>
      </c>
    </row>
    <row r="1199" spans="1:10" s="50" customFormat="1" ht="31.5" x14ac:dyDescent="0.25">
      <c r="A1199" s="53">
        <v>52</v>
      </c>
      <c r="B1199" s="53" t="s">
        <v>504</v>
      </c>
      <c r="C1199" s="53" t="s">
        <v>515</v>
      </c>
      <c r="D1199" s="53" t="s">
        <v>11</v>
      </c>
      <c r="E1199" s="53" t="s">
        <v>12</v>
      </c>
      <c r="F1199" s="47">
        <v>13</v>
      </c>
      <c r="G1199" s="50">
        <v>14</v>
      </c>
      <c r="J1199" s="50">
        <v>1198</v>
      </c>
    </row>
    <row r="1200" spans="1:10" s="50" customFormat="1" ht="31.5" x14ac:dyDescent="0.25">
      <c r="A1200" s="53">
        <v>52</v>
      </c>
      <c r="B1200" s="53" t="s">
        <v>504</v>
      </c>
      <c r="C1200" s="53" t="s">
        <v>515</v>
      </c>
      <c r="D1200" s="53" t="s">
        <v>11</v>
      </c>
      <c r="E1200" s="53" t="s">
        <v>12</v>
      </c>
      <c r="F1200" s="47">
        <v>14</v>
      </c>
      <c r="G1200" s="50">
        <v>23</v>
      </c>
      <c r="J1200" s="50">
        <v>1199</v>
      </c>
    </row>
    <row r="1201" spans="1:10" s="50" customFormat="1" ht="31.5" x14ac:dyDescent="0.25">
      <c r="A1201" s="53">
        <v>52</v>
      </c>
      <c r="B1201" s="53" t="s">
        <v>504</v>
      </c>
      <c r="C1201" s="53" t="s">
        <v>515</v>
      </c>
      <c r="D1201" s="53" t="s">
        <v>11</v>
      </c>
      <c r="E1201" s="53" t="s">
        <v>12</v>
      </c>
      <c r="F1201" s="47">
        <v>15</v>
      </c>
      <c r="G1201" s="50">
        <v>32</v>
      </c>
      <c r="J1201" s="50">
        <v>1200</v>
      </c>
    </row>
    <row r="1202" spans="1:10" s="50" customFormat="1" ht="32.25" thickBot="1" x14ac:dyDescent="0.3">
      <c r="A1202" s="53">
        <v>52</v>
      </c>
      <c r="B1202" s="53" t="s">
        <v>504</v>
      </c>
      <c r="C1202" s="53" t="s">
        <v>515</v>
      </c>
      <c r="D1202" s="54" t="s">
        <v>11</v>
      </c>
      <c r="E1202" s="54" t="s">
        <v>12</v>
      </c>
      <c r="F1202" s="46">
        <v>16</v>
      </c>
      <c r="G1202" s="55">
        <v>27</v>
      </c>
      <c r="H1202" s="55">
        <v>432</v>
      </c>
      <c r="I1202" s="55">
        <v>16</v>
      </c>
      <c r="J1202" s="50">
        <v>1201</v>
      </c>
    </row>
    <row r="1203" spans="1:10" s="50" customFormat="1" ht="32.25" thickTop="1" x14ac:dyDescent="0.25">
      <c r="A1203" s="53">
        <v>53</v>
      </c>
      <c r="B1203" s="53" t="s">
        <v>504</v>
      </c>
      <c r="C1203" s="53" t="s">
        <v>515</v>
      </c>
      <c r="D1203" s="53" t="s">
        <v>13</v>
      </c>
      <c r="E1203" s="53" t="s">
        <v>14</v>
      </c>
      <c r="F1203" s="47">
        <v>1</v>
      </c>
      <c r="G1203" s="50">
        <v>31</v>
      </c>
      <c r="J1203" s="50">
        <v>1202</v>
      </c>
    </row>
    <row r="1204" spans="1:10" s="50" customFormat="1" ht="31.5" x14ac:dyDescent="0.25">
      <c r="A1204" s="53">
        <v>53</v>
      </c>
      <c r="B1204" s="53" t="s">
        <v>504</v>
      </c>
      <c r="C1204" s="53" t="s">
        <v>515</v>
      </c>
      <c r="D1204" s="53" t="s">
        <v>13</v>
      </c>
      <c r="E1204" s="53" t="s">
        <v>14</v>
      </c>
      <c r="F1204" s="47">
        <v>2</v>
      </c>
      <c r="G1204" s="50">
        <v>16</v>
      </c>
      <c r="J1204" s="50">
        <v>1203</v>
      </c>
    </row>
    <row r="1205" spans="1:10" s="50" customFormat="1" ht="31.5" x14ac:dyDescent="0.25">
      <c r="A1205" s="53">
        <v>53</v>
      </c>
      <c r="B1205" s="53" t="s">
        <v>504</v>
      </c>
      <c r="C1205" s="53" t="s">
        <v>515</v>
      </c>
      <c r="D1205" s="53" t="s">
        <v>13</v>
      </c>
      <c r="E1205" s="53" t="s">
        <v>14</v>
      </c>
      <c r="F1205" s="47">
        <v>3</v>
      </c>
      <c r="G1205" s="50">
        <v>23</v>
      </c>
      <c r="J1205" s="50">
        <v>1204</v>
      </c>
    </row>
    <row r="1206" spans="1:10" s="50" customFormat="1" ht="31.5" x14ac:dyDescent="0.25">
      <c r="A1206" s="53">
        <v>53</v>
      </c>
      <c r="B1206" s="53" t="s">
        <v>504</v>
      </c>
      <c r="C1206" s="53" t="s">
        <v>515</v>
      </c>
      <c r="D1206" s="53" t="s">
        <v>13</v>
      </c>
      <c r="E1206" s="53" t="s">
        <v>14</v>
      </c>
      <c r="F1206" s="47">
        <v>4</v>
      </c>
      <c r="G1206" s="50">
        <v>21</v>
      </c>
      <c r="J1206" s="50">
        <v>1205</v>
      </c>
    </row>
    <row r="1207" spans="1:10" s="50" customFormat="1" ht="31.5" x14ac:dyDescent="0.25">
      <c r="A1207" s="53">
        <v>53</v>
      </c>
      <c r="B1207" s="53" t="s">
        <v>504</v>
      </c>
      <c r="C1207" s="53" t="s">
        <v>515</v>
      </c>
      <c r="D1207" s="53" t="s">
        <v>13</v>
      </c>
      <c r="E1207" s="53" t="s">
        <v>14</v>
      </c>
      <c r="F1207" s="47">
        <v>5</v>
      </c>
      <c r="G1207" s="50">
        <v>13</v>
      </c>
      <c r="J1207" s="50">
        <v>1206</v>
      </c>
    </row>
    <row r="1208" spans="1:10" s="50" customFormat="1" ht="31.5" x14ac:dyDescent="0.25">
      <c r="A1208" s="53">
        <v>53</v>
      </c>
      <c r="B1208" s="53" t="s">
        <v>504</v>
      </c>
      <c r="C1208" s="53" t="s">
        <v>515</v>
      </c>
      <c r="D1208" s="53" t="s">
        <v>13</v>
      </c>
      <c r="E1208" s="53" t="s">
        <v>14</v>
      </c>
      <c r="F1208" s="47">
        <v>6</v>
      </c>
      <c r="G1208" s="50">
        <v>20</v>
      </c>
      <c r="J1208" s="50">
        <v>1207</v>
      </c>
    </row>
    <row r="1209" spans="1:10" s="50" customFormat="1" ht="31.5" x14ac:dyDescent="0.25">
      <c r="A1209" s="53">
        <v>53</v>
      </c>
      <c r="B1209" s="53" t="s">
        <v>504</v>
      </c>
      <c r="C1209" s="53" t="s">
        <v>515</v>
      </c>
      <c r="D1209" s="53" t="s">
        <v>13</v>
      </c>
      <c r="E1209" s="53" t="s">
        <v>14</v>
      </c>
      <c r="F1209" s="47">
        <v>7</v>
      </c>
      <c r="G1209" s="50">
        <v>40</v>
      </c>
      <c r="J1209" s="50">
        <v>1208</v>
      </c>
    </row>
    <row r="1210" spans="1:10" s="50" customFormat="1" ht="31.5" x14ac:dyDescent="0.25">
      <c r="A1210" s="53">
        <v>53</v>
      </c>
      <c r="B1210" s="53" t="s">
        <v>504</v>
      </c>
      <c r="C1210" s="53" t="s">
        <v>515</v>
      </c>
      <c r="D1210" s="53" t="s">
        <v>13</v>
      </c>
      <c r="E1210" s="53" t="s">
        <v>14</v>
      </c>
      <c r="F1210" s="47">
        <v>8</v>
      </c>
      <c r="G1210" s="50">
        <v>13</v>
      </c>
      <c r="J1210" s="50">
        <v>1209</v>
      </c>
    </row>
    <row r="1211" spans="1:10" s="50" customFormat="1" ht="31.5" x14ac:dyDescent="0.25">
      <c r="A1211" s="53">
        <v>53</v>
      </c>
      <c r="B1211" s="53" t="s">
        <v>504</v>
      </c>
      <c r="C1211" s="53" t="s">
        <v>515</v>
      </c>
      <c r="D1211" s="53" t="s">
        <v>13</v>
      </c>
      <c r="E1211" s="53" t="s">
        <v>14</v>
      </c>
      <c r="F1211" s="47">
        <v>9</v>
      </c>
      <c r="G1211" s="50">
        <v>27</v>
      </c>
      <c r="J1211" s="50">
        <v>1210</v>
      </c>
    </row>
    <row r="1212" spans="1:10" s="50" customFormat="1" ht="31.5" x14ac:dyDescent="0.25">
      <c r="A1212" s="53">
        <v>53</v>
      </c>
      <c r="B1212" s="53" t="s">
        <v>504</v>
      </c>
      <c r="C1212" s="53" t="s">
        <v>515</v>
      </c>
      <c r="D1212" s="53" t="s">
        <v>13</v>
      </c>
      <c r="E1212" s="53" t="s">
        <v>14</v>
      </c>
      <c r="F1212" s="47">
        <v>10</v>
      </c>
      <c r="G1212" s="50">
        <v>33</v>
      </c>
      <c r="J1212" s="50">
        <v>1211</v>
      </c>
    </row>
    <row r="1213" spans="1:10" s="50" customFormat="1" ht="31.5" x14ac:dyDescent="0.25">
      <c r="A1213" s="53">
        <v>53</v>
      </c>
      <c r="B1213" s="53" t="s">
        <v>504</v>
      </c>
      <c r="C1213" s="53" t="s">
        <v>515</v>
      </c>
      <c r="D1213" s="53" t="s">
        <v>13</v>
      </c>
      <c r="E1213" s="53" t="s">
        <v>14</v>
      </c>
      <c r="F1213" s="47">
        <v>11</v>
      </c>
      <c r="G1213" s="50">
        <v>34</v>
      </c>
      <c r="J1213" s="50">
        <v>1212</v>
      </c>
    </row>
    <row r="1214" spans="1:10" s="50" customFormat="1" ht="31.5" x14ac:dyDescent="0.25">
      <c r="A1214" s="53">
        <v>53</v>
      </c>
      <c r="B1214" s="53" t="s">
        <v>504</v>
      </c>
      <c r="C1214" s="53" t="s">
        <v>515</v>
      </c>
      <c r="D1214" s="53" t="s">
        <v>13</v>
      </c>
      <c r="E1214" s="53" t="s">
        <v>14</v>
      </c>
      <c r="F1214" s="47">
        <v>12</v>
      </c>
      <c r="G1214" s="50">
        <v>31</v>
      </c>
      <c r="J1214" s="50">
        <v>1213</v>
      </c>
    </row>
    <row r="1215" spans="1:10" s="50" customFormat="1" ht="31.5" x14ac:dyDescent="0.25">
      <c r="A1215" s="53">
        <v>53</v>
      </c>
      <c r="B1215" s="53" t="s">
        <v>504</v>
      </c>
      <c r="C1215" s="53" t="s">
        <v>515</v>
      </c>
      <c r="D1215" s="53" t="s">
        <v>13</v>
      </c>
      <c r="E1215" s="53" t="s">
        <v>14</v>
      </c>
      <c r="F1215" s="47">
        <v>13</v>
      </c>
      <c r="G1215" s="50">
        <v>13</v>
      </c>
      <c r="J1215" s="50">
        <v>1214</v>
      </c>
    </row>
    <row r="1216" spans="1:10" s="50" customFormat="1" ht="31.5" x14ac:dyDescent="0.25">
      <c r="A1216" s="53">
        <v>53</v>
      </c>
      <c r="B1216" s="53" t="s">
        <v>504</v>
      </c>
      <c r="C1216" s="53" t="s">
        <v>515</v>
      </c>
      <c r="D1216" s="53" t="s">
        <v>13</v>
      </c>
      <c r="E1216" s="53" t="s">
        <v>14</v>
      </c>
      <c r="F1216" s="47">
        <v>14</v>
      </c>
      <c r="G1216" s="50">
        <v>40</v>
      </c>
      <c r="J1216" s="50">
        <v>1215</v>
      </c>
    </row>
    <row r="1217" spans="1:10" s="50" customFormat="1" ht="31.5" x14ac:dyDescent="0.25">
      <c r="A1217" s="53">
        <v>53</v>
      </c>
      <c r="B1217" s="53" t="s">
        <v>504</v>
      </c>
      <c r="C1217" s="53" t="s">
        <v>515</v>
      </c>
      <c r="D1217" s="53" t="s">
        <v>13</v>
      </c>
      <c r="E1217" s="53" t="s">
        <v>14</v>
      </c>
      <c r="F1217" s="47">
        <v>15</v>
      </c>
      <c r="G1217" s="50">
        <v>58</v>
      </c>
      <c r="J1217" s="50">
        <v>1216</v>
      </c>
    </row>
    <row r="1218" spans="1:10" s="50" customFormat="1" ht="32.25" thickBot="1" x14ac:dyDescent="0.3">
      <c r="A1218" s="53">
        <v>53</v>
      </c>
      <c r="B1218" s="53" t="s">
        <v>504</v>
      </c>
      <c r="C1218" s="53" t="s">
        <v>515</v>
      </c>
      <c r="D1218" s="54" t="s">
        <v>13</v>
      </c>
      <c r="E1218" s="54" t="s">
        <v>14</v>
      </c>
      <c r="F1218" s="46">
        <v>16</v>
      </c>
      <c r="G1218" s="55">
        <v>23</v>
      </c>
      <c r="H1218" s="55">
        <v>436</v>
      </c>
      <c r="I1218" s="55">
        <v>16</v>
      </c>
      <c r="J1218" s="50">
        <v>1217</v>
      </c>
    </row>
    <row r="1219" spans="1:10" s="50" customFormat="1" ht="32.25" thickTop="1" x14ac:dyDescent="0.25">
      <c r="A1219" s="53">
        <v>54</v>
      </c>
      <c r="B1219" s="53" t="s">
        <v>504</v>
      </c>
      <c r="C1219" s="53" t="s">
        <v>515</v>
      </c>
      <c r="D1219" s="53" t="s">
        <v>15</v>
      </c>
      <c r="E1219" s="53" t="s">
        <v>16</v>
      </c>
      <c r="F1219" s="47">
        <v>1</v>
      </c>
      <c r="G1219" s="50">
        <v>24</v>
      </c>
      <c r="J1219" s="50">
        <v>1218</v>
      </c>
    </row>
    <row r="1220" spans="1:10" s="50" customFormat="1" ht="31.5" x14ac:dyDescent="0.25">
      <c r="A1220" s="53">
        <v>54</v>
      </c>
      <c r="B1220" s="53" t="s">
        <v>504</v>
      </c>
      <c r="C1220" s="53" t="s">
        <v>515</v>
      </c>
      <c r="D1220" s="53" t="s">
        <v>15</v>
      </c>
      <c r="E1220" s="53" t="s">
        <v>16</v>
      </c>
      <c r="F1220" s="47">
        <v>2</v>
      </c>
      <c r="G1220" s="50">
        <v>17</v>
      </c>
      <c r="J1220" s="50">
        <v>1219</v>
      </c>
    </row>
    <row r="1221" spans="1:10" s="50" customFormat="1" ht="31.5" x14ac:dyDescent="0.25">
      <c r="A1221" s="53">
        <v>54</v>
      </c>
      <c r="B1221" s="53" t="s">
        <v>504</v>
      </c>
      <c r="C1221" s="53" t="s">
        <v>515</v>
      </c>
      <c r="D1221" s="53" t="s">
        <v>15</v>
      </c>
      <c r="E1221" s="53" t="s">
        <v>16</v>
      </c>
      <c r="F1221" s="47">
        <v>3</v>
      </c>
      <c r="G1221" s="50">
        <v>18</v>
      </c>
      <c r="J1221" s="50">
        <v>1220</v>
      </c>
    </row>
    <row r="1222" spans="1:10" s="50" customFormat="1" ht="31.5" x14ac:dyDescent="0.25">
      <c r="A1222" s="53">
        <v>54</v>
      </c>
      <c r="B1222" s="53" t="s">
        <v>504</v>
      </c>
      <c r="C1222" s="53" t="s">
        <v>515</v>
      </c>
      <c r="D1222" s="53" t="s">
        <v>15</v>
      </c>
      <c r="E1222" s="53" t="s">
        <v>16</v>
      </c>
      <c r="F1222" s="47">
        <v>4</v>
      </c>
      <c r="G1222" s="50">
        <v>18</v>
      </c>
      <c r="J1222" s="50">
        <v>1221</v>
      </c>
    </row>
    <row r="1223" spans="1:10" s="50" customFormat="1" ht="31.5" x14ac:dyDescent="0.25">
      <c r="A1223" s="53">
        <v>54</v>
      </c>
      <c r="B1223" s="53" t="s">
        <v>504</v>
      </c>
      <c r="C1223" s="53" t="s">
        <v>515</v>
      </c>
      <c r="D1223" s="53" t="s">
        <v>15</v>
      </c>
      <c r="E1223" s="53" t="s">
        <v>16</v>
      </c>
      <c r="F1223" s="47">
        <v>5</v>
      </c>
      <c r="G1223" s="50">
        <v>21</v>
      </c>
      <c r="J1223" s="50">
        <v>1222</v>
      </c>
    </row>
    <row r="1224" spans="1:10" s="50" customFormat="1" ht="31.5" x14ac:dyDescent="0.25">
      <c r="A1224" s="53">
        <v>54</v>
      </c>
      <c r="B1224" s="53" t="s">
        <v>504</v>
      </c>
      <c r="C1224" s="53" t="s">
        <v>515</v>
      </c>
      <c r="D1224" s="53" t="s">
        <v>15</v>
      </c>
      <c r="E1224" s="53" t="s">
        <v>16</v>
      </c>
      <c r="F1224" s="47">
        <v>6</v>
      </c>
      <c r="G1224" s="50">
        <v>18</v>
      </c>
      <c r="J1224" s="50">
        <v>1223</v>
      </c>
    </row>
    <row r="1225" spans="1:10" s="50" customFormat="1" ht="31.5" x14ac:dyDescent="0.25">
      <c r="A1225" s="53">
        <v>54</v>
      </c>
      <c r="B1225" s="53" t="s">
        <v>504</v>
      </c>
      <c r="C1225" s="53" t="s">
        <v>515</v>
      </c>
      <c r="D1225" s="53" t="s">
        <v>15</v>
      </c>
      <c r="E1225" s="53" t="s">
        <v>16</v>
      </c>
      <c r="F1225" s="47">
        <v>7</v>
      </c>
      <c r="G1225" s="50">
        <v>16</v>
      </c>
      <c r="J1225" s="50">
        <v>1224</v>
      </c>
    </row>
    <row r="1226" spans="1:10" s="50" customFormat="1" ht="31.5" x14ac:dyDescent="0.25">
      <c r="A1226" s="53">
        <v>54</v>
      </c>
      <c r="B1226" s="53" t="s">
        <v>504</v>
      </c>
      <c r="C1226" s="53" t="s">
        <v>515</v>
      </c>
      <c r="D1226" s="53" t="s">
        <v>15</v>
      </c>
      <c r="E1226" s="53" t="s">
        <v>16</v>
      </c>
      <c r="F1226" s="47">
        <v>8</v>
      </c>
      <c r="G1226" s="50">
        <v>24</v>
      </c>
      <c r="J1226" s="50">
        <v>1225</v>
      </c>
    </row>
    <row r="1227" spans="1:10" s="50" customFormat="1" ht="31.5" x14ac:dyDescent="0.25">
      <c r="A1227" s="53">
        <v>54</v>
      </c>
      <c r="B1227" s="53" t="s">
        <v>504</v>
      </c>
      <c r="C1227" s="53" t="s">
        <v>515</v>
      </c>
      <c r="D1227" s="53" t="s">
        <v>15</v>
      </c>
      <c r="E1227" s="53" t="s">
        <v>16</v>
      </c>
      <c r="F1227" s="47">
        <v>9</v>
      </c>
      <c r="G1227" s="50">
        <v>15</v>
      </c>
      <c r="J1227" s="50">
        <v>1226</v>
      </c>
    </row>
    <row r="1228" spans="1:10" s="50" customFormat="1" ht="31.5" x14ac:dyDescent="0.25">
      <c r="A1228" s="53">
        <v>54</v>
      </c>
      <c r="B1228" s="53" t="s">
        <v>504</v>
      </c>
      <c r="C1228" s="53" t="s">
        <v>515</v>
      </c>
      <c r="D1228" s="53" t="s">
        <v>15</v>
      </c>
      <c r="E1228" s="53" t="s">
        <v>16</v>
      </c>
      <c r="F1228" s="47">
        <v>10</v>
      </c>
      <c r="G1228" s="50">
        <v>18</v>
      </c>
      <c r="J1228" s="50">
        <v>1227</v>
      </c>
    </row>
    <row r="1229" spans="1:10" s="50" customFormat="1" ht="31.5" x14ac:dyDescent="0.25">
      <c r="A1229" s="53">
        <v>54</v>
      </c>
      <c r="B1229" s="53" t="s">
        <v>504</v>
      </c>
      <c r="C1229" s="53" t="s">
        <v>515</v>
      </c>
      <c r="D1229" s="53" t="s">
        <v>15</v>
      </c>
      <c r="E1229" s="53" t="s">
        <v>16</v>
      </c>
      <c r="F1229" s="47">
        <v>11</v>
      </c>
      <c r="G1229" s="50">
        <v>33</v>
      </c>
      <c r="J1229" s="50">
        <v>1228</v>
      </c>
    </row>
    <row r="1230" spans="1:10" s="50" customFormat="1" ht="31.5" x14ac:dyDescent="0.25">
      <c r="A1230" s="53">
        <v>54</v>
      </c>
      <c r="B1230" s="53" t="s">
        <v>504</v>
      </c>
      <c r="C1230" s="53" t="s">
        <v>515</v>
      </c>
      <c r="D1230" s="53" t="s">
        <v>15</v>
      </c>
      <c r="E1230" s="53" t="s">
        <v>16</v>
      </c>
      <c r="F1230" s="47">
        <v>12</v>
      </c>
      <c r="G1230" s="50">
        <v>21</v>
      </c>
      <c r="J1230" s="50">
        <v>1229</v>
      </c>
    </row>
    <row r="1231" spans="1:10" s="50" customFormat="1" ht="32.25" thickBot="1" x14ac:dyDescent="0.3">
      <c r="A1231" s="53">
        <v>54</v>
      </c>
      <c r="B1231" s="53" t="s">
        <v>504</v>
      </c>
      <c r="C1231" s="53" t="s">
        <v>515</v>
      </c>
      <c r="D1231" s="54" t="s">
        <v>15</v>
      </c>
      <c r="E1231" s="54" t="s">
        <v>16</v>
      </c>
      <c r="F1231" s="46">
        <v>13</v>
      </c>
      <c r="G1231" s="55">
        <v>13</v>
      </c>
      <c r="H1231" s="55">
        <v>256</v>
      </c>
      <c r="I1231" s="55">
        <v>13</v>
      </c>
      <c r="J1231" s="50">
        <v>1230</v>
      </c>
    </row>
    <row r="1232" spans="1:10" s="50" customFormat="1" ht="32.25" thickTop="1" x14ac:dyDescent="0.25">
      <c r="A1232" s="53">
        <v>55</v>
      </c>
      <c r="B1232" s="53" t="s">
        <v>504</v>
      </c>
      <c r="C1232" s="53" t="s">
        <v>515</v>
      </c>
      <c r="D1232" s="53" t="s">
        <v>17</v>
      </c>
      <c r="E1232" s="53" t="s">
        <v>18</v>
      </c>
      <c r="F1232" s="47">
        <v>1</v>
      </c>
      <c r="G1232" s="50">
        <v>24</v>
      </c>
      <c r="J1232" s="50">
        <v>1231</v>
      </c>
    </row>
    <row r="1233" spans="1:10" s="50" customFormat="1" ht="31.5" x14ac:dyDescent="0.25">
      <c r="A1233" s="53">
        <v>55</v>
      </c>
      <c r="B1233" s="53" t="s">
        <v>504</v>
      </c>
      <c r="C1233" s="53" t="s">
        <v>515</v>
      </c>
      <c r="D1233" s="53" t="s">
        <v>17</v>
      </c>
      <c r="E1233" s="53" t="s">
        <v>18</v>
      </c>
      <c r="F1233" s="47">
        <v>2</v>
      </c>
      <c r="G1233" s="50">
        <v>21</v>
      </c>
      <c r="J1233" s="50">
        <v>1232</v>
      </c>
    </row>
    <row r="1234" spans="1:10" s="50" customFormat="1" ht="31.5" x14ac:dyDescent="0.25">
      <c r="A1234" s="53">
        <v>55</v>
      </c>
      <c r="B1234" s="53" t="s">
        <v>504</v>
      </c>
      <c r="C1234" s="53" t="s">
        <v>515</v>
      </c>
      <c r="D1234" s="53" t="s">
        <v>17</v>
      </c>
      <c r="E1234" s="53" t="s">
        <v>18</v>
      </c>
      <c r="F1234" s="47">
        <v>3</v>
      </c>
      <c r="G1234" s="50">
        <v>29</v>
      </c>
      <c r="J1234" s="50">
        <v>1233</v>
      </c>
    </row>
    <row r="1235" spans="1:10" s="50" customFormat="1" ht="31.5" x14ac:dyDescent="0.25">
      <c r="A1235" s="53">
        <v>55</v>
      </c>
      <c r="B1235" s="53" t="s">
        <v>504</v>
      </c>
      <c r="C1235" s="53" t="s">
        <v>515</v>
      </c>
      <c r="D1235" s="53" t="s">
        <v>17</v>
      </c>
      <c r="E1235" s="53" t="s">
        <v>18</v>
      </c>
      <c r="F1235" s="47">
        <v>4</v>
      </c>
      <c r="G1235" s="50">
        <v>31</v>
      </c>
      <c r="J1235" s="50">
        <v>1234</v>
      </c>
    </row>
    <row r="1236" spans="1:10" s="50" customFormat="1" ht="31.5" x14ac:dyDescent="0.25">
      <c r="A1236" s="53">
        <v>55</v>
      </c>
      <c r="B1236" s="53" t="s">
        <v>504</v>
      </c>
      <c r="C1236" s="53" t="s">
        <v>515</v>
      </c>
      <c r="D1236" s="53" t="s">
        <v>17</v>
      </c>
      <c r="E1236" s="53" t="s">
        <v>18</v>
      </c>
      <c r="F1236" s="47">
        <v>5</v>
      </c>
      <c r="G1236" s="50">
        <v>26</v>
      </c>
      <c r="J1236" s="50">
        <v>1235</v>
      </c>
    </row>
    <row r="1237" spans="1:10" s="50" customFormat="1" ht="32.25" thickBot="1" x14ac:dyDescent="0.3">
      <c r="A1237" s="53">
        <v>55</v>
      </c>
      <c r="B1237" s="53" t="s">
        <v>504</v>
      </c>
      <c r="C1237" s="53" t="s">
        <v>515</v>
      </c>
      <c r="D1237" s="54" t="s">
        <v>17</v>
      </c>
      <c r="E1237" s="54" t="s">
        <v>18</v>
      </c>
      <c r="F1237" s="46">
        <v>6</v>
      </c>
      <c r="G1237" s="55">
        <v>18</v>
      </c>
      <c r="H1237" s="55">
        <v>149</v>
      </c>
      <c r="I1237" s="55">
        <v>6</v>
      </c>
      <c r="J1237" s="50">
        <v>1236</v>
      </c>
    </row>
    <row r="1238" spans="1:10" s="50" customFormat="1" ht="32.25" thickTop="1" x14ac:dyDescent="0.25">
      <c r="A1238" s="53">
        <v>56</v>
      </c>
      <c r="B1238" s="53" t="s">
        <v>504</v>
      </c>
      <c r="C1238" s="53" t="s">
        <v>515</v>
      </c>
      <c r="D1238" s="53" t="s">
        <v>20</v>
      </c>
      <c r="E1238" s="53" t="s">
        <v>19</v>
      </c>
      <c r="F1238" s="47">
        <v>1</v>
      </c>
      <c r="G1238" s="50">
        <v>23</v>
      </c>
      <c r="J1238" s="50">
        <v>1237</v>
      </c>
    </row>
    <row r="1239" spans="1:10" s="50" customFormat="1" ht="31.5" x14ac:dyDescent="0.25">
      <c r="A1239" s="53">
        <v>56</v>
      </c>
      <c r="B1239" s="53" t="s">
        <v>504</v>
      </c>
      <c r="C1239" s="53" t="s">
        <v>515</v>
      </c>
      <c r="D1239" s="53" t="s">
        <v>20</v>
      </c>
      <c r="E1239" s="53" t="s">
        <v>19</v>
      </c>
      <c r="F1239" s="47">
        <v>2</v>
      </c>
      <c r="G1239" s="50">
        <v>22</v>
      </c>
      <c r="J1239" s="50">
        <v>1238</v>
      </c>
    </row>
    <row r="1240" spans="1:10" s="50" customFormat="1" ht="31.5" x14ac:dyDescent="0.25">
      <c r="A1240" s="53">
        <v>56</v>
      </c>
      <c r="B1240" s="53" t="s">
        <v>504</v>
      </c>
      <c r="C1240" s="53" t="s">
        <v>515</v>
      </c>
      <c r="D1240" s="53" t="s">
        <v>20</v>
      </c>
      <c r="E1240" s="53" t="s">
        <v>19</v>
      </c>
      <c r="F1240" s="47">
        <v>3</v>
      </c>
      <c r="G1240" s="50">
        <v>21</v>
      </c>
      <c r="J1240" s="50">
        <v>1239</v>
      </c>
    </row>
    <row r="1241" spans="1:10" s="50" customFormat="1" ht="31.5" x14ac:dyDescent="0.25">
      <c r="A1241" s="53">
        <v>56</v>
      </c>
      <c r="B1241" s="53" t="s">
        <v>504</v>
      </c>
      <c r="C1241" s="53" t="s">
        <v>515</v>
      </c>
      <c r="D1241" s="53" t="s">
        <v>20</v>
      </c>
      <c r="E1241" s="53" t="s">
        <v>19</v>
      </c>
      <c r="F1241" s="47">
        <v>4</v>
      </c>
      <c r="G1241" s="50">
        <v>32</v>
      </c>
      <c r="J1241" s="50">
        <v>1240</v>
      </c>
    </row>
    <row r="1242" spans="1:10" s="50" customFormat="1" ht="31.5" x14ac:dyDescent="0.25">
      <c r="A1242" s="53">
        <v>56</v>
      </c>
      <c r="B1242" s="53" t="s">
        <v>504</v>
      </c>
      <c r="C1242" s="53" t="s">
        <v>515</v>
      </c>
      <c r="D1242" s="53" t="s">
        <v>20</v>
      </c>
      <c r="E1242" s="53" t="s">
        <v>19</v>
      </c>
      <c r="F1242" s="47">
        <v>5</v>
      </c>
      <c r="G1242" s="50">
        <v>33</v>
      </c>
      <c r="J1242" s="50">
        <v>1241</v>
      </c>
    </row>
    <row r="1243" spans="1:10" s="50" customFormat="1" ht="32.25" thickBot="1" x14ac:dyDescent="0.3">
      <c r="A1243" s="53">
        <v>56</v>
      </c>
      <c r="B1243" s="53" t="s">
        <v>504</v>
      </c>
      <c r="C1243" s="53" t="s">
        <v>515</v>
      </c>
      <c r="D1243" s="54" t="s">
        <v>20</v>
      </c>
      <c r="E1243" s="54" t="s">
        <v>19</v>
      </c>
      <c r="F1243" s="46">
        <v>6</v>
      </c>
      <c r="G1243" s="55">
        <v>24</v>
      </c>
      <c r="H1243" s="55">
        <v>155</v>
      </c>
      <c r="I1243" s="55">
        <v>6</v>
      </c>
      <c r="J1243" s="50">
        <v>1242</v>
      </c>
    </row>
    <row r="1244" spans="1:10" s="50" customFormat="1" ht="32.25" thickTop="1" x14ac:dyDescent="0.25">
      <c r="A1244" s="53">
        <v>57</v>
      </c>
      <c r="B1244" s="53" t="s">
        <v>504</v>
      </c>
      <c r="C1244" s="53" t="s">
        <v>515</v>
      </c>
      <c r="D1244" s="53" t="s">
        <v>21</v>
      </c>
      <c r="E1244" s="53" t="s">
        <v>22</v>
      </c>
      <c r="F1244" s="47">
        <v>1</v>
      </c>
      <c r="G1244" s="50">
        <v>30</v>
      </c>
      <c r="J1244" s="50">
        <v>1243</v>
      </c>
    </row>
    <row r="1245" spans="1:10" s="50" customFormat="1" ht="31.5" x14ac:dyDescent="0.25">
      <c r="A1245" s="53">
        <v>57</v>
      </c>
      <c r="B1245" s="53" t="s">
        <v>504</v>
      </c>
      <c r="C1245" s="53" t="s">
        <v>515</v>
      </c>
      <c r="D1245" s="53" t="s">
        <v>21</v>
      </c>
      <c r="E1245" s="53" t="s">
        <v>22</v>
      </c>
      <c r="F1245" s="47">
        <v>2</v>
      </c>
      <c r="G1245" s="50">
        <v>30</v>
      </c>
      <c r="J1245" s="50">
        <v>1244</v>
      </c>
    </row>
    <row r="1246" spans="1:10" s="50" customFormat="1" ht="31.5" x14ac:dyDescent="0.25">
      <c r="A1246" s="53">
        <v>57</v>
      </c>
      <c r="B1246" s="53" t="s">
        <v>504</v>
      </c>
      <c r="C1246" s="53" t="s">
        <v>515</v>
      </c>
      <c r="D1246" s="53" t="s">
        <v>21</v>
      </c>
      <c r="E1246" s="53" t="s">
        <v>22</v>
      </c>
      <c r="F1246" s="47">
        <v>3</v>
      </c>
      <c r="G1246" s="50">
        <v>21</v>
      </c>
      <c r="J1246" s="50">
        <v>1245</v>
      </c>
    </row>
    <row r="1247" spans="1:10" s="50" customFormat="1" ht="32.25" thickBot="1" x14ac:dyDescent="0.3">
      <c r="A1247" s="53">
        <v>57</v>
      </c>
      <c r="B1247" s="53" t="s">
        <v>504</v>
      </c>
      <c r="C1247" s="53" t="s">
        <v>515</v>
      </c>
      <c r="D1247" s="54" t="s">
        <v>21</v>
      </c>
      <c r="E1247" s="54" t="s">
        <v>22</v>
      </c>
      <c r="F1247" s="46">
        <v>4</v>
      </c>
      <c r="G1247" s="55">
        <v>23</v>
      </c>
      <c r="H1247" s="55">
        <v>104</v>
      </c>
      <c r="I1247" s="55">
        <v>4</v>
      </c>
      <c r="J1247" s="50">
        <v>1246</v>
      </c>
    </row>
    <row r="1248" spans="1:10" s="50" customFormat="1" ht="32.25" thickTop="1" x14ac:dyDescent="0.25">
      <c r="A1248" s="53">
        <v>58</v>
      </c>
      <c r="B1248" s="53" t="s">
        <v>504</v>
      </c>
      <c r="C1248" s="53" t="s">
        <v>515</v>
      </c>
      <c r="D1248" s="53" t="s">
        <v>24</v>
      </c>
      <c r="E1248" s="53" t="s">
        <v>23</v>
      </c>
      <c r="F1248" s="47">
        <v>1</v>
      </c>
      <c r="G1248" s="50">
        <v>29</v>
      </c>
      <c r="J1248" s="50">
        <v>1247</v>
      </c>
    </row>
    <row r="1249" spans="1:10" s="50" customFormat="1" ht="31.5" x14ac:dyDescent="0.25">
      <c r="A1249" s="53">
        <v>58</v>
      </c>
      <c r="B1249" s="53" t="s">
        <v>504</v>
      </c>
      <c r="C1249" s="53" t="s">
        <v>515</v>
      </c>
      <c r="D1249" s="53" t="s">
        <v>24</v>
      </c>
      <c r="E1249" s="53" t="s">
        <v>23</v>
      </c>
      <c r="F1249" s="47">
        <v>2</v>
      </c>
      <c r="G1249" s="50">
        <v>23</v>
      </c>
      <c r="J1249" s="50">
        <v>1248</v>
      </c>
    </row>
    <row r="1250" spans="1:10" s="50" customFormat="1" ht="31.5" x14ac:dyDescent="0.25">
      <c r="A1250" s="53">
        <v>58</v>
      </c>
      <c r="B1250" s="53" t="s">
        <v>504</v>
      </c>
      <c r="C1250" s="53" t="s">
        <v>515</v>
      </c>
      <c r="D1250" s="53" t="s">
        <v>24</v>
      </c>
      <c r="E1250" s="53" t="s">
        <v>23</v>
      </c>
      <c r="F1250" s="47">
        <v>3</v>
      </c>
      <c r="G1250" s="50">
        <v>25</v>
      </c>
      <c r="J1250" s="50">
        <v>1249</v>
      </c>
    </row>
    <row r="1251" spans="1:10" s="50" customFormat="1" ht="32.25" thickBot="1" x14ac:dyDescent="0.3">
      <c r="A1251" s="53">
        <v>58</v>
      </c>
      <c r="B1251" s="53" t="s">
        <v>504</v>
      </c>
      <c r="C1251" s="53" t="s">
        <v>515</v>
      </c>
      <c r="D1251" s="54" t="s">
        <v>24</v>
      </c>
      <c r="E1251" s="54" t="s">
        <v>23</v>
      </c>
      <c r="F1251" s="46">
        <v>4</v>
      </c>
      <c r="G1251" s="55">
        <v>18</v>
      </c>
      <c r="H1251" s="55">
        <v>95</v>
      </c>
      <c r="I1251" s="55">
        <v>4</v>
      </c>
      <c r="J1251" s="50">
        <v>1250</v>
      </c>
    </row>
    <row r="1252" spans="1:10" s="50" customFormat="1" ht="32.25" thickTop="1" x14ac:dyDescent="0.25">
      <c r="A1252" s="53">
        <v>59</v>
      </c>
      <c r="B1252" s="53" t="s">
        <v>504</v>
      </c>
      <c r="C1252" s="53" t="s">
        <v>515</v>
      </c>
      <c r="D1252" s="53" t="s">
        <v>25</v>
      </c>
      <c r="E1252" s="53" t="s">
        <v>26</v>
      </c>
      <c r="F1252" s="47">
        <v>1</v>
      </c>
      <c r="G1252" s="50">
        <v>10</v>
      </c>
      <c r="J1252" s="50">
        <v>1251</v>
      </c>
    </row>
    <row r="1253" spans="1:10" s="50" customFormat="1" ht="31.5" x14ac:dyDescent="0.25">
      <c r="A1253" s="53">
        <v>59</v>
      </c>
      <c r="B1253" s="53" t="s">
        <v>504</v>
      </c>
      <c r="C1253" s="53" t="s">
        <v>515</v>
      </c>
      <c r="D1253" s="53" t="s">
        <v>25</v>
      </c>
      <c r="E1253" s="53" t="s">
        <v>26</v>
      </c>
      <c r="F1253" s="47">
        <v>2</v>
      </c>
      <c r="G1253" s="50">
        <v>20</v>
      </c>
      <c r="J1253" s="50">
        <v>1252</v>
      </c>
    </row>
    <row r="1254" spans="1:10" s="50" customFormat="1" ht="31.5" x14ac:dyDescent="0.25">
      <c r="A1254" s="53">
        <v>59</v>
      </c>
      <c r="B1254" s="53" t="s">
        <v>504</v>
      </c>
      <c r="C1254" s="53" t="s">
        <v>515</v>
      </c>
      <c r="D1254" s="53" t="s">
        <v>25</v>
      </c>
      <c r="E1254" s="53" t="s">
        <v>26</v>
      </c>
      <c r="F1254" s="47">
        <v>3</v>
      </c>
      <c r="G1254" s="50">
        <v>13</v>
      </c>
      <c r="J1254" s="50">
        <v>1253</v>
      </c>
    </row>
    <row r="1255" spans="1:10" s="50" customFormat="1" ht="31.5" x14ac:dyDescent="0.25">
      <c r="A1255" s="53">
        <v>59</v>
      </c>
      <c r="B1255" s="53" t="s">
        <v>504</v>
      </c>
      <c r="C1255" s="53" t="s">
        <v>515</v>
      </c>
      <c r="D1255" s="53" t="s">
        <v>25</v>
      </c>
      <c r="E1255" s="53" t="s">
        <v>26</v>
      </c>
      <c r="F1255" s="47">
        <v>4</v>
      </c>
      <c r="G1255" s="50">
        <v>18</v>
      </c>
      <c r="J1255" s="50">
        <v>1254</v>
      </c>
    </row>
    <row r="1256" spans="1:10" s="50" customFormat="1" ht="32.25" thickBot="1" x14ac:dyDescent="0.3">
      <c r="A1256" s="53">
        <v>59</v>
      </c>
      <c r="B1256" s="53" t="s">
        <v>504</v>
      </c>
      <c r="C1256" s="53" t="s">
        <v>515</v>
      </c>
      <c r="D1256" s="54" t="s">
        <v>25</v>
      </c>
      <c r="E1256" s="54" t="s">
        <v>26</v>
      </c>
      <c r="F1256" s="46">
        <v>5</v>
      </c>
      <c r="G1256" s="55">
        <v>28</v>
      </c>
      <c r="H1256" s="55">
        <v>89</v>
      </c>
      <c r="I1256" s="55">
        <v>5</v>
      </c>
      <c r="J1256" s="50">
        <v>1255</v>
      </c>
    </row>
    <row r="1257" spans="1:10" s="50" customFormat="1" ht="32.25" thickTop="1" x14ac:dyDescent="0.25">
      <c r="A1257" s="53">
        <v>60</v>
      </c>
      <c r="B1257" s="53" t="s">
        <v>504</v>
      </c>
      <c r="C1257" s="53" t="s">
        <v>515</v>
      </c>
      <c r="D1257" s="53" t="s">
        <v>27</v>
      </c>
      <c r="E1257" s="53" t="s">
        <v>28</v>
      </c>
      <c r="F1257" s="47">
        <v>1</v>
      </c>
      <c r="G1257" s="50">
        <v>12</v>
      </c>
      <c r="J1257" s="50">
        <v>1256</v>
      </c>
    </row>
    <row r="1258" spans="1:10" s="50" customFormat="1" ht="31.5" x14ac:dyDescent="0.25">
      <c r="A1258" s="53">
        <v>60</v>
      </c>
      <c r="B1258" s="53" t="s">
        <v>504</v>
      </c>
      <c r="C1258" s="53" t="s">
        <v>515</v>
      </c>
      <c r="D1258" s="53" t="s">
        <v>27</v>
      </c>
      <c r="E1258" s="53" t="s">
        <v>28</v>
      </c>
      <c r="F1258" s="47">
        <v>2</v>
      </c>
      <c r="G1258" s="50">
        <v>17</v>
      </c>
      <c r="J1258" s="50">
        <v>1257</v>
      </c>
    </row>
    <row r="1259" spans="1:10" s="50" customFormat="1" ht="32.25" thickBot="1" x14ac:dyDescent="0.3">
      <c r="A1259" s="53">
        <v>60</v>
      </c>
      <c r="B1259" s="53" t="s">
        <v>504</v>
      </c>
      <c r="C1259" s="53" t="s">
        <v>515</v>
      </c>
      <c r="D1259" s="54" t="s">
        <v>27</v>
      </c>
      <c r="E1259" s="54" t="s">
        <v>28</v>
      </c>
      <c r="F1259" s="46">
        <v>3</v>
      </c>
      <c r="G1259" s="55">
        <v>18</v>
      </c>
      <c r="H1259" s="55">
        <v>47</v>
      </c>
      <c r="I1259" s="55">
        <v>3</v>
      </c>
      <c r="J1259" s="50">
        <v>1258</v>
      </c>
    </row>
    <row r="1260" spans="1:10" s="50" customFormat="1" ht="32.25" thickTop="1" x14ac:dyDescent="0.25">
      <c r="A1260" s="53">
        <v>61</v>
      </c>
      <c r="B1260" s="53" t="s">
        <v>504</v>
      </c>
      <c r="C1260" s="53" t="s">
        <v>515</v>
      </c>
      <c r="D1260" s="53" t="s">
        <v>29</v>
      </c>
      <c r="E1260" s="53" t="s">
        <v>30</v>
      </c>
      <c r="F1260" s="47">
        <v>1</v>
      </c>
      <c r="G1260" s="50">
        <v>20</v>
      </c>
      <c r="J1260" s="50">
        <v>1259</v>
      </c>
    </row>
    <row r="1261" spans="1:10" s="50" customFormat="1" ht="31.5" x14ac:dyDescent="0.25">
      <c r="A1261" s="53">
        <v>61</v>
      </c>
      <c r="B1261" s="53" t="s">
        <v>504</v>
      </c>
      <c r="C1261" s="53" t="s">
        <v>515</v>
      </c>
      <c r="D1261" s="53" t="s">
        <v>29</v>
      </c>
      <c r="E1261" s="53" t="s">
        <v>30</v>
      </c>
      <c r="F1261" s="47">
        <v>2</v>
      </c>
      <c r="G1261" s="50">
        <v>15</v>
      </c>
      <c r="J1261" s="50">
        <v>1260</v>
      </c>
    </row>
    <row r="1262" spans="1:10" s="50" customFormat="1" ht="31.5" x14ac:dyDescent="0.25">
      <c r="A1262" s="53">
        <v>61</v>
      </c>
      <c r="B1262" s="53" t="s">
        <v>504</v>
      </c>
      <c r="C1262" s="53" t="s">
        <v>515</v>
      </c>
      <c r="D1262" s="53" t="s">
        <v>29</v>
      </c>
      <c r="E1262" s="53" t="s">
        <v>30</v>
      </c>
      <c r="F1262" s="47">
        <v>3</v>
      </c>
      <c r="G1262" s="50">
        <v>16</v>
      </c>
      <c r="J1262" s="50">
        <v>1261</v>
      </c>
    </row>
    <row r="1263" spans="1:10" s="50" customFormat="1" ht="31.5" x14ac:dyDescent="0.25">
      <c r="A1263" s="53">
        <v>61</v>
      </c>
      <c r="B1263" s="53" t="s">
        <v>504</v>
      </c>
      <c r="C1263" s="53" t="s">
        <v>515</v>
      </c>
      <c r="D1263" s="53" t="s">
        <v>29</v>
      </c>
      <c r="E1263" s="53" t="s">
        <v>30</v>
      </c>
      <c r="F1263" s="47">
        <v>4</v>
      </c>
      <c r="G1263" s="50">
        <v>16</v>
      </c>
      <c r="J1263" s="50">
        <v>1262</v>
      </c>
    </row>
    <row r="1264" spans="1:10" s="50" customFormat="1" ht="31.5" x14ac:dyDescent="0.25">
      <c r="A1264" s="53">
        <v>61</v>
      </c>
      <c r="B1264" s="53" t="s">
        <v>504</v>
      </c>
      <c r="C1264" s="53" t="s">
        <v>515</v>
      </c>
      <c r="D1264" s="53" t="s">
        <v>29</v>
      </c>
      <c r="E1264" s="53" t="s">
        <v>30</v>
      </c>
      <c r="F1264" s="47">
        <v>5</v>
      </c>
      <c r="G1264" s="50">
        <v>25</v>
      </c>
      <c r="J1264" s="50">
        <v>1263</v>
      </c>
    </row>
    <row r="1265" spans="1:13" s="50" customFormat="1" ht="32.25" thickBot="1" x14ac:dyDescent="0.3">
      <c r="A1265" s="53">
        <v>61</v>
      </c>
      <c r="B1265" s="53" t="s">
        <v>504</v>
      </c>
      <c r="C1265" s="53" t="s">
        <v>515</v>
      </c>
      <c r="D1265" s="54" t="s">
        <v>29</v>
      </c>
      <c r="E1265" s="54" t="s">
        <v>30</v>
      </c>
      <c r="F1265" s="46">
        <v>6</v>
      </c>
      <c r="G1265" s="55">
        <v>21</v>
      </c>
      <c r="H1265" s="55">
        <v>113</v>
      </c>
      <c r="I1265" s="55">
        <v>6</v>
      </c>
      <c r="J1265" s="50">
        <v>1264</v>
      </c>
    </row>
    <row r="1266" spans="1:13" s="50" customFormat="1" ht="32.25" thickTop="1" x14ac:dyDescent="0.25">
      <c r="A1266" s="53">
        <v>62</v>
      </c>
      <c r="B1266" s="53" t="s">
        <v>504</v>
      </c>
      <c r="C1266" s="53" t="s">
        <v>515</v>
      </c>
      <c r="D1266" s="53" t="s">
        <v>31</v>
      </c>
      <c r="E1266" s="53" t="s">
        <v>32</v>
      </c>
      <c r="F1266" s="47">
        <v>1</v>
      </c>
      <c r="G1266" s="50">
        <v>18</v>
      </c>
      <c r="J1266" s="50">
        <v>1265</v>
      </c>
    </row>
    <row r="1267" spans="1:13" s="50" customFormat="1" ht="31.5" x14ac:dyDescent="0.25">
      <c r="A1267" s="53">
        <v>62</v>
      </c>
      <c r="B1267" s="53" t="s">
        <v>504</v>
      </c>
      <c r="C1267" s="53" t="s">
        <v>515</v>
      </c>
      <c r="D1267" s="53" t="s">
        <v>31</v>
      </c>
      <c r="E1267" s="53" t="s">
        <v>32</v>
      </c>
      <c r="F1267" s="47">
        <v>2</v>
      </c>
      <c r="G1267" s="50">
        <v>26</v>
      </c>
      <c r="J1267" s="50">
        <v>1266</v>
      </c>
    </row>
    <row r="1268" spans="1:13" s="50" customFormat="1" ht="31.5" x14ac:dyDescent="0.25">
      <c r="A1268" s="53">
        <v>62</v>
      </c>
      <c r="B1268" s="53" t="s">
        <v>504</v>
      </c>
      <c r="C1268" s="53" t="s">
        <v>515</v>
      </c>
      <c r="D1268" s="53" t="s">
        <v>31</v>
      </c>
      <c r="E1268" s="53" t="s">
        <v>32</v>
      </c>
      <c r="F1268" s="47">
        <v>3</v>
      </c>
      <c r="G1268" s="50">
        <v>17</v>
      </c>
      <c r="J1268" s="50">
        <v>1267</v>
      </c>
      <c r="M1268" s="50" t="s">
        <v>874</v>
      </c>
    </row>
    <row r="1269" spans="1:13" s="50" customFormat="1" ht="32.25" thickBot="1" x14ac:dyDescent="0.3">
      <c r="A1269" s="53">
        <v>62</v>
      </c>
      <c r="B1269" s="53" t="s">
        <v>504</v>
      </c>
      <c r="C1269" s="53" t="s">
        <v>515</v>
      </c>
      <c r="D1269" s="54" t="s">
        <v>31</v>
      </c>
      <c r="E1269" s="54" t="s">
        <v>32</v>
      </c>
      <c r="F1269" s="46">
        <v>4</v>
      </c>
      <c r="G1269" s="55">
        <v>22</v>
      </c>
      <c r="H1269" s="55">
        <v>83</v>
      </c>
      <c r="I1269" s="55">
        <v>4</v>
      </c>
      <c r="J1269" s="50">
        <v>1268</v>
      </c>
    </row>
    <row r="1270" spans="1:13" s="50" customFormat="1" ht="32.25" thickTop="1" x14ac:dyDescent="0.25">
      <c r="A1270" s="53">
        <v>63</v>
      </c>
      <c r="B1270" s="53" t="s">
        <v>504</v>
      </c>
      <c r="C1270" s="53" t="s">
        <v>515</v>
      </c>
      <c r="D1270" s="53" t="s">
        <v>33</v>
      </c>
      <c r="E1270" s="53" t="s">
        <v>34</v>
      </c>
      <c r="F1270" s="47">
        <v>1</v>
      </c>
      <c r="G1270" s="50">
        <v>16</v>
      </c>
      <c r="J1270" s="50">
        <v>1269</v>
      </c>
    </row>
    <row r="1271" spans="1:13" s="50" customFormat="1" ht="31.5" x14ac:dyDescent="0.25">
      <c r="A1271" s="53">
        <v>63</v>
      </c>
      <c r="B1271" s="53" t="s">
        <v>504</v>
      </c>
      <c r="C1271" s="53" t="s">
        <v>515</v>
      </c>
      <c r="D1271" s="53" t="s">
        <v>33</v>
      </c>
      <c r="E1271" s="53" t="s">
        <v>34</v>
      </c>
      <c r="F1271" s="47">
        <v>2</v>
      </c>
      <c r="G1271" s="50">
        <v>15</v>
      </c>
      <c r="J1271" s="50">
        <v>1270</v>
      </c>
    </row>
    <row r="1272" spans="1:13" s="50" customFormat="1" ht="32.25" thickBot="1" x14ac:dyDescent="0.3">
      <c r="A1272" s="53">
        <v>63</v>
      </c>
      <c r="B1272" s="53" t="s">
        <v>504</v>
      </c>
      <c r="C1272" s="53" t="s">
        <v>515</v>
      </c>
      <c r="D1272" s="54" t="s">
        <v>33</v>
      </c>
      <c r="E1272" s="54" t="s">
        <v>34</v>
      </c>
      <c r="F1272" s="46">
        <v>3</v>
      </c>
      <c r="G1272" s="55">
        <v>15</v>
      </c>
      <c r="H1272" s="55">
        <v>46</v>
      </c>
      <c r="I1272" s="55">
        <v>3</v>
      </c>
      <c r="J1272" s="50">
        <v>1271</v>
      </c>
    </row>
    <row r="1273" spans="1:13" s="50" customFormat="1" ht="33" thickTop="1" thickBot="1" x14ac:dyDescent="0.3">
      <c r="A1273" s="53">
        <v>64</v>
      </c>
      <c r="B1273" s="53" t="s">
        <v>504</v>
      </c>
      <c r="C1273" s="53" t="s">
        <v>515</v>
      </c>
      <c r="D1273" s="54" t="s">
        <v>35</v>
      </c>
      <c r="E1273" s="54" t="s">
        <v>36</v>
      </c>
      <c r="F1273" s="46">
        <v>1</v>
      </c>
      <c r="G1273" s="55">
        <v>25</v>
      </c>
      <c r="H1273" s="55">
        <v>25</v>
      </c>
      <c r="I1273" s="55">
        <v>1</v>
      </c>
      <c r="J1273" s="50">
        <v>1272</v>
      </c>
    </row>
    <row r="1274" spans="1:13" s="50" customFormat="1" ht="32.25" thickTop="1" x14ac:dyDescent="0.25">
      <c r="A1274" s="53">
        <v>65</v>
      </c>
      <c r="B1274" s="53" t="s">
        <v>504</v>
      </c>
      <c r="C1274" s="53" t="s">
        <v>516</v>
      </c>
      <c r="D1274" s="53" t="s">
        <v>435</v>
      </c>
      <c r="E1274" s="53" t="s">
        <v>37</v>
      </c>
      <c r="F1274" s="47">
        <v>1</v>
      </c>
      <c r="G1274" s="50">
        <v>14</v>
      </c>
      <c r="J1274" s="50">
        <v>1273</v>
      </c>
    </row>
    <row r="1275" spans="1:13" s="50" customFormat="1" ht="31.5" x14ac:dyDescent="0.25">
      <c r="A1275" s="53">
        <v>65</v>
      </c>
      <c r="B1275" s="53" t="s">
        <v>504</v>
      </c>
      <c r="C1275" s="53" t="s">
        <v>516</v>
      </c>
      <c r="D1275" s="53" t="s">
        <v>435</v>
      </c>
      <c r="E1275" s="53" t="s">
        <v>37</v>
      </c>
      <c r="F1275" s="47">
        <v>2</v>
      </c>
      <c r="G1275" s="50">
        <v>18</v>
      </c>
      <c r="J1275" s="50">
        <v>1274</v>
      </c>
    </row>
    <row r="1276" spans="1:13" s="50" customFormat="1" ht="31.5" x14ac:dyDescent="0.25">
      <c r="A1276" s="53">
        <v>65</v>
      </c>
      <c r="B1276" s="53" t="s">
        <v>504</v>
      </c>
      <c r="C1276" s="53" t="s">
        <v>516</v>
      </c>
      <c r="D1276" s="53" t="s">
        <v>435</v>
      </c>
      <c r="E1276" s="53" t="s">
        <v>37</v>
      </c>
      <c r="F1276" s="47">
        <v>3</v>
      </c>
      <c r="G1276" s="50">
        <v>19</v>
      </c>
      <c r="J1276" s="50">
        <v>1275</v>
      </c>
    </row>
    <row r="1277" spans="1:13" s="50" customFormat="1" ht="31.5" x14ac:dyDescent="0.25">
      <c r="A1277" s="53">
        <v>65</v>
      </c>
      <c r="B1277" s="53" t="s">
        <v>504</v>
      </c>
      <c r="C1277" s="53" t="s">
        <v>516</v>
      </c>
      <c r="D1277" s="53" t="s">
        <v>435</v>
      </c>
      <c r="E1277" s="53" t="s">
        <v>37</v>
      </c>
      <c r="F1277" s="47">
        <v>4</v>
      </c>
      <c r="G1277" s="50">
        <v>16</v>
      </c>
      <c r="J1277" s="50">
        <v>1276</v>
      </c>
    </row>
    <row r="1278" spans="1:13" s="50" customFormat="1" ht="31.5" x14ac:dyDescent="0.25">
      <c r="A1278" s="53">
        <v>65</v>
      </c>
      <c r="B1278" s="53" t="s">
        <v>504</v>
      </c>
      <c r="C1278" s="53" t="s">
        <v>516</v>
      </c>
      <c r="D1278" s="53" t="s">
        <v>435</v>
      </c>
      <c r="E1278" s="53" t="s">
        <v>37</v>
      </c>
      <c r="F1278" s="47">
        <v>5</v>
      </c>
      <c r="G1278" s="50">
        <v>14</v>
      </c>
      <c r="J1278" s="50">
        <v>1277</v>
      </c>
    </row>
    <row r="1279" spans="1:13" s="50" customFormat="1" ht="31.5" x14ac:dyDescent="0.25">
      <c r="A1279" s="53">
        <v>65</v>
      </c>
      <c r="B1279" s="53" t="s">
        <v>504</v>
      </c>
      <c r="C1279" s="53" t="s">
        <v>516</v>
      </c>
      <c r="D1279" s="53" t="s">
        <v>435</v>
      </c>
      <c r="E1279" s="53" t="s">
        <v>37</v>
      </c>
      <c r="F1279" s="47">
        <v>6</v>
      </c>
      <c r="G1279" s="50">
        <v>20</v>
      </c>
      <c r="J1279" s="50">
        <v>1278</v>
      </c>
    </row>
    <row r="1280" spans="1:13" s="50" customFormat="1" ht="31.5" x14ac:dyDescent="0.25">
      <c r="A1280" s="53">
        <v>65</v>
      </c>
      <c r="B1280" s="53" t="s">
        <v>504</v>
      </c>
      <c r="C1280" s="53" t="s">
        <v>516</v>
      </c>
      <c r="D1280" s="53" t="s">
        <v>435</v>
      </c>
      <c r="E1280" s="53" t="s">
        <v>37</v>
      </c>
      <c r="F1280" s="47">
        <v>7</v>
      </c>
      <c r="G1280" s="50">
        <v>28</v>
      </c>
      <c r="J1280" s="50">
        <v>1279</v>
      </c>
    </row>
    <row r="1281" spans="1:10" s="50" customFormat="1" ht="31.5" x14ac:dyDescent="0.25">
      <c r="A1281" s="53">
        <v>65</v>
      </c>
      <c r="B1281" s="53" t="s">
        <v>504</v>
      </c>
      <c r="C1281" s="53" t="s">
        <v>516</v>
      </c>
      <c r="D1281" s="53" t="s">
        <v>435</v>
      </c>
      <c r="E1281" s="53" t="s">
        <v>37</v>
      </c>
      <c r="F1281" s="47">
        <v>8</v>
      </c>
      <c r="G1281" s="50">
        <v>13</v>
      </c>
      <c r="J1281" s="50">
        <v>1280</v>
      </c>
    </row>
    <row r="1282" spans="1:10" s="50" customFormat="1" ht="31.5" x14ac:dyDescent="0.25">
      <c r="A1282" s="53">
        <v>65</v>
      </c>
      <c r="B1282" s="53" t="s">
        <v>504</v>
      </c>
      <c r="C1282" s="53" t="s">
        <v>516</v>
      </c>
      <c r="D1282" s="53" t="s">
        <v>435</v>
      </c>
      <c r="E1282" s="53" t="s">
        <v>37</v>
      </c>
      <c r="F1282" s="47">
        <v>9</v>
      </c>
      <c r="G1282" s="50">
        <v>28</v>
      </c>
      <c r="J1282" s="50">
        <v>1281</v>
      </c>
    </row>
    <row r="1283" spans="1:10" s="50" customFormat="1" ht="31.5" x14ac:dyDescent="0.25">
      <c r="A1283" s="53">
        <v>65</v>
      </c>
      <c r="B1283" s="53" t="s">
        <v>504</v>
      </c>
      <c r="C1283" s="53" t="s">
        <v>516</v>
      </c>
      <c r="D1283" s="53" t="s">
        <v>435</v>
      </c>
      <c r="E1283" s="53" t="s">
        <v>37</v>
      </c>
      <c r="F1283" s="47">
        <v>10</v>
      </c>
      <c r="G1283" s="50">
        <v>39</v>
      </c>
      <c r="J1283" s="50">
        <v>1282</v>
      </c>
    </row>
    <row r="1284" spans="1:10" s="50" customFormat="1" ht="31.5" x14ac:dyDescent="0.25">
      <c r="A1284" s="53">
        <v>65</v>
      </c>
      <c r="B1284" s="53" t="s">
        <v>504</v>
      </c>
      <c r="C1284" s="53" t="s">
        <v>516</v>
      </c>
      <c r="D1284" s="53" t="s">
        <v>435</v>
      </c>
      <c r="E1284" s="53" t="s">
        <v>37</v>
      </c>
      <c r="F1284" s="47">
        <v>11</v>
      </c>
      <c r="G1284" s="50">
        <v>40</v>
      </c>
      <c r="J1284" s="50">
        <v>1283</v>
      </c>
    </row>
    <row r="1285" spans="1:10" s="50" customFormat="1" ht="31.5" x14ac:dyDescent="0.25">
      <c r="A1285" s="53">
        <v>65</v>
      </c>
      <c r="B1285" s="53" t="s">
        <v>504</v>
      </c>
      <c r="C1285" s="53" t="s">
        <v>516</v>
      </c>
      <c r="D1285" s="53" t="s">
        <v>435</v>
      </c>
      <c r="E1285" s="53" t="s">
        <v>37</v>
      </c>
      <c r="F1285" s="47">
        <v>12</v>
      </c>
      <c r="G1285" s="50">
        <v>29</v>
      </c>
      <c r="J1285" s="50">
        <v>1284</v>
      </c>
    </row>
    <row r="1286" spans="1:10" s="50" customFormat="1" ht="32.25" thickBot="1" x14ac:dyDescent="0.3">
      <c r="A1286" s="53">
        <v>65</v>
      </c>
      <c r="B1286" s="53" t="s">
        <v>504</v>
      </c>
      <c r="C1286" s="53" t="s">
        <v>516</v>
      </c>
      <c r="D1286" s="54" t="s">
        <v>435</v>
      </c>
      <c r="E1286" s="54" t="s">
        <v>37</v>
      </c>
      <c r="F1286" s="46">
        <v>13</v>
      </c>
      <c r="G1286" s="55">
        <v>24</v>
      </c>
      <c r="H1286" s="55">
        <v>302</v>
      </c>
      <c r="I1286" s="55">
        <v>13</v>
      </c>
      <c r="J1286" s="50">
        <v>1285</v>
      </c>
    </row>
    <row r="1287" spans="1:10" s="50" customFormat="1" ht="32.25" thickTop="1" x14ac:dyDescent="0.25">
      <c r="A1287" s="53">
        <v>66</v>
      </c>
      <c r="B1287" s="53" t="s">
        <v>504</v>
      </c>
      <c r="C1287" s="53" t="s">
        <v>516</v>
      </c>
      <c r="D1287" s="53" t="s">
        <v>38</v>
      </c>
      <c r="E1287" s="53" t="s">
        <v>39</v>
      </c>
      <c r="F1287" s="47">
        <v>1</v>
      </c>
      <c r="G1287" s="50">
        <v>27</v>
      </c>
      <c r="J1287" s="50">
        <v>1286</v>
      </c>
    </row>
    <row r="1288" spans="1:10" s="50" customFormat="1" ht="31.5" x14ac:dyDescent="0.25">
      <c r="A1288" s="53">
        <v>66</v>
      </c>
      <c r="B1288" s="53" t="s">
        <v>504</v>
      </c>
      <c r="C1288" s="53" t="s">
        <v>516</v>
      </c>
      <c r="D1288" s="53" t="s">
        <v>38</v>
      </c>
      <c r="E1288" s="53" t="s">
        <v>39</v>
      </c>
      <c r="F1288" s="47">
        <v>2</v>
      </c>
      <c r="G1288" s="50">
        <v>26</v>
      </c>
      <c r="J1288" s="50">
        <v>1287</v>
      </c>
    </row>
    <row r="1289" spans="1:10" s="50" customFormat="1" ht="31.5" x14ac:dyDescent="0.25">
      <c r="A1289" s="53">
        <v>66</v>
      </c>
      <c r="B1289" s="53" t="s">
        <v>504</v>
      </c>
      <c r="C1289" s="53" t="s">
        <v>516</v>
      </c>
      <c r="D1289" s="53" t="s">
        <v>38</v>
      </c>
      <c r="E1289" s="53" t="s">
        <v>39</v>
      </c>
      <c r="F1289" s="47">
        <v>3</v>
      </c>
      <c r="G1289" s="50">
        <v>18</v>
      </c>
      <c r="J1289" s="50">
        <v>1288</v>
      </c>
    </row>
    <row r="1290" spans="1:10" s="50" customFormat="1" ht="31.5" x14ac:dyDescent="0.25">
      <c r="A1290" s="53">
        <v>66</v>
      </c>
      <c r="B1290" s="53" t="s">
        <v>504</v>
      </c>
      <c r="C1290" s="53" t="s">
        <v>516</v>
      </c>
      <c r="D1290" s="53" t="s">
        <v>38</v>
      </c>
      <c r="E1290" s="53" t="s">
        <v>39</v>
      </c>
      <c r="F1290" s="47">
        <v>4</v>
      </c>
      <c r="G1290" s="50">
        <v>17</v>
      </c>
      <c r="J1290" s="50">
        <v>1289</v>
      </c>
    </row>
    <row r="1291" spans="1:10" s="50" customFormat="1" ht="32.25" thickBot="1" x14ac:dyDescent="0.3">
      <c r="A1291" s="53">
        <v>66</v>
      </c>
      <c r="B1291" s="53" t="s">
        <v>504</v>
      </c>
      <c r="C1291" s="53" t="s">
        <v>516</v>
      </c>
      <c r="D1291" s="54" t="s">
        <v>38</v>
      </c>
      <c r="E1291" s="54" t="s">
        <v>39</v>
      </c>
      <c r="F1291" s="46">
        <v>5</v>
      </c>
      <c r="G1291" s="55">
        <v>20</v>
      </c>
      <c r="H1291" s="55">
        <v>108</v>
      </c>
      <c r="I1291" s="55">
        <v>5</v>
      </c>
      <c r="J1291" s="50">
        <v>1290</v>
      </c>
    </row>
    <row r="1292" spans="1:10" s="50" customFormat="1" ht="32.25" thickTop="1" x14ac:dyDescent="0.25">
      <c r="A1292" s="53">
        <v>67</v>
      </c>
      <c r="B1292" s="53" t="s">
        <v>504</v>
      </c>
      <c r="C1292" s="53" t="s">
        <v>516</v>
      </c>
      <c r="D1292" s="53" t="s">
        <v>40</v>
      </c>
      <c r="E1292" s="53" t="s">
        <v>41</v>
      </c>
      <c r="F1292" s="47">
        <v>1</v>
      </c>
      <c r="G1292" s="50">
        <v>25</v>
      </c>
      <c r="J1292" s="50">
        <v>1291</v>
      </c>
    </row>
    <row r="1293" spans="1:10" s="50" customFormat="1" ht="31.5" x14ac:dyDescent="0.25">
      <c r="A1293" s="53">
        <v>67</v>
      </c>
      <c r="B1293" s="53" t="s">
        <v>504</v>
      </c>
      <c r="C1293" s="53" t="s">
        <v>516</v>
      </c>
      <c r="D1293" s="53" t="s">
        <v>40</v>
      </c>
      <c r="E1293" s="53" t="s">
        <v>41</v>
      </c>
      <c r="F1293" s="47">
        <v>2</v>
      </c>
      <c r="G1293" s="50">
        <v>25</v>
      </c>
      <c r="J1293" s="50">
        <v>1292</v>
      </c>
    </row>
    <row r="1294" spans="1:10" s="50" customFormat="1" ht="31.5" x14ac:dyDescent="0.25">
      <c r="A1294" s="53">
        <v>67</v>
      </c>
      <c r="B1294" s="53" t="s">
        <v>504</v>
      </c>
      <c r="C1294" s="53" t="s">
        <v>516</v>
      </c>
      <c r="D1294" s="53" t="s">
        <v>40</v>
      </c>
      <c r="E1294" s="53" t="s">
        <v>41</v>
      </c>
      <c r="F1294" s="47">
        <v>3</v>
      </c>
      <c r="G1294" s="50">
        <v>22</v>
      </c>
      <c r="J1294" s="50">
        <v>1293</v>
      </c>
    </row>
    <row r="1295" spans="1:10" s="50" customFormat="1" ht="31.5" x14ac:dyDescent="0.25">
      <c r="A1295" s="53">
        <v>67</v>
      </c>
      <c r="B1295" s="53" t="s">
        <v>504</v>
      </c>
      <c r="C1295" s="53" t="s">
        <v>516</v>
      </c>
      <c r="D1295" s="53" t="s">
        <v>40</v>
      </c>
      <c r="E1295" s="53" t="s">
        <v>41</v>
      </c>
      <c r="F1295" s="47">
        <v>4</v>
      </c>
      <c r="G1295" s="50">
        <v>19</v>
      </c>
      <c r="J1295" s="50">
        <v>1294</v>
      </c>
    </row>
    <row r="1296" spans="1:10" s="50" customFormat="1" ht="32.25" thickBot="1" x14ac:dyDescent="0.3">
      <c r="A1296" s="53">
        <v>67</v>
      </c>
      <c r="B1296" s="53" t="s">
        <v>504</v>
      </c>
      <c r="C1296" s="53" t="s">
        <v>516</v>
      </c>
      <c r="D1296" s="54" t="s">
        <v>40</v>
      </c>
      <c r="E1296" s="54" t="s">
        <v>41</v>
      </c>
      <c r="F1296" s="46">
        <v>5</v>
      </c>
      <c r="G1296" s="55">
        <v>14</v>
      </c>
      <c r="H1296" s="55">
        <v>105</v>
      </c>
      <c r="I1296" s="55">
        <v>5</v>
      </c>
      <c r="J1296" s="50">
        <v>1295</v>
      </c>
    </row>
    <row r="1297" spans="1:22" s="50" customFormat="1" ht="32.25" thickTop="1" x14ac:dyDescent="0.25">
      <c r="A1297" s="53">
        <v>68</v>
      </c>
      <c r="B1297" s="53" t="s">
        <v>504</v>
      </c>
      <c r="C1297" s="53" t="s">
        <v>516</v>
      </c>
      <c r="D1297" s="53" t="s">
        <v>42</v>
      </c>
      <c r="E1297" s="53" t="s">
        <v>43</v>
      </c>
      <c r="F1297" s="47">
        <v>1</v>
      </c>
      <c r="G1297" s="50">
        <v>21</v>
      </c>
      <c r="J1297" s="50">
        <v>1296</v>
      </c>
    </row>
    <row r="1298" spans="1:22" s="50" customFormat="1" ht="31.5" x14ac:dyDescent="0.25">
      <c r="A1298" s="53">
        <v>68</v>
      </c>
      <c r="B1298" s="53" t="s">
        <v>504</v>
      </c>
      <c r="C1298" s="53" t="s">
        <v>516</v>
      </c>
      <c r="D1298" s="53" t="s">
        <v>42</v>
      </c>
      <c r="E1298" s="53" t="s">
        <v>43</v>
      </c>
      <c r="F1298" s="47">
        <v>2</v>
      </c>
      <c r="G1298" s="50">
        <v>22</v>
      </c>
      <c r="J1298" s="50">
        <v>1297</v>
      </c>
    </row>
    <row r="1299" spans="1:22" s="50" customFormat="1" ht="32.25" thickBot="1" x14ac:dyDescent="0.3">
      <c r="A1299" s="53">
        <v>68</v>
      </c>
      <c r="B1299" s="53" t="s">
        <v>504</v>
      </c>
      <c r="C1299" s="53" t="s">
        <v>516</v>
      </c>
      <c r="D1299" s="54" t="s">
        <v>42</v>
      </c>
      <c r="E1299" s="54" t="s">
        <v>43</v>
      </c>
      <c r="F1299" s="46">
        <v>3</v>
      </c>
      <c r="G1299" s="55">
        <v>18</v>
      </c>
      <c r="H1299" s="55">
        <v>61</v>
      </c>
      <c r="I1299" s="55">
        <v>3</v>
      </c>
      <c r="J1299" s="50">
        <v>1298</v>
      </c>
    </row>
    <row r="1300" spans="1:22" s="50" customFormat="1" ht="32.25" thickTop="1" x14ac:dyDescent="0.25">
      <c r="A1300" s="53">
        <v>69</v>
      </c>
      <c r="B1300" s="53" t="s">
        <v>504</v>
      </c>
      <c r="C1300" s="53" t="s">
        <v>516</v>
      </c>
      <c r="D1300" s="53" t="s">
        <v>44</v>
      </c>
      <c r="E1300" s="53" t="s">
        <v>45</v>
      </c>
      <c r="F1300" s="47">
        <v>1</v>
      </c>
      <c r="G1300" s="50">
        <v>10</v>
      </c>
      <c r="J1300" s="50">
        <v>1299</v>
      </c>
    </row>
    <row r="1301" spans="1:22" s="50" customFormat="1" ht="31.5" x14ac:dyDescent="0.25">
      <c r="A1301" s="53">
        <v>69</v>
      </c>
      <c r="B1301" s="53" t="s">
        <v>504</v>
      </c>
      <c r="C1301" s="53" t="s">
        <v>516</v>
      </c>
      <c r="D1301" s="53" t="s">
        <v>44</v>
      </c>
      <c r="E1301" s="53" t="s">
        <v>45</v>
      </c>
      <c r="F1301" s="47">
        <v>2</v>
      </c>
      <c r="G1301" s="50">
        <v>29</v>
      </c>
      <c r="J1301" s="50">
        <v>1300</v>
      </c>
    </row>
    <row r="1302" spans="1:22" s="50" customFormat="1" ht="31.5" x14ac:dyDescent="0.25">
      <c r="A1302" s="53">
        <v>69</v>
      </c>
      <c r="B1302" s="53" t="s">
        <v>504</v>
      </c>
      <c r="C1302" s="53" t="s">
        <v>516</v>
      </c>
      <c r="D1302" s="53" t="s">
        <v>44</v>
      </c>
      <c r="E1302" s="53" t="s">
        <v>45</v>
      </c>
      <c r="F1302" s="47">
        <v>3</v>
      </c>
      <c r="G1302" s="50">
        <v>24</v>
      </c>
      <c r="J1302" s="50">
        <v>1301</v>
      </c>
    </row>
    <row r="1303" spans="1:22" s="50" customFormat="1" ht="31.5" x14ac:dyDescent="0.25">
      <c r="A1303" s="53">
        <v>69</v>
      </c>
      <c r="B1303" s="53" t="s">
        <v>504</v>
      </c>
      <c r="C1303" s="53" t="s">
        <v>516</v>
      </c>
      <c r="D1303" s="53" t="s">
        <v>44</v>
      </c>
      <c r="E1303" s="53" t="s">
        <v>45</v>
      </c>
      <c r="F1303" s="47">
        <v>4</v>
      </c>
      <c r="G1303" s="50">
        <v>21</v>
      </c>
      <c r="J1303" s="50">
        <v>1302</v>
      </c>
    </row>
    <row r="1304" spans="1:22" s="50" customFormat="1" ht="32.25" thickBot="1" x14ac:dyDescent="0.3">
      <c r="A1304" s="53">
        <v>69</v>
      </c>
      <c r="B1304" s="53" t="s">
        <v>504</v>
      </c>
      <c r="C1304" s="53" t="s">
        <v>516</v>
      </c>
      <c r="D1304" s="54" t="s">
        <v>44</v>
      </c>
      <c r="E1304" s="54" t="s">
        <v>45</v>
      </c>
      <c r="F1304" s="46">
        <v>5</v>
      </c>
      <c r="G1304" s="55">
        <v>21</v>
      </c>
      <c r="H1304" s="55">
        <v>105</v>
      </c>
      <c r="I1304" s="55">
        <v>5</v>
      </c>
      <c r="J1304" s="50">
        <v>1303</v>
      </c>
    </row>
    <row r="1305" spans="1:22" s="50" customFormat="1" ht="33" thickTop="1" thickBot="1" x14ac:dyDescent="0.3">
      <c r="A1305" s="53">
        <v>70</v>
      </c>
      <c r="B1305" s="53" t="s">
        <v>504</v>
      </c>
      <c r="C1305" s="53" t="s">
        <v>516</v>
      </c>
      <c r="D1305" s="54" t="s">
        <v>46</v>
      </c>
      <c r="E1305" s="54" t="s">
        <v>47</v>
      </c>
      <c r="F1305" s="46">
        <v>1</v>
      </c>
      <c r="G1305" s="55">
        <v>13</v>
      </c>
      <c r="H1305" s="55">
        <v>13</v>
      </c>
      <c r="I1305" s="55">
        <v>1</v>
      </c>
      <c r="J1305" s="50">
        <v>1304</v>
      </c>
    </row>
    <row r="1306" spans="1:22" s="50" customFormat="1" ht="33" thickTop="1" thickBot="1" x14ac:dyDescent="0.3">
      <c r="A1306" s="53">
        <v>71</v>
      </c>
      <c r="B1306" s="53" t="s">
        <v>504</v>
      </c>
      <c r="C1306" s="53" t="s">
        <v>516</v>
      </c>
      <c r="D1306" s="54" t="s">
        <v>48</v>
      </c>
      <c r="E1306" s="54" t="s">
        <v>49</v>
      </c>
      <c r="F1306" s="46">
        <v>1</v>
      </c>
      <c r="G1306" s="55">
        <v>14</v>
      </c>
      <c r="H1306" s="55">
        <v>14</v>
      </c>
      <c r="I1306" s="55">
        <v>1</v>
      </c>
      <c r="J1306" s="50">
        <v>1305</v>
      </c>
    </row>
    <row r="1307" spans="1:22" s="50" customFormat="1" ht="111.75" thickTop="1" thickBot="1" x14ac:dyDescent="0.3">
      <c r="A1307" s="56">
        <v>72</v>
      </c>
      <c r="B1307" s="53" t="s">
        <v>504</v>
      </c>
      <c r="C1307" s="53" t="s">
        <v>516</v>
      </c>
      <c r="D1307" s="54" t="s">
        <v>52</v>
      </c>
      <c r="E1307" s="54" t="s">
        <v>53</v>
      </c>
      <c r="F1307" s="46">
        <v>1</v>
      </c>
      <c r="G1307" s="55">
        <v>25</v>
      </c>
      <c r="H1307" s="55">
        <v>25</v>
      </c>
      <c r="I1307" s="55">
        <v>1</v>
      </c>
      <c r="J1307" s="50">
        <v>1306</v>
      </c>
      <c r="K1307" s="50" t="s">
        <v>898</v>
      </c>
      <c r="L1307" s="50" t="s">
        <v>898</v>
      </c>
      <c r="M1307" s="50" t="s">
        <v>898</v>
      </c>
      <c r="N1307" s="50" t="s">
        <v>898</v>
      </c>
      <c r="O1307" s="50" t="s">
        <v>898</v>
      </c>
      <c r="P1307" s="50" t="s">
        <v>898</v>
      </c>
      <c r="Q1307" s="50" t="s">
        <v>898</v>
      </c>
      <c r="R1307" s="50" t="s">
        <v>898</v>
      </c>
      <c r="S1307" s="50" t="s">
        <v>898</v>
      </c>
      <c r="T1307" s="50" t="s">
        <v>898</v>
      </c>
      <c r="U1307" s="50" t="s">
        <v>898</v>
      </c>
      <c r="V1307" s="50" t="s">
        <v>898</v>
      </c>
    </row>
    <row r="1308" spans="1:22" s="50" customFormat="1" ht="32.25" thickTop="1" x14ac:dyDescent="0.25">
      <c r="A1308" s="53">
        <v>73</v>
      </c>
      <c r="B1308" s="53" t="s">
        <v>504</v>
      </c>
      <c r="C1308" s="53" t="s">
        <v>517</v>
      </c>
      <c r="D1308" s="53" t="s">
        <v>50</v>
      </c>
      <c r="E1308" s="53" t="s">
        <v>51</v>
      </c>
      <c r="F1308" s="47">
        <v>1</v>
      </c>
      <c r="G1308" s="50">
        <v>20</v>
      </c>
      <c r="J1308" s="50">
        <v>1307</v>
      </c>
    </row>
    <row r="1309" spans="1:22" s="50" customFormat="1" ht="31.5" x14ac:dyDescent="0.25">
      <c r="A1309" s="53">
        <v>73</v>
      </c>
      <c r="B1309" s="53" t="s">
        <v>504</v>
      </c>
      <c r="C1309" s="53" t="s">
        <v>517</v>
      </c>
      <c r="D1309" s="53" t="s">
        <v>50</v>
      </c>
      <c r="E1309" s="53" t="s">
        <v>51</v>
      </c>
      <c r="F1309" s="47">
        <v>2</v>
      </c>
      <c r="G1309" s="50">
        <v>29</v>
      </c>
      <c r="J1309" s="50">
        <v>1308</v>
      </c>
    </row>
    <row r="1310" spans="1:22" s="50" customFormat="1" ht="31.5" x14ac:dyDescent="0.25">
      <c r="A1310" s="53">
        <v>73</v>
      </c>
      <c r="B1310" s="53" t="s">
        <v>504</v>
      </c>
      <c r="C1310" s="53" t="s">
        <v>517</v>
      </c>
      <c r="D1310" s="53" t="s">
        <v>50</v>
      </c>
      <c r="E1310" s="53" t="s">
        <v>51</v>
      </c>
      <c r="F1310" s="47">
        <v>3</v>
      </c>
      <c r="G1310" s="50">
        <v>22</v>
      </c>
      <c r="J1310" s="50">
        <v>1309</v>
      </c>
    </row>
    <row r="1311" spans="1:22" s="50" customFormat="1" ht="31.5" x14ac:dyDescent="0.25">
      <c r="A1311" s="53">
        <v>73</v>
      </c>
      <c r="B1311" s="53" t="s">
        <v>504</v>
      </c>
      <c r="C1311" s="53" t="s">
        <v>517</v>
      </c>
      <c r="D1311" s="53" t="s">
        <v>50</v>
      </c>
      <c r="E1311" s="53" t="s">
        <v>51</v>
      </c>
      <c r="F1311" s="47">
        <v>4</v>
      </c>
      <c r="G1311" s="50">
        <v>11</v>
      </c>
      <c r="J1311" s="50">
        <v>1310</v>
      </c>
    </row>
    <row r="1312" spans="1:22" s="50" customFormat="1" ht="31.5" x14ac:dyDescent="0.25">
      <c r="A1312" s="53">
        <v>73</v>
      </c>
      <c r="B1312" s="53" t="s">
        <v>504</v>
      </c>
      <c r="C1312" s="53" t="s">
        <v>517</v>
      </c>
      <c r="D1312" s="53" t="s">
        <v>50</v>
      </c>
      <c r="E1312" s="53" t="s">
        <v>51</v>
      </c>
      <c r="F1312" s="47">
        <v>5</v>
      </c>
      <c r="G1312" s="50">
        <v>14</v>
      </c>
      <c r="J1312" s="50">
        <v>1311</v>
      </c>
    </row>
    <row r="1313" spans="1:10" s="50" customFormat="1" ht="31.5" x14ac:dyDescent="0.25">
      <c r="A1313" s="53">
        <v>73</v>
      </c>
      <c r="B1313" s="53" t="s">
        <v>504</v>
      </c>
      <c r="C1313" s="53" t="s">
        <v>517</v>
      </c>
      <c r="D1313" s="53" t="s">
        <v>50</v>
      </c>
      <c r="E1313" s="53" t="s">
        <v>51</v>
      </c>
      <c r="F1313" s="47">
        <v>6</v>
      </c>
      <c r="G1313" s="50">
        <v>17</v>
      </c>
      <c r="J1313" s="50">
        <v>1312</v>
      </c>
    </row>
    <row r="1314" spans="1:10" s="50" customFormat="1" ht="31.5" x14ac:dyDescent="0.25">
      <c r="A1314" s="53">
        <v>73</v>
      </c>
      <c r="B1314" s="53" t="s">
        <v>504</v>
      </c>
      <c r="C1314" s="53" t="s">
        <v>517</v>
      </c>
      <c r="D1314" s="53" t="s">
        <v>50</v>
      </c>
      <c r="E1314" s="53" t="s">
        <v>51</v>
      </c>
      <c r="F1314" s="47">
        <v>7</v>
      </c>
      <c r="G1314" s="50">
        <v>17</v>
      </c>
      <c r="J1314" s="50">
        <v>1313</v>
      </c>
    </row>
    <row r="1315" spans="1:10" s="50" customFormat="1" ht="31.5" x14ac:dyDescent="0.25">
      <c r="A1315" s="53">
        <v>73</v>
      </c>
      <c r="B1315" s="53" t="s">
        <v>504</v>
      </c>
      <c r="C1315" s="53" t="s">
        <v>517</v>
      </c>
      <c r="D1315" s="53" t="s">
        <v>50</v>
      </c>
      <c r="E1315" s="53" t="s">
        <v>51</v>
      </c>
      <c r="F1315" s="47">
        <v>8</v>
      </c>
      <c r="G1315" s="50">
        <v>13</v>
      </c>
      <c r="J1315" s="50">
        <v>1314</v>
      </c>
    </row>
    <row r="1316" spans="1:10" s="50" customFormat="1" ht="31.5" x14ac:dyDescent="0.25">
      <c r="A1316" s="53">
        <v>73</v>
      </c>
      <c r="B1316" s="53" t="s">
        <v>504</v>
      </c>
      <c r="C1316" s="53" t="s">
        <v>517</v>
      </c>
      <c r="D1316" s="53" t="s">
        <v>50</v>
      </c>
      <c r="E1316" s="53" t="s">
        <v>51</v>
      </c>
      <c r="F1316" s="47">
        <v>9</v>
      </c>
      <c r="G1316" s="50">
        <v>21</v>
      </c>
      <c r="J1316" s="50">
        <v>1315</v>
      </c>
    </row>
    <row r="1317" spans="1:10" s="50" customFormat="1" ht="31.5" x14ac:dyDescent="0.25">
      <c r="A1317" s="53">
        <v>73</v>
      </c>
      <c r="B1317" s="53" t="s">
        <v>504</v>
      </c>
      <c r="C1317" s="53" t="s">
        <v>517</v>
      </c>
      <c r="D1317" s="53" t="s">
        <v>50</v>
      </c>
      <c r="E1317" s="53" t="s">
        <v>51</v>
      </c>
      <c r="F1317" s="47">
        <v>10</v>
      </c>
      <c r="G1317" s="50">
        <v>11</v>
      </c>
      <c r="J1317" s="50">
        <v>1316</v>
      </c>
    </row>
    <row r="1318" spans="1:10" s="50" customFormat="1" ht="31.5" x14ac:dyDescent="0.25">
      <c r="A1318" s="53">
        <v>73</v>
      </c>
      <c r="B1318" s="53" t="s">
        <v>504</v>
      </c>
      <c r="C1318" s="53" t="s">
        <v>517</v>
      </c>
      <c r="D1318" s="53" t="s">
        <v>50</v>
      </c>
      <c r="E1318" s="53" t="s">
        <v>51</v>
      </c>
      <c r="F1318" s="47">
        <v>11</v>
      </c>
      <c r="G1318" s="50">
        <v>19</v>
      </c>
      <c r="J1318" s="50">
        <v>1317</v>
      </c>
    </row>
    <row r="1319" spans="1:10" s="50" customFormat="1" ht="31.5" x14ac:dyDescent="0.25">
      <c r="A1319" s="53">
        <v>73</v>
      </c>
      <c r="B1319" s="53" t="s">
        <v>504</v>
      </c>
      <c r="C1319" s="53" t="s">
        <v>517</v>
      </c>
      <c r="D1319" s="53" t="s">
        <v>50</v>
      </c>
      <c r="E1319" s="53" t="s">
        <v>51</v>
      </c>
      <c r="F1319" s="47">
        <v>12</v>
      </c>
      <c r="G1319" s="50">
        <v>18</v>
      </c>
      <c r="J1319" s="50">
        <v>1318</v>
      </c>
    </row>
    <row r="1320" spans="1:10" s="50" customFormat="1" ht="31.5" x14ac:dyDescent="0.25">
      <c r="A1320" s="53">
        <v>73</v>
      </c>
      <c r="B1320" s="53" t="s">
        <v>504</v>
      </c>
      <c r="C1320" s="53" t="s">
        <v>517</v>
      </c>
      <c r="D1320" s="53" t="s">
        <v>50</v>
      </c>
      <c r="E1320" s="53" t="s">
        <v>51</v>
      </c>
      <c r="F1320" s="47">
        <v>13</v>
      </c>
      <c r="G1320" s="50">
        <v>18</v>
      </c>
      <c r="J1320" s="50">
        <v>1319</v>
      </c>
    </row>
    <row r="1321" spans="1:10" s="50" customFormat="1" ht="31.5" x14ac:dyDescent="0.25">
      <c r="A1321" s="53">
        <v>73</v>
      </c>
      <c r="B1321" s="53" t="s">
        <v>504</v>
      </c>
      <c r="C1321" s="53" t="s">
        <v>517</v>
      </c>
      <c r="D1321" s="53" t="s">
        <v>50</v>
      </c>
      <c r="E1321" s="53" t="s">
        <v>51</v>
      </c>
      <c r="F1321" s="47">
        <v>14</v>
      </c>
      <c r="G1321" s="50">
        <v>20</v>
      </c>
      <c r="J1321" s="50">
        <v>1320</v>
      </c>
    </row>
    <row r="1322" spans="1:10" s="50" customFormat="1" ht="31.5" x14ac:dyDescent="0.25">
      <c r="A1322" s="53">
        <v>73</v>
      </c>
      <c r="B1322" s="53" t="s">
        <v>504</v>
      </c>
      <c r="C1322" s="53" t="s">
        <v>517</v>
      </c>
      <c r="D1322" s="53" t="s">
        <v>50</v>
      </c>
      <c r="E1322" s="53" t="s">
        <v>51</v>
      </c>
      <c r="F1322" s="47">
        <v>15</v>
      </c>
      <c r="G1322" s="50">
        <v>8</v>
      </c>
      <c r="J1322" s="50">
        <v>1321</v>
      </c>
    </row>
    <row r="1323" spans="1:10" s="50" customFormat="1" ht="31.5" x14ac:dyDescent="0.25">
      <c r="A1323" s="53">
        <v>73</v>
      </c>
      <c r="B1323" s="53" t="s">
        <v>504</v>
      </c>
      <c r="C1323" s="53" t="s">
        <v>517</v>
      </c>
      <c r="D1323" s="53" t="s">
        <v>50</v>
      </c>
      <c r="E1323" s="53" t="s">
        <v>51</v>
      </c>
      <c r="F1323" s="47">
        <v>16</v>
      </c>
      <c r="G1323" s="50">
        <v>21</v>
      </c>
      <c r="J1323" s="50">
        <v>1322</v>
      </c>
    </row>
    <row r="1324" spans="1:10" s="50" customFormat="1" ht="31.5" x14ac:dyDescent="0.25">
      <c r="A1324" s="53">
        <v>73</v>
      </c>
      <c r="B1324" s="53" t="s">
        <v>504</v>
      </c>
      <c r="C1324" s="53" t="s">
        <v>517</v>
      </c>
      <c r="D1324" s="53" t="s">
        <v>50</v>
      </c>
      <c r="E1324" s="53" t="s">
        <v>51</v>
      </c>
      <c r="F1324" s="47">
        <v>17</v>
      </c>
      <c r="G1324" s="50">
        <v>18</v>
      </c>
      <c r="J1324" s="50">
        <v>1323</v>
      </c>
    </row>
    <row r="1325" spans="1:10" s="50" customFormat="1" ht="31.5" x14ac:dyDescent="0.25">
      <c r="A1325" s="53">
        <v>73</v>
      </c>
      <c r="B1325" s="53" t="s">
        <v>504</v>
      </c>
      <c r="C1325" s="53" t="s">
        <v>517</v>
      </c>
      <c r="D1325" s="53" t="s">
        <v>50</v>
      </c>
      <c r="E1325" s="53" t="s">
        <v>51</v>
      </c>
      <c r="F1325" s="47">
        <v>18</v>
      </c>
      <c r="G1325" s="50">
        <v>24</v>
      </c>
      <c r="J1325" s="50">
        <v>1324</v>
      </c>
    </row>
    <row r="1326" spans="1:10" s="50" customFormat="1" ht="31.5" x14ac:dyDescent="0.25">
      <c r="A1326" s="53">
        <v>73</v>
      </c>
      <c r="B1326" s="53" t="s">
        <v>504</v>
      </c>
      <c r="C1326" s="53" t="s">
        <v>517</v>
      </c>
      <c r="D1326" s="53" t="s">
        <v>50</v>
      </c>
      <c r="E1326" s="53" t="s">
        <v>51</v>
      </c>
      <c r="F1326" s="47">
        <v>19</v>
      </c>
      <c r="G1326" s="50">
        <v>21</v>
      </c>
      <c r="J1326" s="50">
        <v>1325</v>
      </c>
    </row>
    <row r="1327" spans="1:10" s="50" customFormat="1" ht="31.5" x14ac:dyDescent="0.25">
      <c r="A1327" s="53">
        <v>73</v>
      </c>
      <c r="B1327" s="53" t="s">
        <v>504</v>
      </c>
      <c r="C1327" s="53" t="s">
        <v>517</v>
      </c>
      <c r="D1327" s="53" t="s">
        <v>50</v>
      </c>
      <c r="E1327" s="53" t="s">
        <v>51</v>
      </c>
      <c r="F1327" s="47">
        <v>20</v>
      </c>
      <c r="G1327" s="50">
        <v>15</v>
      </c>
      <c r="J1327" s="50">
        <v>1326</v>
      </c>
    </row>
    <row r="1328" spans="1:10" s="50" customFormat="1" ht="31.5" x14ac:dyDescent="0.25">
      <c r="A1328" s="53">
        <v>73</v>
      </c>
      <c r="B1328" s="53" t="s">
        <v>504</v>
      </c>
      <c r="C1328" s="53" t="s">
        <v>517</v>
      </c>
      <c r="D1328" s="53" t="s">
        <v>50</v>
      </c>
      <c r="E1328" s="53" t="s">
        <v>51</v>
      </c>
      <c r="F1328" s="47">
        <v>21</v>
      </c>
      <c r="G1328" s="50">
        <v>27</v>
      </c>
      <c r="J1328" s="50">
        <v>1327</v>
      </c>
    </row>
    <row r="1329" spans="1:10" s="50" customFormat="1" ht="32.25" thickBot="1" x14ac:dyDescent="0.3">
      <c r="A1329" s="53">
        <v>73</v>
      </c>
      <c r="B1329" s="53" t="s">
        <v>504</v>
      </c>
      <c r="C1329" s="53" t="s">
        <v>517</v>
      </c>
      <c r="D1329" s="54" t="s">
        <v>50</v>
      </c>
      <c r="E1329" s="54" t="s">
        <v>51</v>
      </c>
      <c r="F1329" s="46">
        <v>22</v>
      </c>
      <c r="G1329" s="55">
        <v>20</v>
      </c>
      <c r="H1329" s="55">
        <v>404</v>
      </c>
      <c r="I1329" s="55">
        <v>22</v>
      </c>
      <c r="J1329" s="50">
        <v>1328</v>
      </c>
    </row>
    <row r="1330" spans="1:10" ht="16.5" thickTop="1" x14ac:dyDescent="0.25">
      <c r="H1330" s="19">
        <v>34363</v>
      </c>
    </row>
  </sheetData>
  <autoFilter ref="A1:V1330" xr:uid="{08A0FA6D-68D2-4306-B99C-3F1FD790BF65}"/>
  <phoneticPr fontId="2" type="noConversion"/>
  <hyperlinks>
    <hyperlink ref="F1070" location="'Mt1-74'!A1" display="'Mt1-74'!A1" xr:uid="{EA15E315-C7B4-4015-A53B-ABBBE1CA0486}"/>
    <hyperlink ref="F1071" location="'Mt2-74'!A1" display="'Mt2-74'!A1" xr:uid="{F0EBBCE6-17D1-46CF-977E-62D1881FBC78}"/>
    <hyperlink ref="F1072" location="'Mt3-74'!A1" display="'Mt3-74'!A1" xr:uid="{F0B48514-6D6F-4253-AE67-FF337C432812}"/>
    <hyperlink ref="F1073" location="'Mt4-74'!A1" display="'Mt4-74'!A1" xr:uid="{389965C0-99B9-4D24-9010-CF67B3B00A08}"/>
    <hyperlink ref="F1074" location="'Mt5-74'!A1" display="'Mt5-74'!A1" xr:uid="{692E912D-A979-4F7C-AE15-F94327514BB8}"/>
    <hyperlink ref="F1075" location="'Mt6-74'!A1" display="'Mt6-74'!A1" xr:uid="{A099E3ED-2737-49E9-886B-25C876101A09}"/>
    <hyperlink ref="F1076" location="'Mt7-74'!A1" display="'Mt7-74'!A1" xr:uid="{A3F9E565-165A-4F90-9163-5EAD410F23E1}"/>
    <hyperlink ref="F1077" location="'Mt8-74'!A1" display="'Mt8-74'!A1" xr:uid="{A4AD1043-6ED0-4C2F-8108-6270C21FA425}"/>
    <hyperlink ref="F1078" location="'Mt9-74'!A1" display="'Mt9-74'!A1" xr:uid="{353BF3E3-3694-4140-B308-E41DFF62ACDD}"/>
    <hyperlink ref="F1079" location="'Mt10-74'!A1" display="'Mt10-74'!A1" xr:uid="{E3664214-CBDD-4208-848A-CDB313D428F1}"/>
    <hyperlink ref="F1080" location="'Mt11-74'!A1" display="'Mt11-74'!A1" xr:uid="{1A44A97B-ED00-4179-8D6F-F400599780AA}"/>
    <hyperlink ref="F1081" location="'Mt12-74'!A1" display="'Mt12-74'!A1" xr:uid="{BAFC0AE0-A39F-439B-BC60-D16FE9953E13}"/>
    <hyperlink ref="F1082" location="'Mt13-74'!A1" display="'Mt13-74'!A1" xr:uid="{7DE50807-19EF-42E4-A75A-8A623CE8C43D}"/>
    <hyperlink ref="F1083" location="'Mt14-74'!A1" display="'Mt14-74'!A1" xr:uid="{53C628CD-E114-47DE-AA59-264BCAF992F5}"/>
    <hyperlink ref="F1084" location="'Mt15-74'!A1" display="'Mt15-74'!A1" xr:uid="{D12B2F03-092C-4E22-ADE8-8AFBD92D78C1}"/>
    <hyperlink ref="F1085" location="'Mt16-74'!A1" display="'Mt16-74'!A1" xr:uid="{C1027912-477C-4A3E-A32A-217E25DCC8EE}"/>
    <hyperlink ref="F1086" location="'Mt17-74'!A1" display="'Mt17-74'!A1" xr:uid="{6C6CE83C-F636-4884-AF83-251D77B54821}"/>
    <hyperlink ref="F1087" location="'Mt18-74'!A1" display="'Mt18-74'!A1" xr:uid="{5C5CC89D-46D6-40A7-B653-381362289BE8}"/>
    <hyperlink ref="F1088" location="'Mt19-74'!A1" display="'Mt19-74'!A1" xr:uid="{7AB5CE7F-5214-4A25-A7B7-22F100385206}"/>
    <hyperlink ref="F1089" location="'Mt20-74'!A1" display="'Mt20-74'!A1" xr:uid="{2453B0ED-E499-4D6F-96C8-99C74318DE8B}"/>
    <hyperlink ref="F1090" location="'Mt21-74'!A1" display="'Mt21-74'!A1" xr:uid="{0F8A3C80-462E-4A56-A0C5-D1F7E615ABF2}"/>
    <hyperlink ref="F1091" location="'Mt22-74'!A1" display="'Mt22-74'!A1" xr:uid="{A4F73106-E7AA-49DA-BBA8-7F14AA418A83}"/>
    <hyperlink ref="F1092" location="'Mt23-74'!A1" display="'Mt23-74'!A1" xr:uid="{347D4F06-DAA4-49A1-9237-C52C671C6A8D}"/>
    <hyperlink ref="F1093" location="'Mt24-74'!A1" display="'Mt24-74'!A1" xr:uid="{B6561075-FFD1-4DFC-B746-81FB31AE92B3}"/>
    <hyperlink ref="F1094" location="'Mt25-74'!A1" display="'Mt25-74'!A1" xr:uid="{4CF73598-EBA7-483D-A334-EAC596EA0DFC}"/>
    <hyperlink ref="F1095" location="'Mt26-74'!A1" display="'Mt26-74'!A1" xr:uid="{AC31317C-4559-49D7-B368-623E93A10382}"/>
    <hyperlink ref="F1096" location="'Mt27-74'!A1" display="'Mt27-74'!A1" xr:uid="{782348ED-51AB-45A6-973D-B4975B8A5F06}"/>
    <hyperlink ref="F1097" location="'Mt28-74'!A1" display="'Mt28-74'!A1" xr:uid="{A68AF8F6-D13F-4C14-A82C-8CB6F0D35585}"/>
    <hyperlink ref="F1099" location="'Mc2-74'!A1" display="'Mc2-74'!A1" xr:uid="{96EE35A4-3117-4E68-BC04-B23453940D7E}"/>
    <hyperlink ref="F1100" location="'Mc3-74'!A1" display="'Mc3-74'!A1" xr:uid="{5F720E13-3F21-4E1A-8BFC-B4E4F538C044}"/>
    <hyperlink ref="F1101" location="'Mc4-74'!A1" display="'Mc4-74'!A1" xr:uid="{535CE4E3-952F-4E07-A1BB-B3F18E3FDBEB}"/>
    <hyperlink ref="F1102" location="'Mc5-74'!A1" display="'Mc5-74'!A1" xr:uid="{B9405ED2-1BD0-48C7-A3F2-B08CCE847560}"/>
    <hyperlink ref="F1103" location="'Mc6-74'!A1" display="'Mc6-74'!A1" xr:uid="{2B6F2669-21D2-4FC0-826E-F1F020E48B3B}"/>
    <hyperlink ref="F1104" location="'Mc7-74'!A1" display="'Mc7-74'!A1" xr:uid="{4FAC9F42-DA1B-460C-AFAF-B1D1E8285BCF}"/>
    <hyperlink ref="F1105" location="'Mc8-74'!A1" display="'Mc8-74'!A1" xr:uid="{FE325730-9E01-4EDA-BB14-8A617CBE04F0}"/>
    <hyperlink ref="F1106" location="'Mc9-74'!A1" display="'Mc9-74'!A1" xr:uid="{D18E011E-0037-475E-B77A-EEF77E070615}"/>
    <hyperlink ref="F1098" location="'Mc1-74'!A1" display="'Mc1-74'!A1" xr:uid="{866AB40F-53AB-4C86-A2E1-7E79DB9C510B}"/>
    <hyperlink ref="F1108" location="'Mc11-74'!A1" display="11" xr:uid="{FFCC6BA3-56EF-49ED-A7F8-2ECB3A200B35}"/>
    <hyperlink ref="F1109" location="'Mc12-74'!A1" display="12" xr:uid="{70479EBB-E6CA-4778-8E4B-4B9DFC935CA5}"/>
    <hyperlink ref="F1110" location="'Mc13-74'!A1" display="13" xr:uid="{C1D01E60-7595-463F-AB3D-3F57B935A5EE}"/>
    <hyperlink ref="F1111" location="'Mc14-74'!A1" display="14" xr:uid="{AC4BD60C-C495-4212-8683-05C1F3327971}"/>
    <hyperlink ref="F1112" location="'Mc15-74'!A1" display="15" xr:uid="{5FAC7522-9DDB-444A-9D59-924C73DB8A56}"/>
    <hyperlink ref="F1113" location="'Mc16-74'!A1" display="16" xr:uid="{E4B70653-D2BC-4AEB-86C9-6B67425AE3DA}"/>
    <hyperlink ref="F1114" location="'Lc1-74'!A1" display="1" xr:uid="{58995028-2BE8-4207-A1DB-5E7784CA14B8}"/>
    <hyperlink ref="F1115" location="'Lc2-74'!A1" display="2" xr:uid="{F26DCD57-8E55-4A55-9E85-F8181FFF103B}"/>
    <hyperlink ref="F1116" location="'Lc3-74'!A1" display="3" xr:uid="{AAB43C71-81DD-4C4F-8C1A-5F6115940914}"/>
    <hyperlink ref="F1117" location="'Lc4-74'!A1" display="4" xr:uid="{0A9C409A-8A8A-4553-BD81-F8FF15E74B9B}"/>
    <hyperlink ref="F1118" location="'Lc5-74'!A1" display="5" xr:uid="{70F1C9C5-A194-44DC-9DB7-A13384B767AD}"/>
    <hyperlink ref="F1119" location="'Lc6-74'!A1" display="6" xr:uid="{9124CEB1-6F02-46FD-BC20-7780B899C658}"/>
    <hyperlink ref="F1120" location="'Lc7-74'!A1" display="7" xr:uid="{A7E6B9A1-9DE5-442E-B9AB-34767DF8FE77}"/>
    <hyperlink ref="F1121" location="'Lc8-74'!A1" display="8" xr:uid="{C38343C1-CDF5-4F5A-A29E-774491F8E22B}"/>
    <hyperlink ref="F1122" location="'Lc9-74'!A1" display="9" xr:uid="{34E8F5E5-FA16-4998-8F22-4B86B3EA911C}"/>
    <hyperlink ref="F1123" location="'Lc10-74'!A1" display="10" xr:uid="{4D5F685D-4389-458A-9E83-12A11E9F0F0D}"/>
    <hyperlink ref="F1124" location="'Lc11-74'!A1" display="11" xr:uid="{52BB3C60-5AA8-429A-ACD5-8651090E4951}"/>
    <hyperlink ref="F1125" location="'Lc12-74'!A1" display="12" xr:uid="{9C4D01A2-710F-42EE-AB6A-0E58859AD2F0}"/>
    <hyperlink ref="F1126" location="'Lc13-74'!A1" display="13" xr:uid="{5663EF85-5037-4ECF-9C8C-50622FC60114}"/>
    <hyperlink ref="F1127" location="'Lc14-74'!A1" display="14" xr:uid="{90E8A32E-CF62-4A66-883F-FB4B017FEDE3}"/>
    <hyperlink ref="F1128" location="'Lc15-74'!A1" display="15" xr:uid="{3128283B-96A4-4048-941F-C47A457AE9E7}"/>
    <hyperlink ref="F1129" location="'Lc16-74'!A1" display="16" xr:uid="{06621BD0-C360-4265-9D43-ECF3929F6A16}"/>
    <hyperlink ref="F1130" location="'Lc17-74'!A1" display="17" xr:uid="{90EEC4FF-270F-4052-B2D4-0B5C83DA8651}"/>
    <hyperlink ref="F1131" location="'Lc18-74'!A1" display="18" xr:uid="{AFFC01C1-3C9A-468E-ACE1-CF1804DEB126}"/>
    <hyperlink ref="F1132" location="'Lc19-74'!A1" display="19" xr:uid="{1E4D0188-B842-49F9-89F5-ED4AC95642AA}"/>
    <hyperlink ref="F1133" location="'Lc20-74'!A1" display="20" xr:uid="{4D0D41F6-102B-4B2D-BDD1-B4D2E958E44C}"/>
    <hyperlink ref="F1134" location="'Lc21-74'!A1" display="21" xr:uid="{BC880460-46C7-4033-8610-8654BB1D86D0}"/>
    <hyperlink ref="F1135" location="'Lc22-74'!A1" display="22" xr:uid="{3F156E3D-2F4B-4058-B7C5-EFC6FB8B6655}"/>
    <hyperlink ref="F1136" location="'Lc23-74'!A1" display="23" xr:uid="{6271A806-C72E-4D6F-BCC6-E4F9573F06BC}"/>
    <hyperlink ref="F1137" location="'Lc24-74'!A1" display="24" xr:uid="{2EA59998-E3D7-4491-8E7F-12096EDC1EE1}"/>
    <hyperlink ref="F1138" location="'Gv1-74'!A1" display="1" xr:uid="{01F89ECF-1C72-4534-A232-7BD8A60DA0CD}"/>
    <hyperlink ref="F1139" location="'Gv2-74'!A1" display="2" xr:uid="{1D896ABF-9874-4E88-951D-A11EC27866C2}"/>
    <hyperlink ref="F1140" location="'Gv3-74'!A1" display="3" xr:uid="{D50A2E1B-0D54-4DF8-A34B-E7BECFC7587B}"/>
    <hyperlink ref="F1141" location="'Gv4-74'!A1" display="4" xr:uid="{C0770E13-5182-46C9-A812-6B8416D6FC03}"/>
    <hyperlink ref="F1142" location="'Gv5-74'!A1" display="5" xr:uid="{E7A1CBEB-4BAA-43DB-A36A-623252CEFE69}"/>
    <hyperlink ref="F1143" location="'Gv6-74'!A1" display="6" xr:uid="{91800384-C3CA-413F-9933-A3BBC81ABFC2}"/>
    <hyperlink ref="F1144" location="'Gv7-74'!A1" display="7" xr:uid="{242314CC-530C-4893-BE2B-F4128A3EEDAD}"/>
    <hyperlink ref="F1145" location="'Gv8-74'!A1" display="8" xr:uid="{41F2642D-7D5F-45F3-BE47-C180B895D970}"/>
    <hyperlink ref="F1146" location="'Gv9-74'!A1" display="9" xr:uid="{6207560A-5231-4A3E-AAC7-6724245D2668}"/>
    <hyperlink ref="F1147" location="'Gv10-74'!A1" display="10" xr:uid="{D87BAB8C-E866-4793-A3E4-6B79E0B576A5}"/>
    <hyperlink ref="F1148" location="'Gv11-74'!A1" display="11" xr:uid="{6E5ABFEB-D0D2-4687-A029-411B691191E2}"/>
    <hyperlink ref="F1149" location="'Gv12-74'!A1" display="12" xr:uid="{01311D2B-EBA0-4FD2-A41F-F33940AA41DA}"/>
    <hyperlink ref="F1150" location="'Gv13-74'!A1" display="13" xr:uid="{750E27AF-BFF0-4F4F-AC13-AED1F1EF5272}"/>
    <hyperlink ref="F1151" location="'Gv14-74'!A1" display="14" xr:uid="{A97D9E7E-84AA-4421-9DB8-2351D5ED63E7}"/>
    <hyperlink ref="F1152" location="'Gv15-74'!A1" display="15" xr:uid="{C310F382-E374-46D0-9F61-EB252E321F55}"/>
    <hyperlink ref="F1153" location="'Gv16-74'!A1" display="16" xr:uid="{9EF4A987-3E9E-4870-B7CE-0FB1D83F7C02}"/>
    <hyperlink ref="F1154" location="'Gv17-74'!A1" display="17" xr:uid="{EA51123B-DBAB-4919-AB94-29EF59745654}"/>
    <hyperlink ref="F1155" location="'Gv18-74'!A1" display="18" xr:uid="{A964A92D-1019-4712-BE21-7D63FB1D1967}"/>
    <hyperlink ref="F1156" location="'Gv19-74'!A1" display="19" xr:uid="{E37A71EC-591D-4DFD-BEA1-4C9AC5249FD7}"/>
    <hyperlink ref="F1157" location="'Gv20-74'!A1" display="20" xr:uid="{A3FE8F7F-0DF1-4E80-B597-C68F9DF6FDC9}"/>
    <hyperlink ref="F1158" location="'Gv21-74'!A1" display="21" xr:uid="{A08ECA0B-AA70-4CED-8529-6C7212B71E3B}"/>
    <hyperlink ref="F1159" location="'At1-74'!A1" display="1" xr:uid="{40655F5E-738F-4436-A54B-C84CA7754847}"/>
    <hyperlink ref="F1160" location="'At2-74'!A1" display="2" xr:uid="{317A080A-5280-4727-94C7-B19B1C1DCAEB}"/>
    <hyperlink ref="F1161" location="'At3-74'!A1" display="3" xr:uid="{EF759C91-6604-444B-9ECD-31BF26AEC17C}"/>
    <hyperlink ref="F1162" location="'At4-74'!A1" display="4" xr:uid="{612945BB-FC3B-4ED5-9DA4-A544694FD55C}"/>
    <hyperlink ref="F1163" location="'At5-74'!A1" display="5" xr:uid="{E66DEB8E-2B2F-44FE-869E-D9EBDC88C5CF}"/>
    <hyperlink ref="F1164" location="'At6-74'!A1" display="6" xr:uid="{6D673D61-91E2-4146-823E-B79C2B1CE2BA}"/>
    <hyperlink ref="F1165" location="'At7-74'!A1" display="7" xr:uid="{C6D83CAB-B2F3-42CE-91BB-6C39B643D790}"/>
    <hyperlink ref="F1166" location="'At8-74'!A1" display="8" xr:uid="{F4E148D3-BCF6-487B-B70F-FB5FB2AEE4F3}"/>
    <hyperlink ref="F1167" location="'At9-74'!A1" display="9" xr:uid="{225C6E7A-827A-475E-8867-48725CD19754}"/>
    <hyperlink ref="F1168" location="'At10-74'!A1" display="10" xr:uid="{F482B0F8-3D46-4F67-9277-01E0E422A031}"/>
    <hyperlink ref="F1169" location="'At11-74'!A1" display="11" xr:uid="{56C11519-D4D6-43ED-A64B-51E7B53B8779}"/>
    <hyperlink ref="F1170" location="'At12-74'!A1" display="12" xr:uid="{409DD15A-EF03-4F82-8A3F-A63473C9270F}"/>
    <hyperlink ref="F1171" location="'At13-74'!A1" display="13" xr:uid="{E5462FCD-7994-4DA5-A31D-BE8607DDB399}"/>
    <hyperlink ref="F1172" location="'At14-74'!A1" display="14" xr:uid="{DDB76D0F-0130-4062-93B0-E257922D4AE0}"/>
    <hyperlink ref="F1173" location="'At15-74'!A1" display="15" xr:uid="{52880A84-B3DC-4A57-9A16-13AD093CA9DB}"/>
    <hyperlink ref="F1174" location="'At16-74'!A1" display="16" xr:uid="{951477D8-6B87-48AB-A1BE-B0A81880DF0E}"/>
    <hyperlink ref="F1175" location="'At17-74'!A1" display="17" xr:uid="{4ED7031E-3E06-44F3-A27C-A649D737B068}"/>
    <hyperlink ref="F1176" location="'At18-74'!A1" display="18" xr:uid="{C8261156-DB9F-4D18-B6C5-4DFCCA3F8805}"/>
    <hyperlink ref="F1177" location="'At19-74'!A1" display="19" xr:uid="{818D52B5-EFFF-4B78-A487-CBD02CD9F7FE}"/>
    <hyperlink ref="F1178" location="'At20-74'!A1" display="20" xr:uid="{879647E1-92A3-4A18-87D4-360C9359837D}"/>
    <hyperlink ref="F1179" location="'At21-74'!A1" display="21" xr:uid="{142A3845-3718-4CAA-AFCC-E5BCFD07A018}"/>
    <hyperlink ref="F1180" location="'At22-74'!A1" display="22" xr:uid="{A2B4E0E0-934A-412E-B426-CEA35D923ED3}"/>
    <hyperlink ref="F1181" location="'At23-74'!A1" display="23" xr:uid="{8C5B0B29-3DE1-4060-BF9F-6089498F65AB}"/>
    <hyperlink ref="F1182" location="'At24-74'!A1" display="24" xr:uid="{ADBB06D4-A331-41C3-9293-79C9D418AEC3}"/>
    <hyperlink ref="F1183" location="'At25-74'!A1" display="25" xr:uid="{45BA5570-580D-4C2B-A12F-25513D50B58E}"/>
    <hyperlink ref="F1184" location="'At26-74'!A1" display="26" xr:uid="{659D59E4-F2A8-47D1-A960-9C20ACF7072B}"/>
    <hyperlink ref="F1185" location="'At27-74'!A1" display="27" xr:uid="{7DDCEBFA-1934-4647-9D69-01BE0EE26CC6}"/>
    <hyperlink ref="F1186" location="'At28-74'!A1" display="28" xr:uid="{8671C9A4-48D1-4186-A14A-EE1D48F00AAA}"/>
    <hyperlink ref="F1187" location="'Rm1-74'!A1" display="1" xr:uid="{88068CEE-2DCE-47C9-BD04-292B907A63CB}"/>
    <hyperlink ref="F1188" location="'Rm2-74'!A1" display="2" xr:uid="{56A8A3D5-AFD7-4E8D-B137-A7F11F90392C}"/>
    <hyperlink ref="F1189" location="'Rm3-74'!A1" display="3" xr:uid="{0B7E2FD7-2C92-4D07-912E-F0C49B150DCC}"/>
    <hyperlink ref="F1190" location="'Rm4-74'!A1" display="4" xr:uid="{D5C7FA01-A297-4FC5-8C62-5AB42107805F}"/>
    <hyperlink ref="F1191" location="'Rm5-74'!A1" display="5" xr:uid="{3E167E7E-4EFE-4F7D-B221-E7259761B814}"/>
    <hyperlink ref="F1192" location="'Rm6-74'!A1" display="6" xr:uid="{4EB67D1F-6707-4709-874E-2447C2A2E74F}"/>
    <hyperlink ref="F1193" location="'Rm7-74'!A1" display="7" xr:uid="{31F7315A-5E36-46BF-93BD-C2CDC9A75C55}"/>
    <hyperlink ref="F1194" location="'Rm8-74'!A1" display="8" xr:uid="{B4CF49D4-5368-412D-816E-79D1610B5C95}"/>
    <hyperlink ref="F1195" location="'Rm9-74'!A1" display="9" xr:uid="{9AB5C311-937E-4CC8-B704-E7551EBB6D13}"/>
    <hyperlink ref="F1196" location="'Rm10-74'!A1" display="10" xr:uid="{FCD5FA68-2427-4423-BE22-08C98A7C2439}"/>
    <hyperlink ref="F1197" location="'Rm11-74'!A1" display="11" xr:uid="{084C5816-FFA0-4377-AE6D-228913B8BBAF}"/>
    <hyperlink ref="F1198" location="'Rm12-74'!A1" display="12" xr:uid="{41635270-DFB4-47D2-BDA6-133A578D730E}"/>
    <hyperlink ref="F1199" location="'Rm13-74'!A1" display="13" xr:uid="{E2B2A607-3E68-4EAA-824D-FB44ACB784CB}"/>
    <hyperlink ref="F1200" location="'Rm14-74'!A1" display="14" xr:uid="{7C4CD743-D6D4-40FD-ADB2-C67DE9A59FB9}"/>
    <hyperlink ref="F1201" location="'Rm15-74'!A1" display="15" xr:uid="{8AAF60CF-965F-467E-B1E5-5C0FDAB8DDE2}"/>
    <hyperlink ref="F1202" location="'Rm16-74'!A1" display="16" xr:uid="{DA169870-9468-45ED-B456-70D7B34B3A86}"/>
    <hyperlink ref="F1203" location="'1Cor1-74'!A1" display="1" xr:uid="{9ACC48BC-6745-4B8A-91D5-8CD08F3D45CF}"/>
    <hyperlink ref="F1204" location="'1Cor2-74'!A1" display="2" xr:uid="{349867A8-B9FB-4F00-914C-FE1065B2F96B}"/>
    <hyperlink ref="F1205" location="'1Cor3-74'!A1" display="3" xr:uid="{CF5C7338-C974-467E-93EF-47824B402906}"/>
    <hyperlink ref="F1206" location="'1Cor4-74'!A1" display="4" xr:uid="{9A2B5DCE-10A2-4B19-A91B-78653DB3F3FA}"/>
    <hyperlink ref="F1207" location="'1Cor5-74'!A1" display="5" xr:uid="{84867FCD-A719-4332-AB05-2C9DB365261E}"/>
    <hyperlink ref="F1208" location="'1Cor6-74'!A1" display="6" xr:uid="{36D9C25C-0429-4257-B647-8BD65532740B}"/>
    <hyperlink ref="F1209" location="'1Cor7-74'!A1" display="7" xr:uid="{EA95105A-864A-4816-A77C-48D7FA074FCC}"/>
    <hyperlink ref="F1210" location="'1Cor8-74'!A1" display="8" xr:uid="{F4BADBCF-38F3-4C60-A57A-D047A08D6876}"/>
    <hyperlink ref="F1211" location="'1Cor9-74'!A1" display="9" xr:uid="{B72DABF9-23AD-4D7E-8CF1-A389668D7D43}"/>
    <hyperlink ref="F1212" location="'1Cor10-74'!A1" display="10" xr:uid="{365130FD-C63D-4575-8B39-7C4C0CD11900}"/>
    <hyperlink ref="F1213" location="'1Cor11-74'!A1" display="11" xr:uid="{AF1742C3-534A-40D8-BF91-96311FA2BC6F}"/>
    <hyperlink ref="F1214" location="'1Cor12-74'!A1" display="12" xr:uid="{3D8EC799-16C9-4FF4-B6E5-DF03A842E768}"/>
    <hyperlink ref="F1215" location="'1Cor13-74'!A1" display="13" xr:uid="{2CE944E9-857E-4D61-898E-61700CEDF9FC}"/>
    <hyperlink ref="F1216" location="'1Cor14-74'!A1" display="14" xr:uid="{D79FFC2F-7777-480E-B9D4-3A026AC0E19C}"/>
    <hyperlink ref="F1217" location="'1Cor15-74'!A1" display="15" xr:uid="{0F0B5702-383A-4120-B23F-45F4ECA8361A}"/>
    <hyperlink ref="F1218" location="'1Cor16-74'!A1" display="16" xr:uid="{0F8261DA-B366-49F3-9A0F-8782202CD07F}"/>
    <hyperlink ref="F1219" location="'2Cor1-74'!A1" display="1" xr:uid="{22C8FD0B-0C88-4D10-A2E3-C2AD793EA9FF}"/>
    <hyperlink ref="F1220" location="'2Cor2-74'!A1" display="2" xr:uid="{074DA8BB-B1A7-4C6A-BFC8-5DD30938AB29}"/>
    <hyperlink ref="F1221" location="'2Cor3-74'!A1" display="3" xr:uid="{9D572AC8-813F-4EA1-9224-693E14857B5E}"/>
    <hyperlink ref="F1222" location="'2Cor4-74'!A1" display="4" xr:uid="{5770DB86-1BD4-4614-A622-79CF4BC10FBF}"/>
    <hyperlink ref="F1223" location="'2Cor5-74'!A1" display="5" xr:uid="{6188347F-80D2-47B3-B2AD-D5B27EC243B0}"/>
    <hyperlink ref="F1224" location="'2Cor6-74'!A1" display="6" xr:uid="{DCCBDD96-EA4B-466F-A2CF-CA9146662CFC}"/>
    <hyperlink ref="F1225" location="'2Cor7-74'!A1" display="7" xr:uid="{B36F59FB-ACB1-470D-AC15-56780D939EC5}"/>
    <hyperlink ref="F1226" location="'2Cor8-74'!A1" display="8" xr:uid="{5CE2355B-B794-4CBF-A9FD-48AB0E8E703C}"/>
    <hyperlink ref="F1227" location="'2Cor9-74'!A1" display="9" xr:uid="{67BC188E-9F66-4E4D-8BB7-1971F2A1C993}"/>
    <hyperlink ref="F1228" location="'2Cor10-74'!A1" display="10" xr:uid="{E07FD781-4A87-4EE5-A711-84BB95EA2DEB}"/>
    <hyperlink ref="F1229" location="'2Cor11-74'!A1" display="11" xr:uid="{93E80561-3EC5-4C5F-96AE-A203F2B67CD3}"/>
    <hyperlink ref="F1230" location="'2Cor12-74'!A1" display="12" xr:uid="{57ECBD9A-EEE4-4C99-BF15-27404E94895D}"/>
    <hyperlink ref="F1231" location="'2Cor13-74'!A1" display="13" xr:uid="{EECE499F-91B1-4CE1-9AC7-B5416428D83F}"/>
    <hyperlink ref="F1232" location="'Gal1-74'!A1" display="1" xr:uid="{2721A085-681C-44BC-8196-1FC9C0B32CAB}"/>
    <hyperlink ref="F1233" location="'Gal2-74'!A1" display="2" xr:uid="{0517BFBB-15CD-4302-9405-DDF6DBE7FF86}"/>
    <hyperlink ref="F1234" location="'Gal3-74'!A1" display="3" xr:uid="{ECE42509-7A4E-4D00-91A2-75CFC053A6D3}"/>
    <hyperlink ref="F1235" location="'Gal4-74'!A1" display="4" xr:uid="{ABACA2AB-A2D8-4BFC-BB0E-640B17D3433B}"/>
    <hyperlink ref="F1236" location="'Gal5-74'!A1" display="5" xr:uid="{0660F19E-20E6-44B9-AA86-5778D36D0E87}"/>
    <hyperlink ref="F1237" location="'Gal6-74'!A1" display="6" xr:uid="{C441DB06-6A57-4169-9935-EDE962B27959}"/>
    <hyperlink ref="F1238" location="'Ef1-74'!A1" display="1" xr:uid="{86422030-F1D4-48C1-98C5-EE9CC3D1B706}"/>
    <hyperlink ref="F1239" location="'Ef2-74'!A1" display="2" xr:uid="{B19C7167-1D17-42B7-BBB0-A3F984D863D7}"/>
    <hyperlink ref="F1240" location="'Ef3-74'!A1" display="3" xr:uid="{87079E36-9603-4E35-A46D-F7F74DCF0257}"/>
    <hyperlink ref="F1241" location="'Ef4-74'!A1" display="4" xr:uid="{45083C51-3657-473B-8B4B-CCF9EB6AE369}"/>
    <hyperlink ref="F1242" location="'Ef5-74'!A1" display="5" xr:uid="{D6A7E544-4FC8-4D86-BB79-B36FD64E9EBB}"/>
    <hyperlink ref="F1243" location="'Ef6-74'!A1" display="6" xr:uid="{10D6A0E7-9484-41BE-8339-7B54E03F173D}"/>
    <hyperlink ref="F1244" location="'Fil1-74'!A1" display="1" xr:uid="{D05ED0D0-9A9B-4145-AFC4-984F400D9AF4}"/>
    <hyperlink ref="F1245" location="'Fil2-74'!A1" display="2" xr:uid="{D3DEB205-B9DB-40E1-8DD8-1BD9A7B67D7D}"/>
    <hyperlink ref="F1246" location="'Fil3-74'!A1" display="3" xr:uid="{5B974C8F-22EB-4210-8C93-0F060E9BEC13}"/>
    <hyperlink ref="F1247" location="'Fil4-74'!A1" display="4" xr:uid="{9031A2D1-ADED-4810-8F9D-C1AC5BDB02DA}"/>
    <hyperlink ref="F1248" location="'Col1-74'!A1" display="1" xr:uid="{1CF5D800-1AE0-4534-8AB6-B6C2DBB5700E}"/>
    <hyperlink ref="F1249" location="'Col2-74'!A1" display="2" xr:uid="{D3AD832D-F151-4454-BF4C-E8262A93B62D}"/>
    <hyperlink ref="F1250" location="'Col3-74'!A1" display="3" xr:uid="{AD09266C-3EE3-4C2A-9C9E-3717907B9E1A}"/>
    <hyperlink ref="F1251" location="'Col4-74'!A1" display="4" xr:uid="{BFEF2CE7-A5A9-4796-9943-E8A0AA6188F6}"/>
    <hyperlink ref="F1252" location="'1Ts1-74'!A1" display="1" xr:uid="{62A04AD6-8D0B-4923-A641-7CE71A12C5D9}"/>
    <hyperlink ref="F1253" location="'1Ts2-74'!A1" display="2" xr:uid="{DC81707F-B7CB-4CB4-B257-0D771D83CF51}"/>
    <hyperlink ref="F1254" location="'1Ts3-74'!A1" display="3" xr:uid="{DF0532EE-9E81-4441-8894-314DE9C980C8}"/>
    <hyperlink ref="F1255" location="'1Ts4-74'!A1" display="4" xr:uid="{9663678A-F6BF-45C8-A1AF-FA09E61DF880}"/>
    <hyperlink ref="F1256" location="'1Ts5-74'!A1" display="5" xr:uid="{58542789-D275-482B-8343-89E6C4CBBA27}"/>
    <hyperlink ref="F1257" location="'2Ts1-74'!A1" display="1" xr:uid="{2F1F8A3A-CD02-4931-8E8D-376E0231C8EA}"/>
    <hyperlink ref="F1258" location="'2Ts2-74'!A1" display="2" xr:uid="{DC583556-14EC-411B-9C80-8B1E073B82B3}"/>
    <hyperlink ref="F1259" location="'2Ts3-74'!A1" display="3" xr:uid="{C1F4B2F5-EE22-4712-992B-5581AD7F68B2}"/>
    <hyperlink ref="F1260" location="'1Tm1-74'!A1" display="1" xr:uid="{50CF1752-F307-430B-8802-CD260E5611BD}"/>
    <hyperlink ref="F1261" location="'1Tm2-74'!A1" display="2" xr:uid="{7EC7F339-0D0A-4C3C-9A42-2E65FD95F5D1}"/>
    <hyperlink ref="F1262" location="'1Tm3-74'!A1" display="3" xr:uid="{B3C4D13C-058E-4EC5-9654-363C83C06F2A}"/>
    <hyperlink ref="F1263" location="'1Tm4-74'!A1" display="4" xr:uid="{8233387F-BE09-40E4-ABE8-929DF55C5425}"/>
    <hyperlink ref="F1264" location="'1Tm5-74'!A1" display="5" xr:uid="{72CAED8A-33D7-4237-BA7C-518A177CDAE2}"/>
    <hyperlink ref="F1265" location="'1Tm6-74'!A1" display="6" xr:uid="{AC427D7F-464F-4689-8FDC-2A76B6E88121}"/>
    <hyperlink ref="F1266" location="'2Tm1-74'!A1" display="1" xr:uid="{9486D24D-8328-4503-AA15-1E324C31AEA2}"/>
    <hyperlink ref="F1267" location="'2Tm2-74'!A1" display="2" xr:uid="{953B4818-7FAC-4262-9A02-377D9865DC19}"/>
    <hyperlink ref="F1268" location="'2Tm3-74'!A1" display="3" xr:uid="{C68C0BF3-8CE4-4709-9661-C4ED58864F86}"/>
    <hyperlink ref="F1269" location="'2Tm4-74'!A1" display="4" xr:uid="{248B091F-687E-4C89-862F-03BB0E9C9867}"/>
    <hyperlink ref="F1270" location="'Tt1-74'!A1" display="1" xr:uid="{F158F6A9-6629-42C9-AFD4-4B7E771F149D}"/>
    <hyperlink ref="F1271" location="'Tt2-74'!A1" display="2" xr:uid="{9E9C1BF8-DCD5-4161-8817-2D5EDF4FD076}"/>
    <hyperlink ref="F1272" location="'Tt3-74'!A1" display="3" xr:uid="{6CB3AEFF-2E51-4DE6-A137-7E803245FF52}"/>
    <hyperlink ref="F1273" location="'Fm1-74'!A1" display="1" xr:uid="{002FDEF3-EB1D-4819-99F0-52D35FB7A4F8}"/>
    <hyperlink ref="F1274" location="'Eb1-74'!A1" display="1" xr:uid="{F7ADFA67-888A-4367-A24C-3F905E2A9631}"/>
    <hyperlink ref="F1275" location="'Eb2-74'!A1" display="2" xr:uid="{83408CA0-6959-4713-BF50-51D2DDBE3549}"/>
    <hyperlink ref="F1276" location="'Eb3-74'!A1" display="3" xr:uid="{90F56725-37AC-4250-80BF-805A459A294C}"/>
    <hyperlink ref="F1277" location="'Eb4-74'!A1" display="4" xr:uid="{CFB4F690-9F7F-4A17-B639-7C27AB3BB119}"/>
    <hyperlink ref="F1278" location="'Eb5-74'!A1" display="5" xr:uid="{5812C725-977C-4661-B72E-27DA508A9098}"/>
    <hyperlink ref="F1279" location="'Eb6-74'!A1" display="6" xr:uid="{33CED76B-491D-489D-A2DC-7EAAB58F4A6B}"/>
    <hyperlink ref="F1280" location="'Eb7-74'!A1" display="7" xr:uid="{3A9730A0-84FA-4981-8F83-F4E929D67A81}"/>
    <hyperlink ref="F1281" location="'Eb8-74'!A1" display="8" xr:uid="{79E7B4A6-F6D3-4CC1-84E1-56C840A87F61}"/>
    <hyperlink ref="F1282" location="'Eb9-74'!A1" display="9" xr:uid="{EFB57833-E236-44DF-82A8-59E032F6C25A}"/>
    <hyperlink ref="F1283" location="'Eb10-74'!A1" display="10" xr:uid="{E837F241-FF82-4A0B-BF10-4E75797E5EBD}"/>
    <hyperlink ref="F1284" location="'Eb11-74'!A1" display="11" xr:uid="{830F23D4-21E4-40DC-9F60-66848340CFA9}"/>
    <hyperlink ref="F1285" location="'Eb12-74'!A1" display="12" xr:uid="{2A9C734A-DFDA-4ED6-9178-F2E8ECFA301E}"/>
    <hyperlink ref="F1286" location="'Eb13-74'!A1" display="13" xr:uid="{8E613C0A-9136-4F0C-870F-3E3356376513}"/>
    <hyperlink ref="F1287" location="'Gc1-74'!A1" display="1" xr:uid="{2ECF2290-7598-454C-920A-4F217344F214}"/>
    <hyperlink ref="F1288" location="'Gc2-74'!A1" display="2" xr:uid="{2AD30DE3-F1D5-4BA0-89E4-98D9CBA16426}"/>
    <hyperlink ref="F1289" location="'Gc3-74'!A1" display="3" xr:uid="{41ECF176-1DBB-45D6-831D-37CB9DED4674}"/>
    <hyperlink ref="F1290" location="'Gc4-74'!A1" display="4" xr:uid="{BDD595DB-C9D4-40A5-86A8-A9C19DC314C9}"/>
    <hyperlink ref="F1291" location="'Gc5-74'!A1" display="5" xr:uid="{171DB205-8813-4BCE-8F56-3B845AAFF781}"/>
    <hyperlink ref="F1292" location="'1Pt1-74'!A1" display="1" xr:uid="{131E00E5-AD47-42E6-92F6-3DFB9B2F7A04}"/>
    <hyperlink ref="F1293" location="'1Pt2-74'!A1" display="2" xr:uid="{1B8757F7-DC09-404A-AE1E-2E460177B0BE}"/>
    <hyperlink ref="F1294" location="'1Pt3-74'!A1" display="3" xr:uid="{9E919CFE-B863-4811-9C86-E496C77DC25E}"/>
    <hyperlink ref="F1295" location="'1Pt4-74'!A1" display="4" xr:uid="{0035A5A6-0A8D-4C51-A28E-68497C6C2ADB}"/>
    <hyperlink ref="F1296" location="'1Pt5-74'!A1" display="5" xr:uid="{97BBFDE1-C47D-4CD3-BD7E-88BB76EE796B}"/>
    <hyperlink ref="F1297" location="'2Pt1-74'!A1" display="1" xr:uid="{86813621-09F8-4F3E-8193-289C1588D9E4}"/>
    <hyperlink ref="F1298" location="'2Pt2-74'!A1" display="2" xr:uid="{13F4F11D-FFF2-4CD8-8D05-E0C03501AF71}"/>
    <hyperlink ref="F1299" location="'2Pt3-74'!A1" display="3" xr:uid="{2234234D-4BA2-449A-9C83-5B07924FCDE4}"/>
    <hyperlink ref="F1300" location="'1Gv1-74'!A1" display="1" xr:uid="{3CD8C015-4661-4E39-9D9F-7CB085838392}"/>
    <hyperlink ref="F1301" location="'1Gv2-74'!A1" display="2" xr:uid="{737316C1-DDBF-46B4-A640-56FB0B76B611}"/>
    <hyperlink ref="F1302" location="'1Gv3-74'!A1" display="3" xr:uid="{09513B67-B1AC-4F81-95C0-2FA144F9FDA5}"/>
    <hyperlink ref="F1303" location="'1Gv4-74'!A1" display="4" xr:uid="{6382E7C8-9416-4AC9-BCDF-022B8ADB841A}"/>
    <hyperlink ref="F1304" location="'1Gv5-74'!A1" display="5" xr:uid="{8A4AC722-9FCA-43DD-A346-481F9EF885B1}"/>
    <hyperlink ref="F1305" location="'2Gv1-74'!A1" display="1" xr:uid="{986030D3-622A-446E-A76C-71A6C474C6E4}"/>
    <hyperlink ref="F1306" location="'3Gv1-74'!A1" display="1" xr:uid="{964ABFD2-4AA3-4071-B0D3-68646D8CD11A}"/>
    <hyperlink ref="F1307" location="'Gd1-74'!A1" display="1" xr:uid="{740B5B59-B4A9-4483-884B-CDEA258A7497}"/>
    <hyperlink ref="F1308" location="'Ap1-74'!A1" display="1" xr:uid="{354F9632-5C91-42B1-936C-C0889C57B9A1}"/>
    <hyperlink ref="F1309" location="'Ap2-74'!A1" display="2" xr:uid="{CA50BB49-EDEC-4F66-A933-91715EFA1C43}"/>
    <hyperlink ref="F1310" location="'Ap3-74'!A1" display="3" xr:uid="{E90A7696-FF94-44D7-8404-A2F3CAC05708}"/>
    <hyperlink ref="F1311" location="'Ap4-74'!A1" display="4" xr:uid="{47076E41-2D1D-4C8F-9325-2EACEE10A469}"/>
    <hyperlink ref="F1312" location="'Ap5-74'!A1" display="5" xr:uid="{28431FA7-B1A2-4132-8977-E283892030E1}"/>
    <hyperlink ref="F1313" location="'Ap6-74'!A1" display="6" xr:uid="{893E3535-5B05-4550-B16D-3401C2F93AF2}"/>
    <hyperlink ref="F1314" location="'Ap7-74'!A1" display="7" xr:uid="{E42D0004-8CD1-46BF-88F8-FD3CA4C8B4A5}"/>
    <hyperlink ref="F1315" location="'Ap8-74'!A1" display="8" xr:uid="{C56FB0EC-3503-4375-83AD-7DBA29404B53}"/>
    <hyperlink ref="F1316" location="'Ap9-74'!A1" display="9" xr:uid="{4E3B4AE1-FF6F-4FEA-B374-5EDE7A2C12C9}"/>
    <hyperlink ref="F1317" location="'Ap10-74'!A1" display="10" xr:uid="{F85FFF97-5654-40E6-9397-C913DF813F85}"/>
    <hyperlink ref="F1318" location="'Ap11-74'!A1" display="11" xr:uid="{D75C5146-AE86-455F-9ED9-C84EA2BB2D48}"/>
    <hyperlink ref="F1319" location="'Ap12-74'!A1" display="12" xr:uid="{B5B54701-0214-4623-B714-782E4F3B05D8}"/>
    <hyperlink ref="F1320" location="'Ap13-74'!A1" display="13" xr:uid="{0C764117-961F-466C-BB35-DE445A7AA794}"/>
    <hyperlink ref="F1321" location="'Ap14-74'!A1" display="14" xr:uid="{2343D522-77E8-4D8D-B713-C09E73967D64}"/>
    <hyperlink ref="F1322" location="'Ap15-74'!A1" display="15" xr:uid="{1881F6C5-90D5-421D-BC81-0E6EAAEB3E03}"/>
    <hyperlink ref="F1323" location="'Ap16-74'!A1" display="16" xr:uid="{68956CEC-AB96-43C2-9D7F-D50244208818}"/>
    <hyperlink ref="F1324" location="'Ap17-74'!A1" display="17" xr:uid="{ABBC03B2-AEC3-4700-B59B-304059E7F9F5}"/>
    <hyperlink ref="F1325" location="'Ap18-74'!A1" display="18" xr:uid="{728CBEA0-363E-45A8-BBA2-8900E090EE9E}"/>
    <hyperlink ref="F1326" location="'Ap19-74'!A1" display="19" xr:uid="{2AA78097-B63B-4CEA-9DA4-1B40E2CD87C3}"/>
    <hyperlink ref="F1327" location="'Ap20-74'!A1" display="20" xr:uid="{D1A9B8A9-B810-43D0-8172-DD01B3B20C01}"/>
    <hyperlink ref="F1328" location="'Ap21-74'!A1" display="21" xr:uid="{B219FBB3-A926-4BDC-B6E1-5BA8A6629A4E}"/>
    <hyperlink ref="F1329" location="'Ap22-74'!A1" display="22" xr:uid="{96F80BA6-0DC3-4875-9B2B-5696C2B0FA76}"/>
    <hyperlink ref="F1107" location="'Mc10-74'!A1" display="'Mc10-74'!A1" xr:uid="{20FB5637-3372-457F-B3B6-42EB4F9058A6}"/>
  </hyperlink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5B67-F077-4C31-8B4B-41EEE6993E0C}">
  <sheetPr codeName="Foglio1"/>
  <dimension ref="A1:L100"/>
  <sheetViews>
    <sheetView workbookViewId="0">
      <selection activeCell="L42" sqref="L42:L54"/>
    </sheetView>
  </sheetViews>
  <sheetFormatPr defaultColWidth="8.7109375" defaultRowHeight="18.75" x14ac:dyDescent="0.3"/>
  <cols>
    <col min="1" max="1" width="6.42578125" style="3" bestFit="1" customWidth="1"/>
    <col min="2" max="2" width="9.85546875" style="3" bestFit="1" customWidth="1"/>
    <col min="3" max="3" width="10.140625" style="3" bestFit="1" customWidth="1"/>
    <col min="4" max="4" width="12.28515625" style="3" bestFit="1" customWidth="1"/>
    <col min="5" max="5" width="17.28515625" style="3" bestFit="1" customWidth="1"/>
    <col min="6" max="8" width="8.7109375" style="3"/>
    <col min="9" max="9" width="14.7109375" style="3" bestFit="1" customWidth="1"/>
    <col min="10" max="10" width="4.140625" style="3" bestFit="1" customWidth="1"/>
    <col min="11" max="11" width="12.28515625" style="3" bestFit="1" customWidth="1"/>
    <col min="12" max="12" width="24.140625" style="3" customWidth="1"/>
    <col min="13" max="16384" width="8.7109375" style="3"/>
  </cols>
  <sheetData>
    <row r="1" spans="1:12" s="1" customFormat="1" ht="30.6" customHeight="1" x14ac:dyDescent="0.25">
      <c r="A1" s="1" t="s">
        <v>1</v>
      </c>
      <c r="B1" s="1" t="s">
        <v>0</v>
      </c>
      <c r="C1" s="1" t="s">
        <v>58</v>
      </c>
      <c r="D1" s="1" t="s">
        <v>59</v>
      </c>
      <c r="E1" s="1" t="s">
        <v>60</v>
      </c>
      <c r="I1" s="1" t="s">
        <v>87</v>
      </c>
      <c r="K1" s="1" t="s">
        <v>59</v>
      </c>
      <c r="L1" s="1" t="s">
        <v>60</v>
      </c>
    </row>
    <row r="2" spans="1:12" x14ac:dyDescent="0.3">
      <c r="A2" s="2" t="s">
        <v>57</v>
      </c>
      <c r="B2" s="2">
        <v>28</v>
      </c>
      <c r="C2" s="2">
        <v>1</v>
      </c>
      <c r="D2" s="2" t="str">
        <f>_xlfn.CONCAT(A2,B2,",",C2," : ")</f>
        <v xml:space="preserve">Mt 28,1 : </v>
      </c>
      <c r="E2" s="3" t="s">
        <v>152</v>
      </c>
      <c r="I2" s="3">
        <v>9999</v>
      </c>
      <c r="J2" s="3" t="s">
        <v>61</v>
      </c>
      <c r="K2" s="2" t="str">
        <f>_xlfn.CONCAT(I2,J2)</f>
        <v>9999a</v>
      </c>
      <c r="L2" s="3" t="s">
        <v>88</v>
      </c>
    </row>
    <row r="3" spans="1:12" x14ac:dyDescent="0.3">
      <c r="A3" s="2" t="s">
        <v>57</v>
      </c>
      <c r="B3" s="2">
        <v>28</v>
      </c>
      <c r="C3" s="2">
        <v>2</v>
      </c>
      <c r="D3" s="2" t="str">
        <f t="shared" ref="D3:D66" si="0">_xlfn.CONCAT(A3,B3,",",C3," : ")</f>
        <v xml:space="preserve">Mt 28,2 : </v>
      </c>
      <c r="E3" s="3" t="s">
        <v>153</v>
      </c>
      <c r="I3" s="3">
        <v>9999</v>
      </c>
      <c r="J3" s="3" t="s">
        <v>62</v>
      </c>
      <c r="K3" s="2" t="str">
        <f t="shared" ref="K3:K66" si="1">_xlfn.CONCAT(I3,J3)</f>
        <v>9999b</v>
      </c>
      <c r="L3" s="3" t="s">
        <v>89</v>
      </c>
    </row>
    <row r="4" spans="1:12" x14ac:dyDescent="0.3">
      <c r="A4" s="2" t="s">
        <v>57</v>
      </c>
      <c r="B4" s="2">
        <v>28</v>
      </c>
      <c r="C4" s="2">
        <v>3</v>
      </c>
      <c r="D4" s="2" t="str">
        <f t="shared" si="0"/>
        <v xml:space="preserve">Mt 28,3 : </v>
      </c>
      <c r="E4" s="3" t="s">
        <v>154</v>
      </c>
      <c r="I4" s="3">
        <v>9999</v>
      </c>
      <c r="J4" s="3" t="s">
        <v>63</v>
      </c>
      <c r="K4" s="2" t="str">
        <f t="shared" si="1"/>
        <v>9999c</v>
      </c>
      <c r="L4" s="3" t="s">
        <v>90</v>
      </c>
    </row>
    <row r="5" spans="1:12" x14ac:dyDescent="0.3">
      <c r="A5" s="2" t="s">
        <v>57</v>
      </c>
      <c r="B5" s="2">
        <v>28</v>
      </c>
      <c r="C5" s="2">
        <v>4</v>
      </c>
      <c r="D5" s="2" t="str">
        <f t="shared" si="0"/>
        <v xml:space="preserve">Mt 28,4 : </v>
      </c>
      <c r="E5" s="3" t="s">
        <v>155</v>
      </c>
      <c r="I5" s="3">
        <v>9999</v>
      </c>
      <c r="J5" s="3" t="s">
        <v>64</v>
      </c>
      <c r="K5" s="2" t="str">
        <f t="shared" si="1"/>
        <v>9999d</v>
      </c>
      <c r="L5" s="3" t="s">
        <v>91</v>
      </c>
    </row>
    <row r="6" spans="1:12" x14ac:dyDescent="0.3">
      <c r="A6" s="2" t="s">
        <v>57</v>
      </c>
      <c r="B6" s="2">
        <v>28</v>
      </c>
      <c r="C6" s="2">
        <v>5</v>
      </c>
      <c r="D6" s="2" t="str">
        <f t="shared" si="0"/>
        <v xml:space="preserve">Mt 28,5 : </v>
      </c>
      <c r="E6" s="3" t="s">
        <v>156</v>
      </c>
      <c r="I6" s="3">
        <v>9999</v>
      </c>
      <c r="J6" s="3" t="s">
        <v>65</v>
      </c>
      <c r="K6" s="2" t="str">
        <f t="shared" si="1"/>
        <v>9999e</v>
      </c>
      <c r="L6" s="3" t="s">
        <v>92</v>
      </c>
    </row>
    <row r="7" spans="1:12" x14ac:dyDescent="0.3">
      <c r="A7" s="2" t="s">
        <v>57</v>
      </c>
      <c r="B7" s="2">
        <v>28</v>
      </c>
      <c r="C7" s="2">
        <v>6</v>
      </c>
      <c r="D7" s="2" t="str">
        <f t="shared" si="0"/>
        <v xml:space="preserve">Mt 28,6 : </v>
      </c>
      <c r="E7" s="3" t="s">
        <v>157</v>
      </c>
      <c r="I7" s="3">
        <v>9999</v>
      </c>
      <c r="J7" s="3" t="s">
        <v>66</v>
      </c>
      <c r="K7" s="2" t="str">
        <f t="shared" si="1"/>
        <v>9999f</v>
      </c>
      <c r="L7" s="3" t="s">
        <v>93</v>
      </c>
    </row>
    <row r="8" spans="1:12" x14ac:dyDescent="0.3">
      <c r="A8" s="2" t="s">
        <v>57</v>
      </c>
      <c r="B8" s="2">
        <v>28</v>
      </c>
      <c r="C8" s="2">
        <v>7</v>
      </c>
      <c r="D8" s="2" t="str">
        <f t="shared" si="0"/>
        <v xml:space="preserve">Mt 28,7 : </v>
      </c>
      <c r="E8" s="3" t="s">
        <v>158</v>
      </c>
      <c r="I8" s="3">
        <v>9999</v>
      </c>
      <c r="J8" s="3" t="s">
        <v>67</v>
      </c>
      <c r="K8" s="2" t="str">
        <f t="shared" si="1"/>
        <v>9999g</v>
      </c>
      <c r="L8" s="3" t="s">
        <v>94</v>
      </c>
    </row>
    <row r="9" spans="1:12" x14ac:dyDescent="0.3">
      <c r="A9" s="2" t="s">
        <v>57</v>
      </c>
      <c r="B9" s="2">
        <v>28</v>
      </c>
      <c r="C9" s="2">
        <v>8</v>
      </c>
      <c r="D9" s="2" t="str">
        <f t="shared" si="0"/>
        <v xml:space="preserve">Mt 28,8 : </v>
      </c>
      <c r="E9" s="3" t="s">
        <v>159</v>
      </c>
      <c r="I9" s="3">
        <v>9999</v>
      </c>
      <c r="J9" s="3" t="s">
        <v>68</v>
      </c>
      <c r="K9" s="2" t="str">
        <f t="shared" si="1"/>
        <v>9999h</v>
      </c>
      <c r="L9" s="3" t="s">
        <v>95</v>
      </c>
    </row>
    <row r="10" spans="1:12" x14ac:dyDescent="0.3">
      <c r="A10" s="2" t="s">
        <v>57</v>
      </c>
      <c r="B10" s="2">
        <v>28</v>
      </c>
      <c r="C10" s="2">
        <v>9</v>
      </c>
      <c r="D10" s="2" t="str">
        <f t="shared" si="0"/>
        <v xml:space="preserve">Mt 28,9 : </v>
      </c>
      <c r="E10" s="3" t="s">
        <v>160</v>
      </c>
      <c r="I10" s="3">
        <v>9999</v>
      </c>
      <c r="J10" s="3" t="s">
        <v>69</v>
      </c>
      <c r="K10" s="2" t="str">
        <f t="shared" si="1"/>
        <v>9999i</v>
      </c>
      <c r="L10" s="3" t="s">
        <v>96</v>
      </c>
    </row>
    <row r="11" spans="1:12" x14ac:dyDescent="0.3">
      <c r="A11" s="2" t="s">
        <v>57</v>
      </c>
      <c r="B11" s="2">
        <v>28</v>
      </c>
      <c r="C11" s="2">
        <v>10</v>
      </c>
      <c r="D11" s="2" t="str">
        <f t="shared" si="0"/>
        <v xml:space="preserve">Mt 28,10 : </v>
      </c>
      <c r="E11" s="3" t="s">
        <v>161</v>
      </c>
      <c r="I11" s="3">
        <v>9999</v>
      </c>
      <c r="J11" s="3" t="s">
        <v>70</v>
      </c>
      <c r="K11" s="2" t="str">
        <f t="shared" si="1"/>
        <v>9999j</v>
      </c>
      <c r="L11" s="3" t="s">
        <v>97</v>
      </c>
    </row>
    <row r="12" spans="1:12" x14ac:dyDescent="0.3">
      <c r="A12" s="2" t="s">
        <v>57</v>
      </c>
      <c r="B12" s="2">
        <v>28</v>
      </c>
      <c r="C12" s="2">
        <v>11</v>
      </c>
      <c r="D12" s="2" t="str">
        <f t="shared" si="0"/>
        <v xml:space="preserve">Mt 28,11 : </v>
      </c>
      <c r="E12" s="3" t="s">
        <v>162</v>
      </c>
      <c r="I12" s="3">
        <v>9999</v>
      </c>
      <c r="J12" s="3" t="s">
        <v>71</v>
      </c>
      <c r="K12" s="2" t="str">
        <f t="shared" si="1"/>
        <v>9999k</v>
      </c>
      <c r="L12" s="3" t="s">
        <v>98</v>
      </c>
    </row>
    <row r="13" spans="1:12" x14ac:dyDescent="0.3">
      <c r="A13" s="2" t="s">
        <v>57</v>
      </c>
      <c r="B13" s="2">
        <v>28</v>
      </c>
      <c r="C13" s="2">
        <v>12</v>
      </c>
      <c r="D13" s="2" t="str">
        <f t="shared" si="0"/>
        <v xml:space="preserve">Mt 28,12 : </v>
      </c>
      <c r="E13" s="3" t="s">
        <v>163</v>
      </c>
      <c r="I13" s="3">
        <v>9999</v>
      </c>
      <c r="J13" s="3" t="s">
        <v>72</v>
      </c>
      <c r="K13" s="2" t="str">
        <f t="shared" si="1"/>
        <v>9999l</v>
      </c>
      <c r="L13" s="3" t="s">
        <v>99</v>
      </c>
    </row>
    <row r="14" spans="1:12" x14ac:dyDescent="0.3">
      <c r="A14" s="2" t="s">
        <v>57</v>
      </c>
      <c r="B14" s="2">
        <v>28</v>
      </c>
      <c r="C14" s="2">
        <v>13</v>
      </c>
      <c r="D14" s="2" t="str">
        <f t="shared" si="0"/>
        <v xml:space="preserve">Mt 28,13 : </v>
      </c>
      <c r="E14" s="3" t="s">
        <v>164</v>
      </c>
      <c r="I14" s="3">
        <v>9999</v>
      </c>
      <c r="J14" s="3" t="s">
        <v>73</v>
      </c>
      <c r="K14" s="2" t="str">
        <f t="shared" si="1"/>
        <v>9999m</v>
      </c>
      <c r="L14" s="3" t="s">
        <v>100</v>
      </c>
    </row>
    <row r="15" spans="1:12" x14ac:dyDescent="0.3">
      <c r="A15" s="2" t="s">
        <v>57</v>
      </c>
      <c r="B15" s="2">
        <v>28</v>
      </c>
      <c r="C15" s="2">
        <v>14</v>
      </c>
      <c r="D15" s="2" t="str">
        <f t="shared" si="0"/>
        <v xml:space="preserve">Mt 28,14 : </v>
      </c>
      <c r="E15" s="3" t="s">
        <v>165</v>
      </c>
      <c r="I15" s="3">
        <v>9999</v>
      </c>
      <c r="J15" s="3" t="s">
        <v>74</v>
      </c>
      <c r="K15" s="2" t="str">
        <f t="shared" si="1"/>
        <v>9999n</v>
      </c>
      <c r="L15" s="3" t="s">
        <v>101</v>
      </c>
    </row>
    <row r="16" spans="1:12" x14ac:dyDescent="0.3">
      <c r="A16" s="2" t="s">
        <v>57</v>
      </c>
      <c r="B16" s="2">
        <v>28</v>
      </c>
      <c r="C16" s="2">
        <v>15</v>
      </c>
      <c r="D16" s="2" t="str">
        <f t="shared" si="0"/>
        <v xml:space="preserve">Mt 28,15 : </v>
      </c>
      <c r="E16" s="3" t="s">
        <v>166</v>
      </c>
      <c r="I16" s="3">
        <v>9999</v>
      </c>
      <c r="J16" s="3" t="s">
        <v>75</v>
      </c>
      <c r="K16" s="2" t="str">
        <f t="shared" si="1"/>
        <v>9999o</v>
      </c>
      <c r="L16" s="3" t="s">
        <v>102</v>
      </c>
    </row>
    <row r="17" spans="1:12" x14ac:dyDescent="0.3">
      <c r="A17" s="2" t="s">
        <v>57</v>
      </c>
      <c r="B17" s="2">
        <v>28</v>
      </c>
      <c r="C17" s="2">
        <v>16</v>
      </c>
      <c r="D17" s="2" t="str">
        <f t="shared" si="0"/>
        <v xml:space="preserve">Mt 28,16 : </v>
      </c>
      <c r="E17" s="3" t="s">
        <v>167</v>
      </c>
      <c r="I17" s="3">
        <v>9999</v>
      </c>
      <c r="J17" s="3" t="s">
        <v>76</v>
      </c>
      <c r="K17" s="2" t="str">
        <f t="shared" si="1"/>
        <v>9999p</v>
      </c>
      <c r="L17" s="3" t="s">
        <v>103</v>
      </c>
    </row>
    <row r="18" spans="1:12" x14ac:dyDescent="0.3">
      <c r="A18" s="2" t="s">
        <v>57</v>
      </c>
      <c r="B18" s="2">
        <v>28</v>
      </c>
      <c r="C18" s="2">
        <v>17</v>
      </c>
      <c r="D18" s="2" t="str">
        <f t="shared" si="0"/>
        <v xml:space="preserve">Mt 28,17 : </v>
      </c>
      <c r="E18" s="3" t="s">
        <v>168</v>
      </c>
      <c r="I18" s="3">
        <v>9999</v>
      </c>
      <c r="J18" s="3" t="s">
        <v>77</v>
      </c>
      <c r="K18" s="2" t="str">
        <f t="shared" si="1"/>
        <v>9999q</v>
      </c>
      <c r="L18" s="3" t="s">
        <v>104</v>
      </c>
    </row>
    <row r="19" spans="1:12" x14ac:dyDescent="0.3">
      <c r="A19" s="2" t="s">
        <v>57</v>
      </c>
      <c r="B19" s="2">
        <v>28</v>
      </c>
      <c r="C19" s="2">
        <v>18</v>
      </c>
      <c r="D19" s="2" t="str">
        <f t="shared" si="0"/>
        <v xml:space="preserve">Mt 28,18 : </v>
      </c>
      <c r="E19" s="3" t="s">
        <v>169</v>
      </c>
      <c r="I19" s="3">
        <v>9999</v>
      </c>
      <c r="J19" s="3" t="s">
        <v>78</v>
      </c>
      <c r="K19" s="2" t="str">
        <f t="shared" si="1"/>
        <v>9999r</v>
      </c>
      <c r="L19" s="3" t="s">
        <v>105</v>
      </c>
    </row>
    <row r="20" spans="1:12" x14ac:dyDescent="0.3">
      <c r="A20" s="2" t="s">
        <v>57</v>
      </c>
      <c r="B20" s="2">
        <v>28</v>
      </c>
      <c r="C20" s="2">
        <v>19</v>
      </c>
      <c r="D20" s="2" t="str">
        <f t="shared" si="0"/>
        <v xml:space="preserve">Mt 28,19 : </v>
      </c>
      <c r="E20" s="3" t="s">
        <v>170</v>
      </c>
      <c r="I20" s="3">
        <v>9999</v>
      </c>
      <c r="J20" s="3" t="s">
        <v>79</v>
      </c>
      <c r="K20" s="2" t="str">
        <f t="shared" si="1"/>
        <v>9999s</v>
      </c>
      <c r="L20" s="3" t="s">
        <v>106</v>
      </c>
    </row>
    <row r="21" spans="1:12" x14ac:dyDescent="0.3">
      <c r="A21" s="2" t="s">
        <v>57</v>
      </c>
      <c r="B21" s="2">
        <v>28</v>
      </c>
      <c r="C21" s="2">
        <v>20</v>
      </c>
      <c r="D21" s="2" t="str">
        <f t="shared" si="0"/>
        <v xml:space="preserve">Mt 28,20 : </v>
      </c>
      <c r="E21" s="3" t="s">
        <v>171</v>
      </c>
      <c r="I21" s="3">
        <v>9999</v>
      </c>
      <c r="J21" s="3" t="s">
        <v>80</v>
      </c>
      <c r="K21" s="2" t="str">
        <f t="shared" si="1"/>
        <v>9999t</v>
      </c>
      <c r="L21" s="3" t="s">
        <v>107</v>
      </c>
    </row>
    <row r="22" spans="1:12" x14ac:dyDescent="0.3">
      <c r="A22" s="2" t="s">
        <v>57</v>
      </c>
      <c r="B22" s="2">
        <v>28</v>
      </c>
      <c r="C22" s="2">
        <v>21</v>
      </c>
      <c r="D22" s="2" t="str">
        <f t="shared" si="0"/>
        <v xml:space="preserve">Mt 28,21 : </v>
      </c>
      <c r="E22" s="3" t="s">
        <v>172</v>
      </c>
      <c r="I22" s="3">
        <v>9999</v>
      </c>
      <c r="J22" s="3" t="s">
        <v>81</v>
      </c>
      <c r="K22" s="2" t="str">
        <f t="shared" si="1"/>
        <v>9999u</v>
      </c>
      <c r="L22" s="3" t="s">
        <v>108</v>
      </c>
    </row>
    <row r="23" spans="1:12" x14ac:dyDescent="0.3">
      <c r="A23" s="2" t="s">
        <v>57</v>
      </c>
      <c r="B23" s="2">
        <v>28</v>
      </c>
      <c r="C23" s="2">
        <v>22</v>
      </c>
      <c r="D23" s="2" t="str">
        <f t="shared" si="0"/>
        <v xml:space="preserve">Mt 28,22 : </v>
      </c>
      <c r="E23" s="3" t="s">
        <v>173</v>
      </c>
      <c r="I23" s="3">
        <v>9999</v>
      </c>
      <c r="J23" s="3" t="s">
        <v>82</v>
      </c>
      <c r="K23" s="2" t="str">
        <f t="shared" si="1"/>
        <v>9999v</v>
      </c>
      <c r="L23" s="3" t="s">
        <v>109</v>
      </c>
    </row>
    <row r="24" spans="1:12" x14ac:dyDescent="0.3">
      <c r="A24" s="2" t="s">
        <v>57</v>
      </c>
      <c r="B24" s="2">
        <v>28</v>
      </c>
      <c r="C24" s="2">
        <v>23</v>
      </c>
      <c r="D24" s="2" t="str">
        <f t="shared" si="0"/>
        <v xml:space="preserve">Mt 28,23 : </v>
      </c>
      <c r="E24" s="3" t="s">
        <v>174</v>
      </c>
      <c r="I24" s="3">
        <v>9999</v>
      </c>
      <c r="J24" s="3" t="s">
        <v>83</v>
      </c>
      <c r="K24" s="2" t="str">
        <f t="shared" si="1"/>
        <v>9999w</v>
      </c>
      <c r="L24" s="3" t="s">
        <v>110</v>
      </c>
    </row>
    <row r="25" spans="1:12" x14ac:dyDescent="0.3">
      <c r="A25" s="2" t="s">
        <v>57</v>
      </c>
      <c r="B25" s="2">
        <v>28</v>
      </c>
      <c r="C25" s="2">
        <v>24</v>
      </c>
      <c r="D25" s="2" t="str">
        <f t="shared" si="0"/>
        <v xml:space="preserve">Mt 28,24 : </v>
      </c>
      <c r="E25" s="3" t="s">
        <v>175</v>
      </c>
      <c r="I25" s="3">
        <v>9999</v>
      </c>
      <c r="J25" s="3" t="s">
        <v>84</v>
      </c>
      <c r="K25" s="2" t="str">
        <f t="shared" si="1"/>
        <v>9999x</v>
      </c>
      <c r="L25" s="3" t="s">
        <v>111</v>
      </c>
    </row>
    <row r="26" spans="1:12" x14ac:dyDescent="0.3">
      <c r="A26" s="2" t="s">
        <v>57</v>
      </c>
      <c r="B26" s="2">
        <v>28</v>
      </c>
      <c r="C26" s="2">
        <v>25</v>
      </c>
      <c r="D26" s="2" t="str">
        <f t="shared" si="0"/>
        <v xml:space="preserve">Mt 28,25 : </v>
      </c>
      <c r="E26" s="3" t="s">
        <v>176</v>
      </c>
      <c r="I26" s="3">
        <v>9999</v>
      </c>
      <c r="J26" s="3" t="s">
        <v>85</v>
      </c>
      <c r="K26" s="2" t="str">
        <f t="shared" si="1"/>
        <v>9999y</v>
      </c>
      <c r="L26" s="3" t="s">
        <v>112</v>
      </c>
    </row>
    <row r="27" spans="1:12" x14ac:dyDescent="0.3">
      <c r="A27" s="2" t="s">
        <v>57</v>
      </c>
      <c r="B27" s="2">
        <v>28</v>
      </c>
      <c r="C27" s="2">
        <v>26</v>
      </c>
      <c r="D27" s="2" t="str">
        <f t="shared" si="0"/>
        <v xml:space="preserve">Mt 28,26 : </v>
      </c>
      <c r="E27" s="3" t="s">
        <v>177</v>
      </c>
      <c r="I27" s="3">
        <v>9999</v>
      </c>
      <c r="J27" s="3" t="s">
        <v>86</v>
      </c>
      <c r="K27" s="2" t="str">
        <f t="shared" si="1"/>
        <v>9999z</v>
      </c>
      <c r="L27" s="3" t="s">
        <v>113</v>
      </c>
    </row>
    <row r="28" spans="1:12" x14ac:dyDescent="0.3">
      <c r="A28" s="2" t="s">
        <v>57</v>
      </c>
      <c r="B28" s="2">
        <v>28</v>
      </c>
      <c r="C28" s="2">
        <v>27</v>
      </c>
      <c r="D28" s="2" t="str">
        <f t="shared" si="0"/>
        <v xml:space="preserve">Mt 28,27 : </v>
      </c>
      <c r="E28" s="3" t="s">
        <v>178</v>
      </c>
      <c r="I28" s="3">
        <v>9999</v>
      </c>
      <c r="J28" s="3" t="s">
        <v>114</v>
      </c>
      <c r="K28" s="2" t="str">
        <f t="shared" si="1"/>
        <v>9999aa</v>
      </c>
      <c r="L28" s="3" t="s">
        <v>131</v>
      </c>
    </row>
    <row r="29" spans="1:12" x14ac:dyDescent="0.3">
      <c r="A29" s="2" t="s">
        <v>57</v>
      </c>
      <c r="B29" s="2">
        <v>28</v>
      </c>
      <c r="C29" s="2">
        <v>28</v>
      </c>
      <c r="D29" s="2" t="str">
        <f t="shared" si="0"/>
        <v xml:space="preserve">Mt 28,28 : </v>
      </c>
      <c r="E29" s="3" t="s">
        <v>179</v>
      </c>
      <c r="I29" s="3">
        <v>9999</v>
      </c>
      <c r="J29" s="3" t="s">
        <v>115</v>
      </c>
      <c r="K29" s="2" t="str">
        <f t="shared" si="1"/>
        <v>9999ab</v>
      </c>
      <c r="L29" s="3" t="s">
        <v>132</v>
      </c>
    </row>
    <row r="30" spans="1:12" x14ac:dyDescent="0.3">
      <c r="A30" s="2" t="s">
        <v>57</v>
      </c>
      <c r="B30" s="2">
        <v>28</v>
      </c>
      <c r="C30" s="2">
        <v>29</v>
      </c>
      <c r="D30" s="2" t="str">
        <f t="shared" si="0"/>
        <v xml:space="preserve">Mt 28,29 : </v>
      </c>
      <c r="E30" s="3" t="s">
        <v>180</v>
      </c>
      <c r="I30" s="3">
        <v>9999</v>
      </c>
      <c r="J30" s="3" t="s">
        <v>116</v>
      </c>
      <c r="K30" s="2" t="str">
        <f t="shared" si="1"/>
        <v>9999ac</v>
      </c>
      <c r="L30" s="3" t="s">
        <v>133</v>
      </c>
    </row>
    <row r="31" spans="1:12" x14ac:dyDescent="0.3">
      <c r="A31" s="2" t="s">
        <v>57</v>
      </c>
      <c r="B31" s="2">
        <v>28</v>
      </c>
      <c r="C31" s="2">
        <v>30</v>
      </c>
      <c r="D31" s="2" t="str">
        <f t="shared" si="0"/>
        <v xml:space="preserve">Mt 28,30 : </v>
      </c>
      <c r="E31" s="3" t="s">
        <v>181</v>
      </c>
      <c r="I31" s="3">
        <v>9999</v>
      </c>
      <c r="J31" s="3" t="s">
        <v>117</v>
      </c>
      <c r="K31" s="2" t="str">
        <f t="shared" si="1"/>
        <v>9999ad</v>
      </c>
      <c r="L31" s="3" t="s">
        <v>134</v>
      </c>
    </row>
    <row r="32" spans="1:12" x14ac:dyDescent="0.3">
      <c r="A32" s="2" t="s">
        <v>57</v>
      </c>
      <c r="B32" s="2">
        <v>28</v>
      </c>
      <c r="C32" s="2">
        <v>31</v>
      </c>
      <c r="D32" s="2" t="str">
        <f t="shared" si="0"/>
        <v xml:space="preserve">Mt 28,31 : </v>
      </c>
      <c r="E32" s="3" t="s">
        <v>182</v>
      </c>
      <c r="I32" s="3">
        <v>9999</v>
      </c>
      <c r="J32" s="3" t="s">
        <v>118</v>
      </c>
      <c r="K32" s="2" t="str">
        <f t="shared" si="1"/>
        <v>9999ae</v>
      </c>
      <c r="L32" s="3" t="s">
        <v>135</v>
      </c>
    </row>
    <row r="33" spans="1:12" x14ac:dyDescent="0.3">
      <c r="A33" s="2" t="s">
        <v>57</v>
      </c>
      <c r="B33" s="2">
        <v>28</v>
      </c>
      <c r="C33" s="2">
        <v>32</v>
      </c>
      <c r="D33" s="2" t="str">
        <f t="shared" si="0"/>
        <v xml:space="preserve">Mt 28,32 : </v>
      </c>
      <c r="E33" s="3" t="s">
        <v>183</v>
      </c>
      <c r="I33" s="3">
        <v>9999</v>
      </c>
      <c r="J33" s="3" t="s">
        <v>119</v>
      </c>
      <c r="K33" s="2" t="str">
        <f t="shared" si="1"/>
        <v>9999af</v>
      </c>
      <c r="L33" s="3" t="s">
        <v>136</v>
      </c>
    </row>
    <row r="34" spans="1:12" x14ac:dyDescent="0.3">
      <c r="A34" s="2" t="s">
        <v>57</v>
      </c>
      <c r="B34" s="2">
        <v>28</v>
      </c>
      <c r="C34" s="2">
        <v>33</v>
      </c>
      <c r="D34" s="2" t="str">
        <f t="shared" si="0"/>
        <v xml:space="preserve">Mt 28,33 : </v>
      </c>
      <c r="E34" s="3" t="s">
        <v>184</v>
      </c>
      <c r="I34" s="3">
        <v>9999</v>
      </c>
      <c r="J34" s="3" t="s">
        <v>120</v>
      </c>
      <c r="K34" s="2" t="str">
        <f t="shared" si="1"/>
        <v>9999ag</v>
      </c>
      <c r="L34" s="3" t="s">
        <v>137</v>
      </c>
    </row>
    <row r="35" spans="1:12" x14ac:dyDescent="0.3">
      <c r="A35" s="2" t="s">
        <v>57</v>
      </c>
      <c r="B35" s="2">
        <v>28</v>
      </c>
      <c r="C35" s="2">
        <v>34</v>
      </c>
      <c r="D35" s="2" t="str">
        <f t="shared" si="0"/>
        <v xml:space="preserve">Mt 28,34 : </v>
      </c>
      <c r="E35" s="3" t="s">
        <v>185</v>
      </c>
      <c r="I35" s="3">
        <v>9999</v>
      </c>
      <c r="J35" s="3" t="s">
        <v>121</v>
      </c>
      <c r="K35" s="2" t="str">
        <f t="shared" si="1"/>
        <v>9999ah</v>
      </c>
      <c r="L35" s="3" t="s">
        <v>138</v>
      </c>
    </row>
    <row r="36" spans="1:12" x14ac:dyDescent="0.3">
      <c r="A36" s="2" t="s">
        <v>57</v>
      </c>
      <c r="B36" s="2">
        <v>28</v>
      </c>
      <c r="C36" s="2">
        <v>35</v>
      </c>
      <c r="D36" s="2" t="str">
        <f t="shared" si="0"/>
        <v xml:space="preserve">Mt 28,35 : </v>
      </c>
      <c r="E36" s="3" t="s">
        <v>186</v>
      </c>
      <c r="I36" s="3">
        <v>9999</v>
      </c>
      <c r="J36" s="3" t="s">
        <v>122</v>
      </c>
      <c r="K36" s="2" t="str">
        <f t="shared" si="1"/>
        <v>9999ai</v>
      </c>
      <c r="L36" s="3" t="s">
        <v>139</v>
      </c>
    </row>
    <row r="37" spans="1:12" x14ac:dyDescent="0.3">
      <c r="A37" s="2" t="s">
        <v>57</v>
      </c>
      <c r="B37" s="2">
        <v>28</v>
      </c>
      <c r="C37" s="2">
        <v>36</v>
      </c>
      <c r="D37" s="2" t="str">
        <f t="shared" si="0"/>
        <v xml:space="preserve">Mt 28,36 : </v>
      </c>
      <c r="E37" s="3" t="s">
        <v>187</v>
      </c>
      <c r="I37" s="3">
        <v>9999</v>
      </c>
      <c r="J37" s="3" t="s">
        <v>123</v>
      </c>
      <c r="K37" s="2" t="str">
        <f t="shared" si="1"/>
        <v>9999aj</v>
      </c>
      <c r="L37" s="3" t="s">
        <v>140</v>
      </c>
    </row>
    <row r="38" spans="1:12" x14ac:dyDescent="0.3">
      <c r="A38" s="2" t="s">
        <v>57</v>
      </c>
      <c r="B38" s="2">
        <v>28</v>
      </c>
      <c r="C38" s="2">
        <v>37</v>
      </c>
      <c r="D38" s="2" t="str">
        <f t="shared" si="0"/>
        <v xml:space="preserve">Mt 28,37 : </v>
      </c>
      <c r="E38" s="3" t="s">
        <v>188</v>
      </c>
      <c r="I38" s="3">
        <v>9999</v>
      </c>
      <c r="J38" s="3" t="s">
        <v>124</v>
      </c>
      <c r="K38" s="2" t="str">
        <f t="shared" si="1"/>
        <v>9999ak</v>
      </c>
      <c r="L38" s="3" t="s">
        <v>141</v>
      </c>
    </row>
    <row r="39" spans="1:12" x14ac:dyDescent="0.3">
      <c r="A39" s="2" t="s">
        <v>57</v>
      </c>
      <c r="B39" s="2">
        <v>28</v>
      </c>
      <c r="C39" s="2">
        <v>38</v>
      </c>
      <c r="D39" s="2" t="str">
        <f t="shared" si="0"/>
        <v xml:space="preserve">Mt 28,38 : </v>
      </c>
      <c r="E39" s="3" t="s">
        <v>189</v>
      </c>
      <c r="I39" s="3">
        <v>9999</v>
      </c>
      <c r="J39" s="3" t="s">
        <v>125</v>
      </c>
      <c r="K39" s="2" t="str">
        <f t="shared" si="1"/>
        <v>9999al</v>
      </c>
      <c r="L39" s="3" t="s">
        <v>142</v>
      </c>
    </row>
    <row r="40" spans="1:12" x14ac:dyDescent="0.3">
      <c r="A40" s="2" t="s">
        <v>57</v>
      </c>
      <c r="B40" s="2">
        <v>28</v>
      </c>
      <c r="C40" s="2">
        <v>39</v>
      </c>
      <c r="D40" s="2" t="str">
        <f t="shared" si="0"/>
        <v xml:space="preserve">Mt 28,39 : </v>
      </c>
      <c r="E40" s="3" t="s">
        <v>190</v>
      </c>
      <c r="I40" s="3">
        <v>9999</v>
      </c>
      <c r="J40" s="3" t="s">
        <v>126</v>
      </c>
      <c r="K40" s="2" t="str">
        <f t="shared" si="1"/>
        <v>9999am</v>
      </c>
      <c r="L40" s="3" t="s">
        <v>143</v>
      </c>
    </row>
    <row r="41" spans="1:12" x14ac:dyDescent="0.3">
      <c r="A41" s="2" t="s">
        <v>57</v>
      </c>
      <c r="B41" s="2">
        <v>28</v>
      </c>
      <c r="C41" s="2">
        <v>40</v>
      </c>
      <c r="D41" s="2" t="str">
        <f t="shared" si="0"/>
        <v xml:space="preserve">Mt 28,40 : </v>
      </c>
      <c r="E41" s="3" t="s">
        <v>191</v>
      </c>
      <c r="I41" s="3">
        <v>9999</v>
      </c>
      <c r="J41" s="3" t="s">
        <v>127</v>
      </c>
      <c r="K41" s="2" t="str">
        <f t="shared" si="1"/>
        <v>9999an</v>
      </c>
      <c r="L41" s="3" t="s">
        <v>144</v>
      </c>
    </row>
    <row r="42" spans="1:12" x14ac:dyDescent="0.3">
      <c r="A42" s="2" t="s">
        <v>57</v>
      </c>
      <c r="B42" s="2">
        <v>28</v>
      </c>
      <c r="C42" s="2">
        <v>41</v>
      </c>
      <c r="D42" s="2" t="str">
        <f t="shared" si="0"/>
        <v xml:space="preserve">Mt 28,41 : </v>
      </c>
      <c r="E42" s="3" t="s">
        <v>192</v>
      </c>
      <c r="I42" s="3">
        <v>9999</v>
      </c>
      <c r="J42" s="3" t="s">
        <v>128</v>
      </c>
      <c r="K42" s="2" t="str">
        <f t="shared" si="1"/>
        <v>9999ao</v>
      </c>
      <c r="L42" s="3" t="s">
        <v>145</v>
      </c>
    </row>
    <row r="43" spans="1:12" x14ac:dyDescent="0.3">
      <c r="A43" s="2" t="s">
        <v>57</v>
      </c>
      <c r="B43" s="2">
        <v>28</v>
      </c>
      <c r="C43" s="2">
        <v>42</v>
      </c>
      <c r="D43" s="2" t="str">
        <f t="shared" si="0"/>
        <v xml:space="preserve">Mt 28,42 : </v>
      </c>
      <c r="E43" s="3" t="s">
        <v>193</v>
      </c>
      <c r="I43" s="3">
        <v>9999</v>
      </c>
      <c r="J43" s="3" t="s">
        <v>129</v>
      </c>
      <c r="K43" s="2" t="str">
        <f t="shared" si="1"/>
        <v>9999ap</v>
      </c>
      <c r="L43" s="3" t="s">
        <v>146</v>
      </c>
    </row>
    <row r="44" spans="1:12" x14ac:dyDescent="0.3">
      <c r="A44" s="2" t="s">
        <v>57</v>
      </c>
      <c r="B44" s="2">
        <v>28</v>
      </c>
      <c r="C44" s="2">
        <v>43</v>
      </c>
      <c r="D44" s="2" t="str">
        <f t="shared" si="0"/>
        <v xml:space="preserve">Mt 28,43 : </v>
      </c>
      <c r="E44" s="3" t="s">
        <v>194</v>
      </c>
      <c r="I44" s="3">
        <v>9999</v>
      </c>
      <c r="J44" s="3" t="s">
        <v>130</v>
      </c>
      <c r="K44" s="2" t="str">
        <f t="shared" si="1"/>
        <v>9999aq</v>
      </c>
      <c r="L44" s="3" t="s">
        <v>147</v>
      </c>
    </row>
    <row r="45" spans="1:12" x14ac:dyDescent="0.3">
      <c r="A45" s="2" t="s">
        <v>57</v>
      </c>
      <c r="B45" s="2">
        <v>28</v>
      </c>
      <c r="C45" s="2">
        <v>44</v>
      </c>
      <c r="D45" s="2" t="str">
        <f t="shared" si="0"/>
        <v xml:space="preserve">Mt 28,44 : </v>
      </c>
      <c r="E45" s="3" t="s">
        <v>195</v>
      </c>
      <c r="I45" s="3">
        <v>9999</v>
      </c>
      <c r="J45" s="3" t="s">
        <v>251</v>
      </c>
      <c r="K45" s="2" t="str">
        <f t="shared" si="1"/>
        <v>9999ar</v>
      </c>
      <c r="L45" s="3" t="s">
        <v>260</v>
      </c>
    </row>
    <row r="46" spans="1:12" x14ac:dyDescent="0.3">
      <c r="A46" s="2" t="s">
        <v>57</v>
      </c>
      <c r="B46" s="2">
        <v>28</v>
      </c>
      <c r="C46" s="2">
        <v>45</v>
      </c>
      <c r="D46" s="2" t="str">
        <f t="shared" si="0"/>
        <v xml:space="preserve">Mt 28,45 : </v>
      </c>
      <c r="E46" s="3" t="s">
        <v>196</v>
      </c>
      <c r="I46" s="3">
        <v>9999</v>
      </c>
      <c r="J46" s="3" t="s">
        <v>252</v>
      </c>
      <c r="K46" s="2" t="str">
        <f t="shared" si="1"/>
        <v>9999as</v>
      </c>
      <c r="L46" s="3" t="s">
        <v>261</v>
      </c>
    </row>
    <row r="47" spans="1:12" x14ac:dyDescent="0.3">
      <c r="A47" s="2" t="s">
        <v>57</v>
      </c>
      <c r="B47" s="2">
        <v>28</v>
      </c>
      <c r="C47" s="2">
        <v>46</v>
      </c>
      <c r="D47" s="2" t="str">
        <f t="shared" si="0"/>
        <v xml:space="preserve">Mt 28,46 : </v>
      </c>
      <c r="E47" s="3" t="s">
        <v>197</v>
      </c>
      <c r="I47" s="3">
        <v>9999</v>
      </c>
      <c r="J47" s="3" t="s">
        <v>253</v>
      </c>
      <c r="K47" s="2" t="str">
        <f t="shared" si="1"/>
        <v>9999at</v>
      </c>
      <c r="L47" s="3" t="s">
        <v>262</v>
      </c>
    </row>
    <row r="48" spans="1:12" x14ac:dyDescent="0.3">
      <c r="A48" s="2" t="s">
        <v>57</v>
      </c>
      <c r="B48" s="2">
        <v>28</v>
      </c>
      <c r="C48" s="2">
        <v>47</v>
      </c>
      <c r="D48" s="2" t="str">
        <f t="shared" si="0"/>
        <v xml:space="preserve">Mt 28,47 : </v>
      </c>
      <c r="E48" s="3" t="s">
        <v>198</v>
      </c>
      <c r="I48" s="3">
        <v>9999</v>
      </c>
      <c r="J48" s="3" t="s">
        <v>254</v>
      </c>
      <c r="K48" s="2" t="str">
        <f t="shared" si="1"/>
        <v>9999au</v>
      </c>
      <c r="L48" s="3" t="s">
        <v>263</v>
      </c>
    </row>
    <row r="49" spans="1:12" x14ac:dyDescent="0.3">
      <c r="A49" s="2" t="s">
        <v>57</v>
      </c>
      <c r="B49" s="2">
        <v>28</v>
      </c>
      <c r="C49" s="2">
        <v>48</v>
      </c>
      <c r="D49" s="2" t="str">
        <f t="shared" si="0"/>
        <v xml:space="preserve">Mt 28,48 : </v>
      </c>
      <c r="E49" s="3" t="s">
        <v>199</v>
      </c>
      <c r="I49" s="3">
        <v>9999</v>
      </c>
      <c r="J49" s="3" t="s">
        <v>255</v>
      </c>
      <c r="K49" s="2" t="str">
        <f t="shared" si="1"/>
        <v>9999av</v>
      </c>
      <c r="L49" s="3" t="s">
        <v>264</v>
      </c>
    </row>
    <row r="50" spans="1:12" x14ac:dyDescent="0.3">
      <c r="A50" s="2" t="s">
        <v>57</v>
      </c>
      <c r="B50" s="2">
        <v>28</v>
      </c>
      <c r="C50" s="2">
        <v>49</v>
      </c>
      <c r="D50" s="2" t="str">
        <f t="shared" si="0"/>
        <v xml:space="preserve">Mt 28,49 : </v>
      </c>
      <c r="E50" s="3" t="s">
        <v>200</v>
      </c>
      <c r="I50" s="3">
        <v>9999</v>
      </c>
      <c r="J50" s="3" t="s">
        <v>256</v>
      </c>
      <c r="K50" s="2" t="str">
        <f t="shared" si="1"/>
        <v>9999aw</v>
      </c>
      <c r="L50" s="3" t="s">
        <v>265</v>
      </c>
    </row>
    <row r="51" spans="1:12" x14ac:dyDescent="0.3">
      <c r="A51" s="2" t="s">
        <v>57</v>
      </c>
      <c r="B51" s="2">
        <v>28</v>
      </c>
      <c r="C51" s="2">
        <v>50</v>
      </c>
      <c r="D51" s="2" t="str">
        <f t="shared" si="0"/>
        <v xml:space="preserve">Mt 28,50 : </v>
      </c>
      <c r="E51" s="3" t="s">
        <v>201</v>
      </c>
      <c r="I51" s="3">
        <v>9999</v>
      </c>
      <c r="J51" s="3" t="s">
        <v>257</v>
      </c>
      <c r="K51" s="2" t="str">
        <f t="shared" si="1"/>
        <v>9999ax</v>
      </c>
      <c r="L51" s="3" t="s">
        <v>266</v>
      </c>
    </row>
    <row r="52" spans="1:12" x14ac:dyDescent="0.3">
      <c r="A52" s="2" t="s">
        <v>57</v>
      </c>
      <c r="B52" s="2">
        <v>28</v>
      </c>
      <c r="C52" s="2">
        <v>51</v>
      </c>
      <c r="D52" s="2" t="str">
        <f t="shared" si="0"/>
        <v xml:space="preserve">Mt 28,51 : </v>
      </c>
      <c r="E52" s="3" t="s">
        <v>202</v>
      </c>
      <c r="I52" s="3">
        <v>9999</v>
      </c>
      <c r="J52" s="3" t="s">
        <v>258</v>
      </c>
      <c r="K52" s="2" t="str">
        <f t="shared" si="1"/>
        <v>9999ay</v>
      </c>
      <c r="L52" s="3" t="s">
        <v>267</v>
      </c>
    </row>
    <row r="53" spans="1:12" x14ac:dyDescent="0.3">
      <c r="A53" s="2" t="s">
        <v>57</v>
      </c>
      <c r="B53" s="2">
        <v>28</v>
      </c>
      <c r="C53" s="2">
        <v>52</v>
      </c>
      <c r="D53" s="2" t="str">
        <f t="shared" si="0"/>
        <v xml:space="preserve">Mt 28,52 : </v>
      </c>
      <c r="E53" s="3" t="s">
        <v>203</v>
      </c>
      <c r="I53" s="3">
        <v>9999</v>
      </c>
      <c r="J53" s="3" t="s">
        <v>259</v>
      </c>
      <c r="K53" s="2" t="str">
        <f t="shared" si="1"/>
        <v>9999az</v>
      </c>
      <c r="L53" s="3" t="s">
        <v>268</v>
      </c>
    </row>
    <row r="54" spans="1:12" x14ac:dyDescent="0.3">
      <c r="A54" s="2" t="s">
        <v>57</v>
      </c>
      <c r="B54" s="2">
        <v>28</v>
      </c>
      <c r="C54" s="2">
        <v>53</v>
      </c>
      <c r="D54" s="2" t="str">
        <f t="shared" si="0"/>
        <v xml:space="preserve">Mt 28,53 : </v>
      </c>
      <c r="E54" s="3" t="s">
        <v>204</v>
      </c>
      <c r="I54" s="3">
        <v>9999</v>
      </c>
      <c r="J54" s="3" t="s">
        <v>269</v>
      </c>
      <c r="K54" s="2" t="str">
        <f t="shared" si="1"/>
        <v>9999ba</v>
      </c>
      <c r="L54" s="3" t="s">
        <v>316</v>
      </c>
    </row>
    <row r="55" spans="1:12" x14ac:dyDescent="0.3">
      <c r="A55" s="2" t="s">
        <v>57</v>
      </c>
      <c r="B55" s="2">
        <v>28</v>
      </c>
      <c r="C55" s="2">
        <v>54</v>
      </c>
      <c r="D55" s="2" t="str">
        <f t="shared" si="0"/>
        <v xml:space="preserve">Mt 28,54 : </v>
      </c>
      <c r="E55" s="3" t="s">
        <v>205</v>
      </c>
      <c r="I55" s="3">
        <v>9999</v>
      </c>
      <c r="J55" s="3" t="s">
        <v>270</v>
      </c>
      <c r="K55" s="2" t="str">
        <f t="shared" si="1"/>
        <v>9999bb</v>
      </c>
      <c r="L55" s="3" t="s">
        <v>317</v>
      </c>
    </row>
    <row r="56" spans="1:12" x14ac:dyDescent="0.3">
      <c r="A56" s="2" t="s">
        <v>57</v>
      </c>
      <c r="B56" s="2">
        <v>28</v>
      </c>
      <c r="C56" s="2">
        <v>55</v>
      </c>
      <c r="D56" s="2" t="str">
        <f t="shared" si="0"/>
        <v xml:space="preserve">Mt 28,55 : </v>
      </c>
      <c r="E56" s="3" t="s">
        <v>206</v>
      </c>
      <c r="I56" s="3">
        <v>9999</v>
      </c>
      <c r="J56" s="3" t="s">
        <v>271</v>
      </c>
      <c r="K56" s="2" t="str">
        <f t="shared" si="1"/>
        <v>9999bc</v>
      </c>
      <c r="L56" s="3" t="s">
        <v>318</v>
      </c>
    </row>
    <row r="57" spans="1:12" x14ac:dyDescent="0.3">
      <c r="A57" s="2" t="s">
        <v>57</v>
      </c>
      <c r="B57" s="2">
        <v>28</v>
      </c>
      <c r="C57" s="2">
        <v>56</v>
      </c>
      <c r="D57" s="2" t="str">
        <f t="shared" si="0"/>
        <v xml:space="preserve">Mt 28,56 : </v>
      </c>
      <c r="E57" s="3" t="s">
        <v>207</v>
      </c>
      <c r="I57" s="3">
        <v>9999</v>
      </c>
      <c r="J57" s="3" t="s">
        <v>272</v>
      </c>
      <c r="K57" s="2" t="str">
        <f t="shared" si="1"/>
        <v>9999bd</v>
      </c>
      <c r="L57" s="3" t="s">
        <v>319</v>
      </c>
    </row>
    <row r="58" spans="1:12" x14ac:dyDescent="0.3">
      <c r="A58" s="2" t="s">
        <v>57</v>
      </c>
      <c r="B58" s="2">
        <v>28</v>
      </c>
      <c r="C58" s="2">
        <v>57</v>
      </c>
      <c r="D58" s="2" t="str">
        <f t="shared" si="0"/>
        <v xml:space="preserve">Mt 28,57 : </v>
      </c>
      <c r="E58" s="3" t="s">
        <v>208</v>
      </c>
      <c r="I58" s="3">
        <v>9999</v>
      </c>
      <c r="J58" s="3" t="s">
        <v>273</v>
      </c>
      <c r="K58" s="2" t="str">
        <f t="shared" si="1"/>
        <v>9999be</v>
      </c>
      <c r="L58" s="3" t="s">
        <v>320</v>
      </c>
    </row>
    <row r="59" spans="1:12" x14ac:dyDescent="0.3">
      <c r="A59" s="2" t="s">
        <v>57</v>
      </c>
      <c r="B59" s="2">
        <v>28</v>
      </c>
      <c r="C59" s="2">
        <v>58</v>
      </c>
      <c r="D59" s="2" t="str">
        <f t="shared" si="0"/>
        <v xml:space="preserve">Mt 28,58 : </v>
      </c>
      <c r="E59" s="3" t="s">
        <v>209</v>
      </c>
      <c r="I59" s="3">
        <v>9999</v>
      </c>
      <c r="J59" s="3" t="s">
        <v>274</v>
      </c>
      <c r="K59" s="2" t="str">
        <f t="shared" si="1"/>
        <v>9999bf</v>
      </c>
      <c r="L59" s="3" t="s">
        <v>321</v>
      </c>
    </row>
    <row r="60" spans="1:12" x14ac:dyDescent="0.3">
      <c r="A60" s="2" t="s">
        <v>57</v>
      </c>
      <c r="B60" s="2">
        <v>28</v>
      </c>
      <c r="C60" s="2">
        <v>59</v>
      </c>
      <c r="D60" s="2" t="str">
        <f t="shared" si="0"/>
        <v xml:space="preserve">Mt 28,59 : </v>
      </c>
      <c r="E60" s="3" t="s">
        <v>210</v>
      </c>
      <c r="I60" s="3">
        <v>9999</v>
      </c>
      <c r="J60" s="3" t="s">
        <v>275</v>
      </c>
      <c r="K60" s="2" t="str">
        <f t="shared" si="1"/>
        <v>9999bg</v>
      </c>
      <c r="L60" s="3" t="s">
        <v>322</v>
      </c>
    </row>
    <row r="61" spans="1:12" x14ac:dyDescent="0.3">
      <c r="A61" s="2" t="s">
        <v>57</v>
      </c>
      <c r="B61" s="2">
        <v>28</v>
      </c>
      <c r="C61" s="2">
        <v>60</v>
      </c>
      <c r="D61" s="2" t="str">
        <f t="shared" si="0"/>
        <v xml:space="preserve">Mt 28,60 : </v>
      </c>
      <c r="E61" s="3" t="s">
        <v>211</v>
      </c>
      <c r="I61" s="3">
        <v>9999</v>
      </c>
      <c r="J61" s="3" t="s">
        <v>276</v>
      </c>
      <c r="K61" s="2" t="str">
        <f t="shared" si="1"/>
        <v>9999bh</v>
      </c>
      <c r="L61" s="3" t="s">
        <v>323</v>
      </c>
    </row>
    <row r="62" spans="1:12" x14ac:dyDescent="0.3">
      <c r="A62" s="2" t="s">
        <v>57</v>
      </c>
      <c r="B62" s="2">
        <v>28</v>
      </c>
      <c r="C62" s="2">
        <v>61</v>
      </c>
      <c r="D62" s="2" t="str">
        <f t="shared" si="0"/>
        <v xml:space="preserve">Mt 28,61 : </v>
      </c>
      <c r="E62" s="3" t="s">
        <v>212</v>
      </c>
      <c r="I62" s="3">
        <v>9999</v>
      </c>
      <c r="J62" s="3" t="s">
        <v>277</v>
      </c>
      <c r="K62" s="2" t="str">
        <f t="shared" si="1"/>
        <v>9999bi</v>
      </c>
      <c r="L62" s="3" t="s">
        <v>324</v>
      </c>
    </row>
    <row r="63" spans="1:12" x14ac:dyDescent="0.3">
      <c r="A63" s="2" t="s">
        <v>57</v>
      </c>
      <c r="B63" s="2">
        <v>28</v>
      </c>
      <c r="C63" s="2">
        <v>62</v>
      </c>
      <c r="D63" s="2" t="str">
        <f t="shared" si="0"/>
        <v xml:space="preserve">Mt 28,62 : </v>
      </c>
      <c r="E63" s="3" t="s">
        <v>213</v>
      </c>
      <c r="I63" s="3">
        <v>9999</v>
      </c>
      <c r="J63" s="3" t="s">
        <v>278</v>
      </c>
      <c r="K63" s="2" t="str">
        <f t="shared" si="1"/>
        <v>9999bj</v>
      </c>
      <c r="L63" s="3" t="s">
        <v>325</v>
      </c>
    </row>
    <row r="64" spans="1:12" x14ac:dyDescent="0.3">
      <c r="A64" s="2" t="s">
        <v>57</v>
      </c>
      <c r="B64" s="2">
        <v>28</v>
      </c>
      <c r="C64" s="2">
        <v>63</v>
      </c>
      <c r="D64" s="2" t="str">
        <f t="shared" si="0"/>
        <v xml:space="preserve">Mt 28,63 : </v>
      </c>
      <c r="E64" s="3" t="s">
        <v>214</v>
      </c>
      <c r="I64" s="3">
        <v>9999</v>
      </c>
      <c r="J64" s="3" t="s">
        <v>279</v>
      </c>
      <c r="K64" s="2" t="str">
        <f t="shared" si="1"/>
        <v>9999bk</v>
      </c>
      <c r="L64" s="3" t="s">
        <v>326</v>
      </c>
    </row>
    <row r="65" spans="1:12" x14ac:dyDescent="0.3">
      <c r="A65" s="2" t="s">
        <v>57</v>
      </c>
      <c r="B65" s="2">
        <v>28</v>
      </c>
      <c r="C65" s="2">
        <v>64</v>
      </c>
      <c r="D65" s="2" t="str">
        <f t="shared" si="0"/>
        <v xml:space="preserve">Mt 28,64 : </v>
      </c>
      <c r="E65" s="3" t="s">
        <v>215</v>
      </c>
      <c r="I65" s="3">
        <v>9999</v>
      </c>
      <c r="J65" s="3" t="s">
        <v>280</v>
      </c>
      <c r="K65" s="2" t="str">
        <f t="shared" si="1"/>
        <v>9999bl</v>
      </c>
      <c r="L65" s="3" t="s">
        <v>327</v>
      </c>
    </row>
    <row r="66" spans="1:12" x14ac:dyDescent="0.3">
      <c r="A66" s="2" t="s">
        <v>57</v>
      </c>
      <c r="B66" s="2">
        <v>28</v>
      </c>
      <c r="C66" s="2">
        <v>65</v>
      </c>
      <c r="D66" s="2" t="str">
        <f t="shared" si="0"/>
        <v xml:space="preserve">Mt 28,65 : </v>
      </c>
      <c r="E66" s="3" t="s">
        <v>216</v>
      </c>
      <c r="I66" s="3">
        <v>9999</v>
      </c>
      <c r="J66" s="3" t="s">
        <v>281</v>
      </c>
      <c r="K66" s="2" t="str">
        <f t="shared" si="1"/>
        <v>9999bm</v>
      </c>
      <c r="L66" s="3" t="s">
        <v>328</v>
      </c>
    </row>
    <row r="67" spans="1:12" x14ac:dyDescent="0.3">
      <c r="A67" s="2" t="s">
        <v>57</v>
      </c>
      <c r="B67" s="2">
        <v>28</v>
      </c>
      <c r="C67" s="2">
        <v>66</v>
      </c>
      <c r="D67" s="2" t="str">
        <f t="shared" ref="D67:D100" si="2">_xlfn.CONCAT(A67,B67,",",C67," : ")</f>
        <v xml:space="preserve">Mt 28,66 : </v>
      </c>
      <c r="E67" s="3" t="s">
        <v>217</v>
      </c>
      <c r="I67" s="3">
        <v>9999</v>
      </c>
      <c r="J67" s="3" t="s">
        <v>282</v>
      </c>
      <c r="K67" s="2" t="str">
        <f t="shared" ref="K67:K100" si="3">_xlfn.CONCAT(I67,J67)</f>
        <v>9999bn</v>
      </c>
      <c r="L67" s="3" t="s">
        <v>329</v>
      </c>
    </row>
    <row r="68" spans="1:12" x14ac:dyDescent="0.3">
      <c r="A68" s="2" t="s">
        <v>57</v>
      </c>
      <c r="B68" s="2">
        <v>28</v>
      </c>
      <c r="C68" s="2">
        <v>67</v>
      </c>
      <c r="D68" s="2" t="str">
        <f t="shared" si="2"/>
        <v xml:space="preserve">Mt 28,67 : </v>
      </c>
      <c r="E68" s="3" t="s">
        <v>218</v>
      </c>
      <c r="I68" s="3">
        <v>9999</v>
      </c>
      <c r="J68" s="3" t="s">
        <v>283</v>
      </c>
      <c r="K68" s="2" t="str">
        <f t="shared" si="3"/>
        <v>9999bo</v>
      </c>
      <c r="L68" s="3" t="s">
        <v>330</v>
      </c>
    </row>
    <row r="69" spans="1:12" x14ac:dyDescent="0.3">
      <c r="A69" s="2" t="s">
        <v>57</v>
      </c>
      <c r="B69" s="2">
        <v>28</v>
      </c>
      <c r="C69" s="2">
        <v>68</v>
      </c>
      <c r="D69" s="2" t="str">
        <f t="shared" si="2"/>
        <v xml:space="preserve">Mt 28,68 : </v>
      </c>
      <c r="E69" s="3" t="s">
        <v>219</v>
      </c>
      <c r="I69" s="3">
        <v>9999</v>
      </c>
      <c r="J69" s="3" t="s">
        <v>284</v>
      </c>
      <c r="K69" s="2" t="str">
        <f t="shared" si="3"/>
        <v>9999bp</v>
      </c>
      <c r="L69" s="3" t="s">
        <v>331</v>
      </c>
    </row>
    <row r="70" spans="1:12" x14ac:dyDescent="0.3">
      <c r="A70" s="2" t="s">
        <v>57</v>
      </c>
      <c r="B70" s="2">
        <v>28</v>
      </c>
      <c r="C70" s="2">
        <v>69</v>
      </c>
      <c r="D70" s="2" t="str">
        <f t="shared" si="2"/>
        <v xml:space="preserve">Mt 28,69 : </v>
      </c>
      <c r="E70" s="3" t="s">
        <v>220</v>
      </c>
      <c r="I70" s="3">
        <v>9999</v>
      </c>
      <c r="J70" s="3" t="s">
        <v>285</v>
      </c>
      <c r="K70" s="2" t="str">
        <f t="shared" si="3"/>
        <v>9999bq</v>
      </c>
      <c r="L70" s="3" t="s">
        <v>332</v>
      </c>
    </row>
    <row r="71" spans="1:12" x14ac:dyDescent="0.3">
      <c r="A71" s="2" t="s">
        <v>57</v>
      </c>
      <c r="B71" s="2">
        <v>28</v>
      </c>
      <c r="C71" s="2">
        <v>70</v>
      </c>
      <c r="D71" s="2" t="str">
        <f t="shared" si="2"/>
        <v xml:space="preserve">Mt 28,70 : </v>
      </c>
      <c r="E71" s="3" t="s">
        <v>221</v>
      </c>
      <c r="I71" s="3">
        <v>9999</v>
      </c>
      <c r="J71" s="3" t="s">
        <v>286</v>
      </c>
      <c r="K71" s="2" t="str">
        <f t="shared" si="3"/>
        <v>9999br</v>
      </c>
      <c r="L71" s="3" t="s">
        <v>333</v>
      </c>
    </row>
    <row r="72" spans="1:12" x14ac:dyDescent="0.3">
      <c r="A72" s="2" t="s">
        <v>57</v>
      </c>
      <c r="B72" s="2">
        <v>28</v>
      </c>
      <c r="C72" s="2">
        <v>71</v>
      </c>
      <c r="D72" s="2" t="str">
        <f t="shared" si="2"/>
        <v xml:space="preserve">Mt 28,71 : </v>
      </c>
      <c r="E72" s="3" t="s">
        <v>222</v>
      </c>
      <c r="I72" s="3">
        <v>9999</v>
      </c>
      <c r="J72" s="3" t="s">
        <v>287</v>
      </c>
      <c r="K72" s="2" t="str">
        <f t="shared" si="3"/>
        <v>9999bs</v>
      </c>
      <c r="L72" s="3" t="s">
        <v>334</v>
      </c>
    </row>
    <row r="73" spans="1:12" x14ac:dyDescent="0.3">
      <c r="A73" s="2" t="s">
        <v>57</v>
      </c>
      <c r="B73" s="2">
        <v>28</v>
      </c>
      <c r="C73" s="2">
        <v>72</v>
      </c>
      <c r="D73" s="2" t="str">
        <f t="shared" si="2"/>
        <v xml:space="preserve">Mt 28,72 : </v>
      </c>
      <c r="E73" s="3" t="s">
        <v>223</v>
      </c>
      <c r="I73" s="3">
        <v>9999</v>
      </c>
      <c r="J73" s="3" t="s">
        <v>288</v>
      </c>
      <c r="K73" s="2" t="str">
        <f t="shared" si="3"/>
        <v>9999bt</v>
      </c>
      <c r="L73" s="3" t="s">
        <v>335</v>
      </c>
    </row>
    <row r="74" spans="1:12" x14ac:dyDescent="0.3">
      <c r="A74" s="2" t="s">
        <v>57</v>
      </c>
      <c r="B74" s="2">
        <v>28</v>
      </c>
      <c r="C74" s="2">
        <v>73</v>
      </c>
      <c r="D74" s="2" t="str">
        <f t="shared" si="2"/>
        <v xml:space="preserve">Mt 28,73 : </v>
      </c>
      <c r="E74" s="3" t="s">
        <v>224</v>
      </c>
      <c r="I74" s="3">
        <v>9999</v>
      </c>
      <c r="J74" s="3" t="s">
        <v>289</v>
      </c>
      <c r="K74" s="2" t="str">
        <f t="shared" si="3"/>
        <v>9999bu</v>
      </c>
      <c r="L74" s="3" t="s">
        <v>336</v>
      </c>
    </row>
    <row r="75" spans="1:12" x14ac:dyDescent="0.3">
      <c r="A75" s="2" t="s">
        <v>57</v>
      </c>
      <c r="B75" s="2">
        <v>28</v>
      </c>
      <c r="C75" s="2">
        <v>74</v>
      </c>
      <c r="D75" s="2" t="str">
        <f t="shared" si="2"/>
        <v xml:space="preserve">Mt 28,74 : </v>
      </c>
      <c r="E75" s="3" t="s">
        <v>225</v>
      </c>
      <c r="I75" s="3">
        <v>9999</v>
      </c>
      <c r="J75" s="3" t="s">
        <v>290</v>
      </c>
      <c r="K75" s="2" t="str">
        <f t="shared" si="3"/>
        <v>9999bv</v>
      </c>
      <c r="L75" s="3" t="s">
        <v>337</v>
      </c>
    </row>
    <row r="76" spans="1:12" x14ac:dyDescent="0.3">
      <c r="A76" s="2" t="s">
        <v>57</v>
      </c>
      <c r="B76" s="2">
        <v>28</v>
      </c>
      <c r="C76" s="2">
        <v>75</v>
      </c>
      <c r="D76" s="2" t="str">
        <f t="shared" si="2"/>
        <v xml:space="preserve">Mt 28,75 : </v>
      </c>
      <c r="E76" s="3" t="s">
        <v>226</v>
      </c>
      <c r="I76" s="3">
        <v>9999</v>
      </c>
      <c r="J76" s="3" t="s">
        <v>291</v>
      </c>
      <c r="K76" s="2" t="str">
        <f t="shared" si="3"/>
        <v>9999bw</v>
      </c>
      <c r="L76" s="3" t="s">
        <v>338</v>
      </c>
    </row>
    <row r="77" spans="1:12" x14ac:dyDescent="0.3">
      <c r="A77" s="2" t="s">
        <v>57</v>
      </c>
      <c r="B77" s="2">
        <v>28</v>
      </c>
      <c r="C77" s="2">
        <v>76</v>
      </c>
      <c r="D77" s="2" t="str">
        <f t="shared" si="2"/>
        <v xml:space="preserve">Mt 28,76 : </v>
      </c>
      <c r="E77" s="3" t="s">
        <v>227</v>
      </c>
      <c r="I77" s="3">
        <v>9999</v>
      </c>
      <c r="J77" s="3" t="s">
        <v>292</v>
      </c>
      <c r="K77" s="2" t="str">
        <f t="shared" si="3"/>
        <v>9999bx</v>
      </c>
      <c r="L77" s="3" t="s">
        <v>339</v>
      </c>
    </row>
    <row r="78" spans="1:12" x14ac:dyDescent="0.3">
      <c r="A78" s="2" t="s">
        <v>57</v>
      </c>
      <c r="B78" s="2">
        <v>28</v>
      </c>
      <c r="C78" s="2">
        <v>77</v>
      </c>
      <c r="D78" s="2" t="str">
        <f t="shared" si="2"/>
        <v xml:space="preserve">Mt 28,77 : </v>
      </c>
      <c r="E78" s="3" t="s">
        <v>228</v>
      </c>
      <c r="I78" s="3">
        <v>9999</v>
      </c>
      <c r="J78" s="3" t="s">
        <v>293</v>
      </c>
      <c r="K78" s="2" t="str">
        <f t="shared" si="3"/>
        <v>9999by</v>
      </c>
      <c r="L78" s="3" t="s">
        <v>340</v>
      </c>
    </row>
    <row r="79" spans="1:12" x14ac:dyDescent="0.3">
      <c r="A79" s="2" t="s">
        <v>57</v>
      </c>
      <c r="B79" s="2">
        <v>28</v>
      </c>
      <c r="C79" s="2">
        <v>78</v>
      </c>
      <c r="D79" s="2" t="str">
        <f t="shared" si="2"/>
        <v xml:space="preserve">Mt 28,78 : </v>
      </c>
      <c r="E79" s="3" t="s">
        <v>229</v>
      </c>
      <c r="I79" s="3">
        <v>9999</v>
      </c>
      <c r="J79" s="3" t="s">
        <v>294</v>
      </c>
      <c r="K79" s="2" t="str">
        <f t="shared" si="3"/>
        <v>9999bz</v>
      </c>
      <c r="L79" s="3" t="s">
        <v>341</v>
      </c>
    </row>
    <row r="80" spans="1:12" x14ac:dyDescent="0.3">
      <c r="A80" s="2" t="s">
        <v>57</v>
      </c>
      <c r="B80" s="2">
        <v>28</v>
      </c>
      <c r="C80" s="2">
        <v>79</v>
      </c>
      <c r="D80" s="2" t="str">
        <f t="shared" si="2"/>
        <v xml:space="preserve">Mt 28,79 : </v>
      </c>
      <c r="E80" s="3" t="s">
        <v>230</v>
      </c>
      <c r="I80" s="3">
        <v>9999</v>
      </c>
      <c r="J80" s="3" t="s">
        <v>295</v>
      </c>
      <c r="K80" s="2" t="str">
        <f t="shared" si="3"/>
        <v>9999ca</v>
      </c>
      <c r="L80" s="3" t="s">
        <v>342</v>
      </c>
    </row>
    <row r="81" spans="1:12" x14ac:dyDescent="0.3">
      <c r="A81" s="2" t="s">
        <v>57</v>
      </c>
      <c r="B81" s="2">
        <v>28</v>
      </c>
      <c r="C81" s="2">
        <v>80</v>
      </c>
      <c r="D81" s="2" t="str">
        <f t="shared" si="2"/>
        <v xml:space="preserve">Mt 28,80 : </v>
      </c>
      <c r="E81" s="3" t="s">
        <v>231</v>
      </c>
      <c r="I81" s="3">
        <v>9999</v>
      </c>
      <c r="J81" s="3" t="s">
        <v>296</v>
      </c>
      <c r="K81" s="2" t="str">
        <f t="shared" si="3"/>
        <v>9999cb</v>
      </c>
      <c r="L81" s="3" t="s">
        <v>343</v>
      </c>
    </row>
    <row r="82" spans="1:12" x14ac:dyDescent="0.3">
      <c r="A82" s="2" t="s">
        <v>57</v>
      </c>
      <c r="B82" s="2">
        <v>28</v>
      </c>
      <c r="C82" s="2">
        <v>81</v>
      </c>
      <c r="D82" s="2" t="str">
        <f t="shared" si="2"/>
        <v xml:space="preserve">Mt 28,81 : </v>
      </c>
      <c r="E82" s="3" t="s">
        <v>232</v>
      </c>
      <c r="I82" s="3">
        <v>9999</v>
      </c>
      <c r="J82" s="3" t="s">
        <v>297</v>
      </c>
      <c r="K82" s="2" t="str">
        <f t="shared" si="3"/>
        <v>9999cc</v>
      </c>
      <c r="L82" s="3" t="s">
        <v>344</v>
      </c>
    </row>
    <row r="83" spans="1:12" x14ac:dyDescent="0.3">
      <c r="A83" s="2" t="s">
        <v>57</v>
      </c>
      <c r="B83" s="2">
        <v>28</v>
      </c>
      <c r="C83" s="2">
        <v>82</v>
      </c>
      <c r="D83" s="2" t="str">
        <f t="shared" si="2"/>
        <v xml:space="preserve">Mt 28,82 : </v>
      </c>
      <c r="E83" s="3" t="s">
        <v>233</v>
      </c>
      <c r="I83" s="3">
        <v>9999</v>
      </c>
      <c r="J83" s="3" t="s">
        <v>298</v>
      </c>
      <c r="K83" s="2" t="str">
        <f t="shared" si="3"/>
        <v>9999cd</v>
      </c>
      <c r="L83" s="3" t="s">
        <v>345</v>
      </c>
    </row>
    <row r="84" spans="1:12" x14ac:dyDescent="0.3">
      <c r="A84" s="2" t="s">
        <v>57</v>
      </c>
      <c r="B84" s="2">
        <v>28</v>
      </c>
      <c r="C84" s="2">
        <v>83</v>
      </c>
      <c r="D84" s="2" t="str">
        <f t="shared" si="2"/>
        <v xml:space="preserve">Mt 28,83 : </v>
      </c>
      <c r="E84" s="3" t="s">
        <v>234</v>
      </c>
      <c r="I84" s="3">
        <v>9999</v>
      </c>
      <c r="J84" s="3" t="s">
        <v>299</v>
      </c>
      <c r="K84" s="2" t="str">
        <f t="shared" si="3"/>
        <v>9999ce</v>
      </c>
      <c r="L84" s="3" t="s">
        <v>346</v>
      </c>
    </row>
    <row r="85" spans="1:12" x14ac:dyDescent="0.3">
      <c r="A85" s="2" t="s">
        <v>57</v>
      </c>
      <c r="B85" s="2">
        <v>28</v>
      </c>
      <c r="C85" s="2">
        <v>84</v>
      </c>
      <c r="D85" s="2" t="str">
        <f t="shared" si="2"/>
        <v xml:space="preserve">Mt 28,84 : </v>
      </c>
      <c r="E85" s="3" t="s">
        <v>235</v>
      </c>
      <c r="I85" s="3">
        <v>9999</v>
      </c>
      <c r="J85" s="3" t="s">
        <v>300</v>
      </c>
      <c r="K85" s="2" t="str">
        <f t="shared" si="3"/>
        <v>9999cf</v>
      </c>
      <c r="L85" s="3" t="s">
        <v>347</v>
      </c>
    </row>
    <row r="86" spans="1:12" x14ac:dyDescent="0.3">
      <c r="A86" s="2" t="s">
        <v>57</v>
      </c>
      <c r="B86" s="2">
        <v>28</v>
      </c>
      <c r="C86" s="2">
        <v>85</v>
      </c>
      <c r="D86" s="2" t="str">
        <f t="shared" si="2"/>
        <v xml:space="preserve">Mt 28,85 : </v>
      </c>
      <c r="E86" s="3" t="s">
        <v>236</v>
      </c>
      <c r="I86" s="3">
        <v>9999</v>
      </c>
      <c r="J86" s="3" t="s">
        <v>301</v>
      </c>
      <c r="K86" s="2" t="str">
        <f t="shared" si="3"/>
        <v>9999cg</v>
      </c>
      <c r="L86" s="3" t="s">
        <v>348</v>
      </c>
    </row>
    <row r="87" spans="1:12" x14ac:dyDescent="0.3">
      <c r="A87" s="2" t="s">
        <v>57</v>
      </c>
      <c r="B87" s="2">
        <v>28</v>
      </c>
      <c r="C87" s="2">
        <v>86</v>
      </c>
      <c r="D87" s="2" t="str">
        <f t="shared" si="2"/>
        <v xml:space="preserve">Mt 28,86 : </v>
      </c>
      <c r="E87" s="3" t="s">
        <v>237</v>
      </c>
      <c r="I87" s="3">
        <v>9999</v>
      </c>
      <c r="J87" s="3" t="s">
        <v>302</v>
      </c>
      <c r="K87" s="2" t="str">
        <f t="shared" si="3"/>
        <v>9999ch</v>
      </c>
      <c r="L87" s="3" t="s">
        <v>349</v>
      </c>
    </row>
    <row r="88" spans="1:12" x14ac:dyDescent="0.3">
      <c r="A88" s="2" t="s">
        <v>57</v>
      </c>
      <c r="B88" s="2">
        <v>28</v>
      </c>
      <c r="C88" s="2">
        <v>87</v>
      </c>
      <c r="D88" s="2" t="str">
        <f t="shared" si="2"/>
        <v xml:space="preserve">Mt 28,87 : </v>
      </c>
      <c r="E88" s="3" t="s">
        <v>238</v>
      </c>
      <c r="I88" s="3">
        <v>9999</v>
      </c>
      <c r="J88" s="3" t="s">
        <v>303</v>
      </c>
      <c r="K88" s="2" t="str">
        <f t="shared" si="3"/>
        <v>9999ci</v>
      </c>
      <c r="L88" s="3" t="s">
        <v>350</v>
      </c>
    </row>
    <row r="89" spans="1:12" x14ac:dyDescent="0.3">
      <c r="A89" s="2" t="s">
        <v>57</v>
      </c>
      <c r="B89" s="2">
        <v>28</v>
      </c>
      <c r="C89" s="2">
        <v>88</v>
      </c>
      <c r="D89" s="2" t="str">
        <f t="shared" si="2"/>
        <v xml:space="preserve">Mt 28,88 : </v>
      </c>
      <c r="E89" s="3" t="s">
        <v>239</v>
      </c>
      <c r="I89" s="3">
        <v>9999</v>
      </c>
      <c r="J89" s="3" t="s">
        <v>304</v>
      </c>
      <c r="K89" s="2" t="str">
        <f t="shared" si="3"/>
        <v>9999cj</v>
      </c>
      <c r="L89" s="3" t="s">
        <v>351</v>
      </c>
    </row>
    <row r="90" spans="1:12" x14ac:dyDescent="0.3">
      <c r="A90" s="2" t="s">
        <v>57</v>
      </c>
      <c r="B90" s="2">
        <v>28</v>
      </c>
      <c r="C90" s="2">
        <v>89</v>
      </c>
      <c r="D90" s="2" t="str">
        <f t="shared" si="2"/>
        <v xml:space="preserve">Mt 28,89 : </v>
      </c>
      <c r="E90" s="3" t="s">
        <v>240</v>
      </c>
      <c r="I90" s="3">
        <v>9999</v>
      </c>
      <c r="J90" s="3" t="s">
        <v>305</v>
      </c>
      <c r="K90" s="2" t="str">
        <f t="shared" si="3"/>
        <v>9999ck</v>
      </c>
      <c r="L90" s="3" t="s">
        <v>352</v>
      </c>
    </row>
    <row r="91" spans="1:12" x14ac:dyDescent="0.3">
      <c r="A91" s="2" t="s">
        <v>57</v>
      </c>
      <c r="B91" s="2">
        <v>28</v>
      </c>
      <c r="C91" s="2">
        <v>90</v>
      </c>
      <c r="D91" s="2" t="str">
        <f t="shared" si="2"/>
        <v xml:space="preserve">Mt 28,90 : </v>
      </c>
      <c r="E91" s="3" t="s">
        <v>241</v>
      </c>
      <c r="I91" s="3">
        <v>9999</v>
      </c>
      <c r="J91" s="3" t="s">
        <v>306</v>
      </c>
      <c r="K91" s="2" t="str">
        <f t="shared" si="3"/>
        <v>9999cl</v>
      </c>
      <c r="L91" s="3" t="s">
        <v>353</v>
      </c>
    </row>
    <row r="92" spans="1:12" x14ac:dyDescent="0.3">
      <c r="A92" s="2" t="s">
        <v>57</v>
      </c>
      <c r="B92" s="2">
        <v>28</v>
      </c>
      <c r="C92" s="2">
        <v>91</v>
      </c>
      <c r="D92" s="2" t="str">
        <f t="shared" si="2"/>
        <v xml:space="preserve">Mt 28,91 : </v>
      </c>
      <c r="E92" s="3" t="s">
        <v>242</v>
      </c>
      <c r="I92" s="3">
        <v>9999</v>
      </c>
      <c r="J92" s="3" t="s">
        <v>307</v>
      </c>
      <c r="K92" s="2" t="str">
        <f t="shared" si="3"/>
        <v>9999cm</v>
      </c>
      <c r="L92" s="3" t="s">
        <v>354</v>
      </c>
    </row>
    <row r="93" spans="1:12" x14ac:dyDescent="0.3">
      <c r="A93" s="2" t="s">
        <v>57</v>
      </c>
      <c r="B93" s="2">
        <v>28</v>
      </c>
      <c r="C93" s="2">
        <v>92</v>
      </c>
      <c r="D93" s="2" t="str">
        <f t="shared" si="2"/>
        <v xml:space="preserve">Mt 28,92 : </v>
      </c>
      <c r="E93" s="3" t="s">
        <v>243</v>
      </c>
      <c r="I93" s="3">
        <v>9999</v>
      </c>
      <c r="J93" s="3" t="s">
        <v>308</v>
      </c>
      <c r="K93" s="2" t="str">
        <f t="shared" si="3"/>
        <v>9999cn</v>
      </c>
      <c r="L93" s="3" t="s">
        <v>355</v>
      </c>
    </row>
    <row r="94" spans="1:12" x14ac:dyDescent="0.3">
      <c r="A94" s="2" t="s">
        <v>57</v>
      </c>
      <c r="B94" s="2">
        <v>28</v>
      </c>
      <c r="C94" s="2">
        <v>93</v>
      </c>
      <c r="D94" s="2" t="str">
        <f t="shared" si="2"/>
        <v xml:space="preserve">Mt 28,93 : </v>
      </c>
      <c r="E94" s="3" t="s">
        <v>244</v>
      </c>
      <c r="I94" s="3">
        <v>9999</v>
      </c>
      <c r="J94" s="3" t="s">
        <v>309</v>
      </c>
      <c r="K94" s="2" t="str">
        <f t="shared" si="3"/>
        <v>9999co</v>
      </c>
      <c r="L94" s="3" t="s">
        <v>356</v>
      </c>
    </row>
    <row r="95" spans="1:12" x14ac:dyDescent="0.3">
      <c r="A95" s="2" t="s">
        <v>57</v>
      </c>
      <c r="B95" s="2">
        <v>28</v>
      </c>
      <c r="C95" s="2">
        <v>94</v>
      </c>
      <c r="D95" s="2" t="str">
        <f t="shared" si="2"/>
        <v xml:space="preserve">Mt 28,94 : </v>
      </c>
      <c r="E95" s="3" t="s">
        <v>245</v>
      </c>
      <c r="I95" s="3">
        <v>9999</v>
      </c>
      <c r="J95" s="3" t="s">
        <v>310</v>
      </c>
      <c r="K95" s="2" t="str">
        <f t="shared" si="3"/>
        <v>9999cp</v>
      </c>
      <c r="L95" s="3" t="s">
        <v>357</v>
      </c>
    </row>
    <row r="96" spans="1:12" x14ac:dyDescent="0.3">
      <c r="A96" s="2" t="s">
        <v>57</v>
      </c>
      <c r="B96" s="2">
        <v>28</v>
      </c>
      <c r="C96" s="2">
        <v>95</v>
      </c>
      <c r="D96" s="2" t="str">
        <f t="shared" si="2"/>
        <v xml:space="preserve">Mt 28,95 : </v>
      </c>
      <c r="E96" s="3" t="s">
        <v>246</v>
      </c>
      <c r="I96" s="3">
        <v>9999</v>
      </c>
      <c r="J96" s="3" t="s">
        <v>311</v>
      </c>
      <c r="K96" s="2" t="str">
        <f t="shared" si="3"/>
        <v>9999cq</v>
      </c>
      <c r="L96" s="3" t="s">
        <v>358</v>
      </c>
    </row>
    <row r="97" spans="1:12" x14ac:dyDescent="0.3">
      <c r="A97" s="2" t="s">
        <v>57</v>
      </c>
      <c r="B97" s="2">
        <v>28</v>
      </c>
      <c r="C97" s="2">
        <v>96</v>
      </c>
      <c r="D97" s="2" t="str">
        <f t="shared" si="2"/>
        <v xml:space="preserve">Mt 28,96 : </v>
      </c>
      <c r="E97" s="3" t="s">
        <v>247</v>
      </c>
      <c r="I97" s="3">
        <v>9999</v>
      </c>
      <c r="J97" s="3" t="s">
        <v>312</v>
      </c>
      <c r="K97" s="2" t="str">
        <f t="shared" si="3"/>
        <v>9999cr</v>
      </c>
      <c r="L97" s="3" t="s">
        <v>359</v>
      </c>
    </row>
    <row r="98" spans="1:12" x14ac:dyDescent="0.3">
      <c r="A98" s="2" t="s">
        <v>57</v>
      </c>
      <c r="B98" s="2">
        <v>28</v>
      </c>
      <c r="C98" s="2">
        <v>97</v>
      </c>
      <c r="D98" s="2" t="str">
        <f t="shared" si="2"/>
        <v xml:space="preserve">Mt 28,97 : </v>
      </c>
      <c r="E98" s="3" t="s">
        <v>248</v>
      </c>
      <c r="I98" s="3">
        <v>9999</v>
      </c>
      <c r="J98" s="3" t="s">
        <v>313</v>
      </c>
      <c r="K98" s="2" t="str">
        <f t="shared" si="3"/>
        <v>9999cs</v>
      </c>
      <c r="L98" s="3" t="s">
        <v>360</v>
      </c>
    </row>
    <row r="99" spans="1:12" x14ac:dyDescent="0.3">
      <c r="A99" s="2" t="s">
        <v>57</v>
      </c>
      <c r="B99" s="2">
        <v>28</v>
      </c>
      <c r="C99" s="2">
        <v>98</v>
      </c>
      <c r="D99" s="2" t="str">
        <f t="shared" si="2"/>
        <v xml:space="preserve">Mt 28,98 : </v>
      </c>
      <c r="E99" s="3" t="s">
        <v>249</v>
      </c>
      <c r="I99" s="3">
        <v>9999</v>
      </c>
      <c r="J99" s="3" t="s">
        <v>314</v>
      </c>
      <c r="K99" s="2" t="str">
        <f t="shared" si="3"/>
        <v>9999ct</v>
      </c>
      <c r="L99" s="3" t="s">
        <v>361</v>
      </c>
    </row>
    <row r="100" spans="1:12" x14ac:dyDescent="0.3">
      <c r="A100" s="2" t="s">
        <v>57</v>
      </c>
      <c r="B100" s="2">
        <v>28</v>
      </c>
      <c r="C100" s="2">
        <v>99</v>
      </c>
      <c r="D100" s="2" t="str">
        <f t="shared" si="2"/>
        <v xml:space="preserve">Mt 28,99 : </v>
      </c>
      <c r="E100" s="3" t="s">
        <v>250</v>
      </c>
      <c r="I100" s="3">
        <v>9999</v>
      </c>
      <c r="J100" s="3" t="s">
        <v>315</v>
      </c>
      <c r="K100" s="2" t="str">
        <f t="shared" si="3"/>
        <v>9999cu</v>
      </c>
      <c r="L100" s="3" t="s">
        <v>362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15B17-BE39-4987-8F7E-EB16EB3BDB5D}">
  <sheetPr codeName="Foglio2"/>
  <dimension ref="A1:I261"/>
  <sheetViews>
    <sheetView workbookViewId="0">
      <pane ySplit="1" topLeftCell="A42" activePane="bottomLeft" state="frozen"/>
      <selection pane="bottomLeft" activeCell="I46" sqref="I46"/>
    </sheetView>
  </sheetViews>
  <sheetFormatPr defaultRowHeight="15" x14ac:dyDescent="0.25"/>
  <cols>
    <col min="1" max="1" width="4.7109375" bestFit="1" customWidth="1"/>
    <col min="2" max="2" width="4" bestFit="1" customWidth="1"/>
    <col min="3" max="5" width="16.140625" customWidth="1"/>
    <col min="6" max="6" width="22.5703125" customWidth="1"/>
    <col min="7" max="8" width="19.42578125" customWidth="1"/>
    <col min="9" max="9" width="73.140625" bestFit="1" customWidth="1"/>
  </cols>
  <sheetData>
    <row r="1" spans="1:9" s="5" customFormat="1" x14ac:dyDescent="0.25">
      <c r="A1" s="5" t="s">
        <v>373</v>
      </c>
      <c r="B1" s="5" t="s">
        <v>364</v>
      </c>
      <c r="C1" s="5" t="s">
        <v>366</v>
      </c>
      <c r="D1" s="5" t="s">
        <v>367</v>
      </c>
      <c r="E1" s="5" t="s">
        <v>368</v>
      </c>
      <c r="F1" s="5" t="s">
        <v>369</v>
      </c>
      <c r="G1" s="5" t="s">
        <v>370</v>
      </c>
      <c r="H1" s="5" t="s">
        <v>371</v>
      </c>
      <c r="I1" s="5" t="s">
        <v>372</v>
      </c>
    </row>
    <row r="2" spans="1:9" x14ac:dyDescent="0.25">
      <c r="A2" s="4" t="s">
        <v>148</v>
      </c>
      <c r="B2" s="4">
        <v>1</v>
      </c>
      <c r="C2" s="4" t="str">
        <f t="shared" ref="C2:C65" si="0">"https://www.laparola.net/testo.php?riferimento="&amp;CONCATENATE($A2)&amp;"+"&amp;$B2&amp;"&amp;versioni[]="&amp;$C$1&amp;""</f>
        <v>https://www.laparola.net/testo.php?riferimento=Mt+1&amp;versioni[]=Martini</v>
      </c>
      <c r="D2" s="4" t="str">
        <f t="shared" ref="D2:D65" si="1">"https://www.laparola.net/testo.php?riferimento="&amp;CONCATENATE($A2)&amp;"+"&amp;$B2&amp;"&amp;versioni[]="&amp;$D$1&amp;""</f>
        <v>https://www.laparola.net/testo.php?riferimento=Mt+1&amp;versioni[]=Ricciotti</v>
      </c>
      <c r="E2" s="4" t="str">
        <f t="shared" ref="E2:E65" si="2">"https://www.laparola.net/testo.php?riferimento="&amp;CONCATENATE($A2)&amp;"+"&amp;$B2&amp;"&amp;versioni[]="&amp;$E$1&amp;""</f>
        <v>https://www.laparola.net/testo.php?riferimento=Mt+1&amp;versioni[]=Diodati</v>
      </c>
      <c r="F2" s="4" t="str">
        <f t="shared" ref="F2:F65" si="3">"https://www.laparola.net/testo.php?riferimento="&amp;CONCATENATE($A2)&amp;"+"&amp;$B2&amp;"&amp;versioni[]="&amp;$F$1&amp;""</f>
        <v>https://www.laparola.net/testo.php?riferimento=Mt+1&amp;versioni[]=Nuova+Diodati</v>
      </c>
      <c r="G2" s="4" t="str">
        <f t="shared" ref="G2:G65" si="4">"https://www.laparola.net/testo.php?riferimento="&amp;CONCATENATE($A2)&amp;"+"&amp;$B2&amp;"&amp;versioni[]="&amp;$G$1&amp;""</f>
        <v>https://www.laparola.net/testo.php?riferimento=Mt+1&amp;versioni[]=Riveduta</v>
      </c>
      <c r="H2" s="4" t="str">
        <f t="shared" ref="H2:H65" si="5">"https://www.laparola.net/testo.php?riferimento="&amp;CONCATENATE($A2)&amp;"+"&amp;$B2&amp;"&amp;versioni[]="&amp;$H$1&amp;""</f>
        <v>https://www.laparola.net/testo.php?riferimento=Mt+1&amp;versioni[]=Nuova+Riveduta</v>
      </c>
      <c r="I2" s="4" t="str">
        <f t="shared" ref="I2:I65" si="6">"https://www.laparola.net/testo.php?riferimento="&amp;CONCATENATE($A2)&amp;"+"&amp;$B2&amp;"&amp;versioni[]="&amp;$I$1&amp;""</f>
        <v>https://www.laparola.net/testo.php?riferimento=Mt+1&amp;versioni[]=Riveduta+2020</v>
      </c>
    </row>
    <row r="3" spans="1:9" x14ac:dyDescent="0.25">
      <c r="A3" s="4" t="s">
        <v>148</v>
      </c>
      <c r="B3" s="4">
        <v>2</v>
      </c>
      <c r="C3" s="4" t="str">
        <f t="shared" si="0"/>
        <v>https://www.laparola.net/testo.php?riferimento=Mt+2&amp;versioni[]=Martini</v>
      </c>
      <c r="D3" s="4" t="str">
        <f t="shared" si="1"/>
        <v>https://www.laparola.net/testo.php?riferimento=Mt+2&amp;versioni[]=Ricciotti</v>
      </c>
      <c r="E3" s="4" t="str">
        <f t="shared" si="2"/>
        <v>https://www.laparola.net/testo.php?riferimento=Mt+2&amp;versioni[]=Diodati</v>
      </c>
      <c r="F3" s="4" t="str">
        <f t="shared" si="3"/>
        <v>https://www.laparola.net/testo.php?riferimento=Mt+2&amp;versioni[]=Nuova+Diodati</v>
      </c>
      <c r="G3" s="4" t="str">
        <f t="shared" si="4"/>
        <v>https://www.laparola.net/testo.php?riferimento=Mt+2&amp;versioni[]=Riveduta</v>
      </c>
      <c r="H3" s="4" t="str">
        <f t="shared" si="5"/>
        <v>https://www.laparola.net/testo.php?riferimento=Mt+2&amp;versioni[]=Nuova+Riveduta</v>
      </c>
      <c r="I3" s="4" t="str">
        <f t="shared" si="6"/>
        <v>https://www.laparola.net/testo.php?riferimento=Mt+2&amp;versioni[]=Riveduta+2020</v>
      </c>
    </row>
    <row r="4" spans="1:9" x14ac:dyDescent="0.25">
      <c r="A4" s="4" t="s">
        <v>148</v>
      </c>
      <c r="B4" s="4">
        <v>3</v>
      </c>
      <c r="C4" s="4" t="str">
        <f t="shared" si="0"/>
        <v>https://www.laparola.net/testo.php?riferimento=Mt+3&amp;versioni[]=Martini</v>
      </c>
      <c r="D4" s="4" t="str">
        <f t="shared" si="1"/>
        <v>https://www.laparola.net/testo.php?riferimento=Mt+3&amp;versioni[]=Ricciotti</v>
      </c>
      <c r="E4" s="4" t="str">
        <f t="shared" si="2"/>
        <v>https://www.laparola.net/testo.php?riferimento=Mt+3&amp;versioni[]=Diodati</v>
      </c>
      <c r="F4" s="4" t="str">
        <f t="shared" si="3"/>
        <v>https://www.laparola.net/testo.php?riferimento=Mt+3&amp;versioni[]=Nuova+Diodati</v>
      </c>
      <c r="G4" s="4" t="str">
        <f t="shared" si="4"/>
        <v>https://www.laparola.net/testo.php?riferimento=Mt+3&amp;versioni[]=Riveduta</v>
      </c>
      <c r="H4" s="4" t="str">
        <f t="shared" si="5"/>
        <v>https://www.laparola.net/testo.php?riferimento=Mt+3&amp;versioni[]=Nuova+Riveduta</v>
      </c>
      <c r="I4" s="4" t="str">
        <f t="shared" si="6"/>
        <v>https://www.laparola.net/testo.php?riferimento=Mt+3&amp;versioni[]=Riveduta+2020</v>
      </c>
    </row>
    <row r="5" spans="1:9" x14ac:dyDescent="0.25">
      <c r="A5" s="4" t="s">
        <v>148</v>
      </c>
      <c r="B5" s="4">
        <v>4</v>
      </c>
      <c r="C5" s="4" t="str">
        <f t="shared" si="0"/>
        <v>https://www.laparola.net/testo.php?riferimento=Mt+4&amp;versioni[]=Martini</v>
      </c>
      <c r="D5" s="4" t="str">
        <f t="shared" si="1"/>
        <v>https://www.laparola.net/testo.php?riferimento=Mt+4&amp;versioni[]=Ricciotti</v>
      </c>
      <c r="E5" s="4" t="str">
        <f t="shared" si="2"/>
        <v>https://www.laparola.net/testo.php?riferimento=Mt+4&amp;versioni[]=Diodati</v>
      </c>
      <c r="F5" s="4" t="str">
        <f t="shared" si="3"/>
        <v>https://www.laparola.net/testo.php?riferimento=Mt+4&amp;versioni[]=Nuova+Diodati</v>
      </c>
      <c r="G5" s="4" t="str">
        <f t="shared" si="4"/>
        <v>https://www.laparola.net/testo.php?riferimento=Mt+4&amp;versioni[]=Riveduta</v>
      </c>
      <c r="H5" s="4" t="str">
        <f t="shared" si="5"/>
        <v>https://www.laparola.net/testo.php?riferimento=Mt+4&amp;versioni[]=Nuova+Riveduta</v>
      </c>
      <c r="I5" s="4" t="str">
        <f t="shared" si="6"/>
        <v>https://www.laparola.net/testo.php?riferimento=Mt+4&amp;versioni[]=Riveduta+2020</v>
      </c>
    </row>
    <row r="6" spans="1:9" x14ac:dyDescent="0.25">
      <c r="A6" s="4" t="s">
        <v>148</v>
      </c>
      <c r="B6" s="4">
        <v>5</v>
      </c>
      <c r="C6" s="4" t="str">
        <f t="shared" si="0"/>
        <v>https://www.laparola.net/testo.php?riferimento=Mt+5&amp;versioni[]=Martini</v>
      </c>
      <c r="D6" s="4" t="str">
        <f t="shared" si="1"/>
        <v>https://www.laparola.net/testo.php?riferimento=Mt+5&amp;versioni[]=Ricciotti</v>
      </c>
      <c r="E6" s="4" t="str">
        <f t="shared" si="2"/>
        <v>https://www.laparola.net/testo.php?riferimento=Mt+5&amp;versioni[]=Diodati</v>
      </c>
      <c r="F6" s="4" t="str">
        <f t="shared" si="3"/>
        <v>https://www.laparola.net/testo.php?riferimento=Mt+5&amp;versioni[]=Nuova+Diodati</v>
      </c>
      <c r="G6" s="4" t="str">
        <f t="shared" si="4"/>
        <v>https://www.laparola.net/testo.php?riferimento=Mt+5&amp;versioni[]=Riveduta</v>
      </c>
      <c r="H6" s="4" t="str">
        <f t="shared" si="5"/>
        <v>https://www.laparola.net/testo.php?riferimento=Mt+5&amp;versioni[]=Nuova+Riveduta</v>
      </c>
      <c r="I6" s="4" t="str">
        <f t="shared" si="6"/>
        <v>https://www.laparola.net/testo.php?riferimento=Mt+5&amp;versioni[]=Riveduta+2020</v>
      </c>
    </row>
    <row r="7" spans="1:9" x14ac:dyDescent="0.25">
      <c r="A7" s="4" t="s">
        <v>148</v>
      </c>
      <c r="B7" s="4">
        <v>6</v>
      </c>
      <c r="C7" s="4" t="str">
        <f t="shared" si="0"/>
        <v>https://www.laparola.net/testo.php?riferimento=Mt+6&amp;versioni[]=Martini</v>
      </c>
      <c r="D7" s="4" t="str">
        <f t="shared" si="1"/>
        <v>https://www.laparola.net/testo.php?riferimento=Mt+6&amp;versioni[]=Ricciotti</v>
      </c>
      <c r="E7" s="4" t="str">
        <f t="shared" si="2"/>
        <v>https://www.laparola.net/testo.php?riferimento=Mt+6&amp;versioni[]=Diodati</v>
      </c>
      <c r="F7" s="4" t="str">
        <f t="shared" si="3"/>
        <v>https://www.laparola.net/testo.php?riferimento=Mt+6&amp;versioni[]=Nuova+Diodati</v>
      </c>
      <c r="G7" s="4" t="str">
        <f t="shared" si="4"/>
        <v>https://www.laparola.net/testo.php?riferimento=Mt+6&amp;versioni[]=Riveduta</v>
      </c>
      <c r="H7" s="4" t="str">
        <f t="shared" si="5"/>
        <v>https://www.laparola.net/testo.php?riferimento=Mt+6&amp;versioni[]=Nuova+Riveduta</v>
      </c>
      <c r="I7" s="4" t="str">
        <f t="shared" si="6"/>
        <v>https://www.laparola.net/testo.php?riferimento=Mt+6&amp;versioni[]=Riveduta+2020</v>
      </c>
    </row>
    <row r="8" spans="1:9" x14ac:dyDescent="0.25">
      <c r="A8" s="4" t="s">
        <v>148</v>
      </c>
      <c r="B8" s="4">
        <v>7</v>
      </c>
      <c r="C8" s="4" t="str">
        <f t="shared" si="0"/>
        <v>https://www.laparola.net/testo.php?riferimento=Mt+7&amp;versioni[]=Martini</v>
      </c>
      <c r="D8" s="4" t="str">
        <f t="shared" si="1"/>
        <v>https://www.laparola.net/testo.php?riferimento=Mt+7&amp;versioni[]=Ricciotti</v>
      </c>
      <c r="E8" s="4" t="str">
        <f t="shared" si="2"/>
        <v>https://www.laparola.net/testo.php?riferimento=Mt+7&amp;versioni[]=Diodati</v>
      </c>
      <c r="F8" s="4" t="str">
        <f t="shared" si="3"/>
        <v>https://www.laparola.net/testo.php?riferimento=Mt+7&amp;versioni[]=Nuova+Diodati</v>
      </c>
      <c r="G8" s="4" t="str">
        <f t="shared" si="4"/>
        <v>https://www.laparola.net/testo.php?riferimento=Mt+7&amp;versioni[]=Riveduta</v>
      </c>
      <c r="H8" s="4" t="str">
        <f t="shared" si="5"/>
        <v>https://www.laparola.net/testo.php?riferimento=Mt+7&amp;versioni[]=Nuova+Riveduta</v>
      </c>
      <c r="I8" s="4" t="str">
        <f t="shared" si="6"/>
        <v>https://www.laparola.net/testo.php?riferimento=Mt+7&amp;versioni[]=Riveduta+2020</v>
      </c>
    </row>
    <row r="9" spans="1:9" x14ac:dyDescent="0.25">
      <c r="A9" s="4" t="s">
        <v>148</v>
      </c>
      <c r="B9" s="4">
        <v>8</v>
      </c>
      <c r="C9" s="4" t="str">
        <f t="shared" si="0"/>
        <v>https://www.laparola.net/testo.php?riferimento=Mt+8&amp;versioni[]=Martini</v>
      </c>
      <c r="D9" s="4" t="str">
        <f t="shared" si="1"/>
        <v>https://www.laparola.net/testo.php?riferimento=Mt+8&amp;versioni[]=Ricciotti</v>
      </c>
      <c r="E9" s="4" t="str">
        <f t="shared" si="2"/>
        <v>https://www.laparola.net/testo.php?riferimento=Mt+8&amp;versioni[]=Diodati</v>
      </c>
      <c r="F9" s="4" t="str">
        <f t="shared" si="3"/>
        <v>https://www.laparola.net/testo.php?riferimento=Mt+8&amp;versioni[]=Nuova+Diodati</v>
      </c>
      <c r="G9" s="4" t="str">
        <f t="shared" si="4"/>
        <v>https://www.laparola.net/testo.php?riferimento=Mt+8&amp;versioni[]=Riveduta</v>
      </c>
      <c r="H9" s="4" t="str">
        <f t="shared" si="5"/>
        <v>https://www.laparola.net/testo.php?riferimento=Mt+8&amp;versioni[]=Nuova+Riveduta</v>
      </c>
      <c r="I9" s="4" t="str">
        <f t="shared" si="6"/>
        <v>https://www.laparola.net/testo.php?riferimento=Mt+8&amp;versioni[]=Riveduta+2020</v>
      </c>
    </row>
    <row r="10" spans="1:9" x14ac:dyDescent="0.25">
      <c r="A10" s="4" t="s">
        <v>148</v>
      </c>
      <c r="B10" s="4">
        <v>9</v>
      </c>
      <c r="C10" s="4" t="str">
        <f t="shared" si="0"/>
        <v>https://www.laparola.net/testo.php?riferimento=Mt+9&amp;versioni[]=Martini</v>
      </c>
      <c r="D10" s="4" t="str">
        <f t="shared" si="1"/>
        <v>https://www.laparola.net/testo.php?riferimento=Mt+9&amp;versioni[]=Ricciotti</v>
      </c>
      <c r="E10" s="4" t="str">
        <f t="shared" si="2"/>
        <v>https://www.laparola.net/testo.php?riferimento=Mt+9&amp;versioni[]=Diodati</v>
      </c>
      <c r="F10" s="4" t="str">
        <f t="shared" si="3"/>
        <v>https://www.laparola.net/testo.php?riferimento=Mt+9&amp;versioni[]=Nuova+Diodati</v>
      </c>
      <c r="G10" s="4" t="str">
        <f t="shared" si="4"/>
        <v>https://www.laparola.net/testo.php?riferimento=Mt+9&amp;versioni[]=Riveduta</v>
      </c>
      <c r="H10" s="4" t="str">
        <f t="shared" si="5"/>
        <v>https://www.laparola.net/testo.php?riferimento=Mt+9&amp;versioni[]=Nuova+Riveduta</v>
      </c>
      <c r="I10" s="4" t="str">
        <f t="shared" si="6"/>
        <v>https://www.laparola.net/testo.php?riferimento=Mt+9&amp;versioni[]=Riveduta+2020</v>
      </c>
    </row>
    <row r="11" spans="1:9" x14ac:dyDescent="0.25">
      <c r="A11" s="4" t="s">
        <v>148</v>
      </c>
      <c r="B11" s="4">
        <v>10</v>
      </c>
      <c r="C11" s="4" t="str">
        <f t="shared" si="0"/>
        <v>https://www.laparola.net/testo.php?riferimento=Mt+10&amp;versioni[]=Martini</v>
      </c>
      <c r="D11" s="4" t="str">
        <f t="shared" si="1"/>
        <v>https://www.laparola.net/testo.php?riferimento=Mt+10&amp;versioni[]=Ricciotti</v>
      </c>
      <c r="E11" s="4" t="str">
        <f t="shared" si="2"/>
        <v>https://www.laparola.net/testo.php?riferimento=Mt+10&amp;versioni[]=Diodati</v>
      </c>
      <c r="F11" s="4" t="str">
        <f t="shared" si="3"/>
        <v>https://www.laparola.net/testo.php?riferimento=Mt+10&amp;versioni[]=Nuova+Diodati</v>
      </c>
      <c r="G11" s="4" t="str">
        <f t="shared" si="4"/>
        <v>https://www.laparola.net/testo.php?riferimento=Mt+10&amp;versioni[]=Riveduta</v>
      </c>
      <c r="H11" s="4" t="str">
        <f t="shared" si="5"/>
        <v>https://www.laparola.net/testo.php?riferimento=Mt+10&amp;versioni[]=Nuova+Riveduta</v>
      </c>
      <c r="I11" s="4" t="str">
        <f t="shared" si="6"/>
        <v>https://www.laparola.net/testo.php?riferimento=Mt+10&amp;versioni[]=Riveduta+2020</v>
      </c>
    </row>
    <row r="12" spans="1:9" x14ac:dyDescent="0.25">
      <c r="A12" s="4" t="s">
        <v>148</v>
      </c>
      <c r="B12" s="4">
        <v>11</v>
      </c>
      <c r="C12" s="4" t="str">
        <f t="shared" si="0"/>
        <v>https://www.laparola.net/testo.php?riferimento=Mt+11&amp;versioni[]=Martini</v>
      </c>
      <c r="D12" s="4" t="str">
        <f t="shared" si="1"/>
        <v>https://www.laparola.net/testo.php?riferimento=Mt+11&amp;versioni[]=Ricciotti</v>
      </c>
      <c r="E12" s="4" t="str">
        <f t="shared" si="2"/>
        <v>https://www.laparola.net/testo.php?riferimento=Mt+11&amp;versioni[]=Diodati</v>
      </c>
      <c r="F12" s="4" t="str">
        <f t="shared" si="3"/>
        <v>https://www.laparola.net/testo.php?riferimento=Mt+11&amp;versioni[]=Nuova+Diodati</v>
      </c>
      <c r="G12" s="4" t="str">
        <f t="shared" si="4"/>
        <v>https://www.laparola.net/testo.php?riferimento=Mt+11&amp;versioni[]=Riveduta</v>
      </c>
      <c r="H12" s="4" t="str">
        <f t="shared" si="5"/>
        <v>https://www.laparola.net/testo.php?riferimento=Mt+11&amp;versioni[]=Nuova+Riveduta</v>
      </c>
      <c r="I12" s="4" t="str">
        <f t="shared" si="6"/>
        <v>https://www.laparola.net/testo.php?riferimento=Mt+11&amp;versioni[]=Riveduta+2020</v>
      </c>
    </row>
    <row r="13" spans="1:9" x14ac:dyDescent="0.25">
      <c r="A13" s="4" t="s">
        <v>148</v>
      </c>
      <c r="B13" s="4">
        <v>12</v>
      </c>
      <c r="C13" s="4" t="str">
        <f t="shared" si="0"/>
        <v>https://www.laparola.net/testo.php?riferimento=Mt+12&amp;versioni[]=Martini</v>
      </c>
      <c r="D13" s="4" t="str">
        <f t="shared" si="1"/>
        <v>https://www.laparola.net/testo.php?riferimento=Mt+12&amp;versioni[]=Ricciotti</v>
      </c>
      <c r="E13" s="4" t="str">
        <f t="shared" si="2"/>
        <v>https://www.laparola.net/testo.php?riferimento=Mt+12&amp;versioni[]=Diodati</v>
      </c>
      <c r="F13" s="4" t="str">
        <f t="shared" si="3"/>
        <v>https://www.laparola.net/testo.php?riferimento=Mt+12&amp;versioni[]=Nuova+Diodati</v>
      </c>
      <c r="G13" s="4" t="str">
        <f t="shared" si="4"/>
        <v>https://www.laparola.net/testo.php?riferimento=Mt+12&amp;versioni[]=Riveduta</v>
      </c>
      <c r="H13" s="4" t="str">
        <f t="shared" si="5"/>
        <v>https://www.laparola.net/testo.php?riferimento=Mt+12&amp;versioni[]=Nuova+Riveduta</v>
      </c>
      <c r="I13" s="4" t="str">
        <f t="shared" si="6"/>
        <v>https://www.laparola.net/testo.php?riferimento=Mt+12&amp;versioni[]=Riveduta+2020</v>
      </c>
    </row>
    <row r="14" spans="1:9" x14ac:dyDescent="0.25">
      <c r="A14" s="4" t="s">
        <v>148</v>
      </c>
      <c r="B14" s="4">
        <v>13</v>
      </c>
      <c r="C14" s="4" t="str">
        <f t="shared" si="0"/>
        <v>https://www.laparola.net/testo.php?riferimento=Mt+13&amp;versioni[]=Martini</v>
      </c>
      <c r="D14" s="4" t="str">
        <f t="shared" si="1"/>
        <v>https://www.laparola.net/testo.php?riferimento=Mt+13&amp;versioni[]=Ricciotti</v>
      </c>
      <c r="E14" s="4" t="str">
        <f t="shared" si="2"/>
        <v>https://www.laparola.net/testo.php?riferimento=Mt+13&amp;versioni[]=Diodati</v>
      </c>
      <c r="F14" s="4" t="str">
        <f t="shared" si="3"/>
        <v>https://www.laparola.net/testo.php?riferimento=Mt+13&amp;versioni[]=Nuova+Diodati</v>
      </c>
      <c r="G14" s="4" t="str">
        <f t="shared" si="4"/>
        <v>https://www.laparola.net/testo.php?riferimento=Mt+13&amp;versioni[]=Riveduta</v>
      </c>
      <c r="H14" s="4" t="str">
        <f t="shared" si="5"/>
        <v>https://www.laparola.net/testo.php?riferimento=Mt+13&amp;versioni[]=Nuova+Riveduta</v>
      </c>
      <c r="I14" s="4" t="str">
        <f t="shared" si="6"/>
        <v>https://www.laparola.net/testo.php?riferimento=Mt+13&amp;versioni[]=Riveduta+2020</v>
      </c>
    </row>
    <row r="15" spans="1:9" x14ac:dyDescent="0.25">
      <c r="A15" s="4" t="s">
        <v>148</v>
      </c>
      <c r="B15" s="4">
        <v>14</v>
      </c>
      <c r="C15" s="4" t="str">
        <f t="shared" si="0"/>
        <v>https://www.laparola.net/testo.php?riferimento=Mt+14&amp;versioni[]=Martini</v>
      </c>
      <c r="D15" s="4" t="str">
        <f t="shared" si="1"/>
        <v>https://www.laparola.net/testo.php?riferimento=Mt+14&amp;versioni[]=Ricciotti</v>
      </c>
      <c r="E15" s="4" t="str">
        <f t="shared" si="2"/>
        <v>https://www.laparola.net/testo.php?riferimento=Mt+14&amp;versioni[]=Diodati</v>
      </c>
      <c r="F15" s="4" t="str">
        <f t="shared" si="3"/>
        <v>https://www.laparola.net/testo.php?riferimento=Mt+14&amp;versioni[]=Nuova+Diodati</v>
      </c>
      <c r="G15" s="4" t="str">
        <f t="shared" si="4"/>
        <v>https://www.laparola.net/testo.php?riferimento=Mt+14&amp;versioni[]=Riveduta</v>
      </c>
      <c r="H15" s="4" t="str">
        <f t="shared" si="5"/>
        <v>https://www.laparola.net/testo.php?riferimento=Mt+14&amp;versioni[]=Nuova+Riveduta</v>
      </c>
      <c r="I15" s="4" t="str">
        <f t="shared" si="6"/>
        <v>https://www.laparola.net/testo.php?riferimento=Mt+14&amp;versioni[]=Riveduta+2020</v>
      </c>
    </row>
    <row r="16" spans="1:9" x14ac:dyDescent="0.25">
      <c r="A16" s="4" t="s">
        <v>148</v>
      </c>
      <c r="B16" s="4">
        <v>15</v>
      </c>
      <c r="C16" s="4" t="str">
        <f t="shared" si="0"/>
        <v>https://www.laparola.net/testo.php?riferimento=Mt+15&amp;versioni[]=Martini</v>
      </c>
      <c r="D16" s="4" t="str">
        <f t="shared" si="1"/>
        <v>https://www.laparola.net/testo.php?riferimento=Mt+15&amp;versioni[]=Ricciotti</v>
      </c>
      <c r="E16" s="4" t="str">
        <f t="shared" si="2"/>
        <v>https://www.laparola.net/testo.php?riferimento=Mt+15&amp;versioni[]=Diodati</v>
      </c>
      <c r="F16" s="4" t="str">
        <f t="shared" si="3"/>
        <v>https://www.laparola.net/testo.php?riferimento=Mt+15&amp;versioni[]=Nuova+Diodati</v>
      </c>
      <c r="G16" s="4" t="str">
        <f t="shared" si="4"/>
        <v>https://www.laparola.net/testo.php?riferimento=Mt+15&amp;versioni[]=Riveduta</v>
      </c>
      <c r="H16" s="4" t="str">
        <f t="shared" si="5"/>
        <v>https://www.laparola.net/testo.php?riferimento=Mt+15&amp;versioni[]=Nuova+Riveduta</v>
      </c>
      <c r="I16" s="4" t="str">
        <f t="shared" si="6"/>
        <v>https://www.laparola.net/testo.php?riferimento=Mt+15&amp;versioni[]=Riveduta+2020</v>
      </c>
    </row>
    <row r="17" spans="1:9" x14ac:dyDescent="0.25">
      <c r="A17" s="4" t="s">
        <v>148</v>
      </c>
      <c r="B17" s="4">
        <v>16</v>
      </c>
      <c r="C17" s="4" t="str">
        <f t="shared" si="0"/>
        <v>https://www.laparola.net/testo.php?riferimento=Mt+16&amp;versioni[]=Martini</v>
      </c>
      <c r="D17" s="4" t="str">
        <f t="shared" si="1"/>
        <v>https://www.laparola.net/testo.php?riferimento=Mt+16&amp;versioni[]=Ricciotti</v>
      </c>
      <c r="E17" s="4" t="str">
        <f t="shared" si="2"/>
        <v>https://www.laparola.net/testo.php?riferimento=Mt+16&amp;versioni[]=Diodati</v>
      </c>
      <c r="F17" s="4" t="str">
        <f t="shared" si="3"/>
        <v>https://www.laparola.net/testo.php?riferimento=Mt+16&amp;versioni[]=Nuova+Diodati</v>
      </c>
      <c r="G17" s="4" t="str">
        <f t="shared" si="4"/>
        <v>https://www.laparola.net/testo.php?riferimento=Mt+16&amp;versioni[]=Riveduta</v>
      </c>
      <c r="H17" s="4" t="str">
        <f t="shared" si="5"/>
        <v>https://www.laparola.net/testo.php?riferimento=Mt+16&amp;versioni[]=Nuova+Riveduta</v>
      </c>
      <c r="I17" s="4" t="str">
        <f t="shared" si="6"/>
        <v>https://www.laparola.net/testo.php?riferimento=Mt+16&amp;versioni[]=Riveduta+2020</v>
      </c>
    </row>
    <row r="18" spans="1:9" x14ac:dyDescent="0.25">
      <c r="A18" s="4" t="s">
        <v>148</v>
      </c>
      <c r="B18" s="4">
        <v>17</v>
      </c>
      <c r="C18" s="4" t="str">
        <f t="shared" si="0"/>
        <v>https://www.laparola.net/testo.php?riferimento=Mt+17&amp;versioni[]=Martini</v>
      </c>
      <c r="D18" s="4" t="str">
        <f t="shared" si="1"/>
        <v>https://www.laparola.net/testo.php?riferimento=Mt+17&amp;versioni[]=Ricciotti</v>
      </c>
      <c r="E18" s="4" t="str">
        <f t="shared" si="2"/>
        <v>https://www.laparola.net/testo.php?riferimento=Mt+17&amp;versioni[]=Diodati</v>
      </c>
      <c r="F18" s="4" t="str">
        <f t="shared" si="3"/>
        <v>https://www.laparola.net/testo.php?riferimento=Mt+17&amp;versioni[]=Nuova+Diodati</v>
      </c>
      <c r="G18" s="4" t="str">
        <f t="shared" si="4"/>
        <v>https://www.laparola.net/testo.php?riferimento=Mt+17&amp;versioni[]=Riveduta</v>
      </c>
      <c r="H18" s="4" t="str">
        <f t="shared" si="5"/>
        <v>https://www.laparola.net/testo.php?riferimento=Mt+17&amp;versioni[]=Nuova+Riveduta</v>
      </c>
      <c r="I18" s="4" t="str">
        <f t="shared" si="6"/>
        <v>https://www.laparola.net/testo.php?riferimento=Mt+17&amp;versioni[]=Riveduta+2020</v>
      </c>
    </row>
    <row r="19" spans="1:9" x14ac:dyDescent="0.25">
      <c r="A19" s="4" t="s">
        <v>148</v>
      </c>
      <c r="B19" s="4">
        <v>18</v>
      </c>
      <c r="C19" s="4" t="str">
        <f t="shared" si="0"/>
        <v>https://www.laparola.net/testo.php?riferimento=Mt+18&amp;versioni[]=Martini</v>
      </c>
      <c r="D19" s="4" t="str">
        <f t="shared" si="1"/>
        <v>https://www.laparola.net/testo.php?riferimento=Mt+18&amp;versioni[]=Ricciotti</v>
      </c>
      <c r="E19" s="4" t="str">
        <f t="shared" si="2"/>
        <v>https://www.laparola.net/testo.php?riferimento=Mt+18&amp;versioni[]=Diodati</v>
      </c>
      <c r="F19" s="4" t="str">
        <f t="shared" si="3"/>
        <v>https://www.laparola.net/testo.php?riferimento=Mt+18&amp;versioni[]=Nuova+Diodati</v>
      </c>
      <c r="G19" s="4" t="str">
        <f t="shared" si="4"/>
        <v>https://www.laparola.net/testo.php?riferimento=Mt+18&amp;versioni[]=Riveduta</v>
      </c>
      <c r="H19" s="4" t="str">
        <f t="shared" si="5"/>
        <v>https://www.laparola.net/testo.php?riferimento=Mt+18&amp;versioni[]=Nuova+Riveduta</v>
      </c>
      <c r="I19" s="4" t="str">
        <f t="shared" si="6"/>
        <v>https://www.laparola.net/testo.php?riferimento=Mt+18&amp;versioni[]=Riveduta+2020</v>
      </c>
    </row>
    <row r="20" spans="1:9" x14ac:dyDescent="0.25">
      <c r="A20" s="4" t="s">
        <v>148</v>
      </c>
      <c r="B20" s="4">
        <v>19</v>
      </c>
      <c r="C20" s="4" t="str">
        <f t="shared" si="0"/>
        <v>https://www.laparola.net/testo.php?riferimento=Mt+19&amp;versioni[]=Martini</v>
      </c>
      <c r="D20" s="4" t="str">
        <f t="shared" si="1"/>
        <v>https://www.laparola.net/testo.php?riferimento=Mt+19&amp;versioni[]=Ricciotti</v>
      </c>
      <c r="E20" s="4" t="str">
        <f t="shared" si="2"/>
        <v>https://www.laparola.net/testo.php?riferimento=Mt+19&amp;versioni[]=Diodati</v>
      </c>
      <c r="F20" s="4" t="str">
        <f t="shared" si="3"/>
        <v>https://www.laparola.net/testo.php?riferimento=Mt+19&amp;versioni[]=Nuova+Diodati</v>
      </c>
      <c r="G20" s="4" t="str">
        <f t="shared" si="4"/>
        <v>https://www.laparola.net/testo.php?riferimento=Mt+19&amp;versioni[]=Riveduta</v>
      </c>
      <c r="H20" s="4" t="str">
        <f t="shared" si="5"/>
        <v>https://www.laparola.net/testo.php?riferimento=Mt+19&amp;versioni[]=Nuova+Riveduta</v>
      </c>
      <c r="I20" s="4" t="str">
        <f t="shared" si="6"/>
        <v>https://www.laparola.net/testo.php?riferimento=Mt+19&amp;versioni[]=Riveduta+2020</v>
      </c>
    </row>
    <row r="21" spans="1:9" x14ac:dyDescent="0.25">
      <c r="A21" s="4" t="s">
        <v>148</v>
      </c>
      <c r="B21" s="4">
        <v>20</v>
      </c>
      <c r="C21" s="4" t="str">
        <f t="shared" si="0"/>
        <v>https://www.laparola.net/testo.php?riferimento=Mt+20&amp;versioni[]=Martini</v>
      </c>
      <c r="D21" s="4" t="str">
        <f t="shared" si="1"/>
        <v>https://www.laparola.net/testo.php?riferimento=Mt+20&amp;versioni[]=Ricciotti</v>
      </c>
      <c r="E21" s="4" t="str">
        <f t="shared" si="2"/>
        <v>https://www.laparola.net/testo.php?riferimento=Mt+20&amp;versioni[]=Diodati</v>
      </c>
      <c r="F21" s="4" t="str">
        <f t="shared" si="3"/>
        <v>https://www.laparola.net/testo.php?riferimento=Mt+20&amp;versioni[]=Nuova+Diodati</v>
      </c>
      <c r="G21" s="4" t="str">
        <f t="shared" si="4"/>
        <v>https://www.laparola.net/testo.php?riferimento=Mt+20&amp;versioni[]=Riveduta</v>
      </c>
      <c r="H21" s="4" t="str">
        <f t="shared" si="5"/>
        <v>https://www.laparola.net/testo.php?riferimento=Mt+20&amp;versioni[]=Nuova+Riveduta</v>
      </c>
      <c r="I21" s="4" t="str">
        <f t="shared" si="6"/>
        <v>https://www.laparola.net/testo.php?riferimento=Mt+20&amp;versioni[]=Riveduta+2020</v>
      </c>
    </row>
    <row r="22" spans="1:9" x14ac:dyDescent="0.25">
      <c r="A22" s="4" t="s">
        <v>148</v>
      </c>
      <c r="B22" s="4">
        <v>21</v>
      </c>
      <c r="C22" s="4" t="str">
        <f t="shared" si="0"/>
        <v>https://www.laparola.net/testo.php?riferimento=Mt+21&amp;versioni[]=Martini</v>
      </c>
      <c r="D22" s="4" t="str">
        <f t="shared" si="1"/>
        <v>https://www.laparola.net/testo.php?riferimento=Mt+21&amp;versioni[]=Ricciotti</v>
      </c>
      <c r="E22" s="4" t="str">
        <f t="shared" si="2"/>
        <v>https://www.laparola.net/testo.php?riferimento=Mt+21&amp;versioni[]=Diodati</v>
      </c>
      <c r="F22" s="4" t="str">
        <f t="shared" si="3"/>
        <v>https://www.laparola.net/testo.php?riferimento=Mt+21&amp;versioni[]=Nuova+Diodati</v>
      </c>
      <c r="G22" s="4" t="str">
        <f t="shared" si="4"/>
        <v>https://www.laparola.net/testo.php?riferimento=Mt+21&amp;versioni[]=Riveduta</v>
      </c>
      <c r="H22" s="4" t="str">
        <f t="shared" si="5"/>
        <v>https://www.laparola.net/testo.php?riferimento=Mt+21&amp;versioni[]=Nuova+Riveduta</v>
      </c>
      <c r="I22" s="4" t="str">
        <f t="shared" si="6"/>
        <v>https://www.laparola.net/testo.php?riferimento=Mt+21&amp;versioni[]=Riveduta+2020</v>
      </c>
    </row>
    <row r="23" spans="1:9" x14ac:dyDescent="0.25">
      <c r="A23" s="4" t="s">
        <v>148</v>
      </c>
      <c r="B23" s="4">
        <v>22</v>
      </c>
      <c r="C23" s="4" t="str">
        <f t="shared" si="0"/>
        <v>https://www.laparola.net/testo.php?riferimento=Mt+22&amp;versioni[]=Martini</v>
      </c>
      <c r="D23" s="4" t="str">
        <f t="shared" si="1"/>
        <v>https://www.laparola.net/testo.php?riferimento=Mt+22&amp;versioni[]=Ricciotti</v>
      </c>
      <c r="E23" s="4" t="str">
        <f t="shared" si="2"/>
        <v>https://www.laparola.net/testo.php?riferimento=Mt+22&amp;versioni[]=Diodati</v>
      </c>
      <c r="F23" s="4" t="str">
        <f t="shared" si="3"/>
        <v>https://www.laparola.net/testo.php?riferimento=Mt+22&amp;versioni[]=Nuova+Diodati</v>
      </c>
      <c r="G23" s="4" t="str">
        <f t="shared" si="4"/>
        <v>https://www.laparola.net/testo.php?riferimento=Mt+22&amp;versioni[]=Riveduta</v>
      </c>
      <c r="H23" s="4" t="str">
        <f t="shared" si="5"/>
        <v>https://www.laparola.net/testo.php?riferimento=Mt+22&amp;versioni[]=Nuova+Riveduta</v>
      </c>
      <c r="I23" s="4" t="str">
        <f t="shared" si="6"/>
        <v>https://www.laparola.net/testo.php?riferimento=Mt+22&amp;versioni[]=Riveduta+2020</v>
      </c>
    </row>
    <row r="24" spans="1:9" x14ac:dyDescent="0.25">
      <c r="A24" s="4" t="s">
        <v>148</v>
      </c>
      <c r="B24" s="4">
        <v>23</v>
      </c>
      <c r="C24" s="4" t="str">
        <f t="shared" si="0"/>
        <v>https://www.laparola.net/testo.php?riferimento=Mt+23&amp;versioni[]=Martini</v>
      </c>
      <c r="D24" s="4" t="str">
        <f t="shared" si="1"/>
        <v>https://www.laparola.net/testo.php?riferimento=Mt+23&amp;versioni[]=Ricciotti</v>
      </c>
      <c r="E24" s="4" t="str">
        <f t="shared" si="2"/>
        <v>https://www.laparola.net/testo.php?riferimento=Mt+23&amp;versioni[]=Diodati</v>
      </c>
      <c r="F24" s="4" t="str">
        <f t="shared" si="3"/>
        <v>https://www.laparola.net/testo.php?riferimento=Mt+23&amp;versioni[]=Nuova+Diodati</v>
      </c>
      <c r="G24" s="4" t="str">
        <f t="shared" si="4"/>
        <v>https://www.laparola.net/testo.php?riferimento=Mt+23&amp;versioni[]=Riveduta</v>
      </c>
      <c r="H24" s="4" t="str">
        <f t="shared" si="5"/>
        <v>https://www.laparola.net/testo.php?riferimento=Mt+23&amp;versioni[]=Nuova+Riveduta</v>
      </c>
      <c r="I24" s="4" t="str">
        <f t="shared" si="6"/>
        <v>https://www.laparola.net/testo.php?riferimento=Mt+23&amp;versioni[]=Riveduta+2020</v>
      </c>
    </row>
    <row r="25" spans="1:9" x14ac:dyDescent="0.25">
      <c r="A25" s="4" t="s">
        <v>148</v>
      </c>
      <c r="B25" s="4">
        <v>24</v>
      </c>
      <c r="C25" s="4" t="str">
        <f t="shared" si="0"/>
        <v>https://www.laparola.net/testo.php?riferimento=Mt+24&amp;versioni[]=Martini</v>
      </c>
      <c r="D25" s="4" t="str">
        <f t="shared" si="1"/>
        <v>https://www.laparola.net/testo.php?riferimento=Mt+24&amp;versioni[]=Ricciotti</v>
      </c>
      <c r="E25" s="4" t="str">
        <f t="shared" si="2"/>
        <v>https://www.laparola.net/testo.php?riferimento=Mt+24&amp;versioni[]=Diodati</v>
      </c>
      <c r="F25" s="4" t="str">
        <f t="shared" si="3"/>
        <v>https://www.laparola.net/testo.php?riferimento=Mt+24&amp;versioni[]=Nuova+Diodati</v>
      </c>
      <c r="G25" s="4" t="str">
        <f t="shared" si="4"/>
        <v>https://www.laparola.net/testo.php?riferimento=Mt+24&amp;versioni[]=Riveduta</v>
      </c>
      <c r="H25" s="4" t="str">
        <f t="shared" si="5"/>
        <v>https://www.laparola.net/testo.php?riferimento=Mt+24&amp;versioni[]=Nuova+Riveduta</v>
      </c>
      <c r="I25" s="4" t="str">
        <f t="shared" si="6"/>
        <v>https://www.laparola.net/testo.php?riferimento=Mt+24&amp;versioni[]=Riveduta+2020</v>
      </c>
    </row>
    <row r="26" spans="1:9" x14ac:dyDescent="0.25">
      <c r="A26" s="4" t="s">
        <v>148</v>
      </c>
      <c r="B26" s="4">
        <v>25</v>
      </c>
      <c r="C26" s="4" t="str">
        <f t="shared" si="0"/>
        <v>https://www.laparola.net/testo.php?riferimento=Mt+25&amp;versioni[]=Martini</v>
      </c>
      <c r="D26" s="4" t="str">
        <f t="shared" si="1"/>
        <v>https://www.laparola.net/testo.php?riferimento=Mt+25&amp;versioni[]=Ricciotti</v>
      </c>
      <c r="E26" s="4" t="str">
        <f t="shared" si="2"/>
        <v>https://www.laparola.net/testo.php?riferimento=Mt+25&amp;versioni[]=Diodati</v>
      </c>
      <c r="F26" s="4" t="str">
        <f t="shared" si="3"/>
        <v>https://www.laparola.net/testo.php?riferimento=Mt+25&amp;versioni[]=Nuova+Diodati</v>
      </c>
      <c r="G26" s="4" t="str">
        <f t="shared" si="4"/>
        <v>https://www.laparola.net/testo.php?riferimento=Mt+25&amp;versioni[]=Riveduta</v>
      </c>
      <c r="H26" s="4" t="str">
        <f t="shared" si="5"/>
        <v>https://www.laparola.net/testo.php?riferimento=Mt+25&amp;versioni[]=Nuova+Riveduta</v>
      </c>
      <c r="I26" s="4" t="str">
        <f t="shared" si="6"/>
        <v>https://www.laparola.net/testo.php?riferimento=Mt+25&amp;versioni[]=Riveduta+2020</v>
      </c>
    </row>
    <row r="27" spans="1:9" x14ac:dyDescent="0.25">
      <c r="A27" s="4" t="s">
        <v>148</v>
      </c>
      <c r="B27" s="4">
        <v>26</v>
      </c>
      <c r="C27" s="4" t="str">
        <f t="shared" si="0"/>
        <v>https://www.laparola.net/testo.php?riferimento=Mt+26&amp;versioni[]=Martini</v>
      </c>
      <c r="D27" s="4" t="str">
        <f t="shared" si="1"/>
        <v>https://www.laparola.net/testo.php?riferimento=Mt+26&amp;versioni[]=Ricciotti</v>
      </c>
      <c r="E27" s="4" t="str">
        <f t="shared" si="2"/>
        <v>https://www.laparola.net/testo.php?riferimento=Mt+26&amp;versioni[]=Diodati</v>
      </c>
      <c r="F27" s="4" t="str">
        <f t="shared" si="3"/>
        <v>https://www.laparola.net/testo.php?riferimento=Mt+26&amp;versioni[]=Nuova+Diodati</v>
      </c>
      <c r="G27" s="4" t="str">
        <f t="shared" si="4"/>
        <v>https://www.laparola.net/testo.php?riferimento=Mt+26&amp;versioni[]=Riveduta</v>
      </c>
      <c r="H27" s="4" t="str">
        <f t="shared" si="5"/>
        <v>https://www.laparola.net/testo.php?riferimento=Mt+26&amp;versioni[]=Nuova+Riveduta</v>
      </c>
      <c r="I27" s="4" t="str">
        <f t="shared" si="6"/>
        <v>https://www.laparola.net/testo.php?riferimento=Mt+26&amp;versioni[]=Riveduta+2020</v>
      </c>
    </row>
    <row r="28" spans="1:9" x14ac:dyDescent="0.25">
      <c r="A28" s="4" t="s">
        <v>148</v>
      </c>
      <c r="B28" s="4">
        <v>27</v>
      </c>
      <c r="C28" s="4" t="str">
        <f t="shared" si="0"/>
        <v>https://www.laparola.net/testo.php?riferimento=Mt+27&amp;versioni[]=Martini</v>
      </c>
      <c r="D28" s="4" t="str">
        <f t="shared" si="1"/>
        <v>https://www.laparola.net/testo.php?riferimento=Mt+27&amp;versioni[]=Ricciotti</v>
      </c>
      <c r="E28" s="4" t="str">
        <f t="shared" si="2"/>
        <v>https://www.laparola.net/testo.php?riferimento=Mt+27&amp;versioni[]=Diodati</v>
      </c>
      <c r="F28" s="4" t="str">
        <f t="shared" si="3"/>
        <v>https://www.laparola.net/testo.php?riferimento=Mt+27&amp;versioni[]=Nuova+Diodati</v>
      </c>
      <c r="G28" s="4" t="str">
        <f t="shared" si="4"/>
        <v>https://www.laparola.net/testo.php?riferimento=Mt+27&amp;versioni[]=Riveduta</v>
      </c>
      <c r="H28" s="4" t="str">
        <f t="shared" si="5"/>
        <v>https://www.laparola.net/testo.php?riferimento=Mt+27&amp;versioni[]=Nuova+Riveduta</v>
      </c>
      <c r="I28" s="4" t="str">
        <f t="shared" si="6"/>
        <v>https://www.laparola.net/testo.php?riferimento=Mt+27&amp;versioni[]=Riveduta+2020</v>
      </c>
    </row>
    <row r="29" spans="1:9" x14ac:dyDescent="0.25">
      <c r="A29" s="4" t="s">
        <v>148</v>
      </c>
      <c r="B29" s="4">
        <v>28</v>
      </c>
      <c r="C29" s="4" t="str">
        <f t="shared" si="0"/>
        <v>https://www.laparola.net/testo.php?riferimento=Mt+28&amp;versioni[]=Martini</v>
      </c>
      <c r="D29" s="4" t="str">
        <f t="shared" si="1"/>
        <v>https://www.laparola.net/testo.php?riferimento=Mt+28&amp;versioni[]=Ricciotti</v>
      </c>
      <c r="E29" s="4" t="str">
        <f t="shared" si="2"/>
        <v>https://www.laparola.net/testo.php?riferimento=Mt+28&amp;versioni[]=Diodati</v>
      </c>
      <c r="F29" s="4" t="str">
        <f t="shared" si="3"/>
        <v>https://www.laparola.net/testo.php?riferimento=Mt+28&amp;versioni[]=Nuova+Diodati</v>
      </c>
      <c r="G29" s="4" t="str">
        <f t="shared" si="4"/>
        <v>https://www.laparola.net/testo.php?riferimento=Mt+28&amp;versioni[]=Riveduta</v>
      </c>
      <c r="H29" s="4" t="str">
        <f t="shared" si="5"/>
        <v>https://www.laparola.net/testo.php?riferimento=Mt+28&amp;versioni[]=Nuova+Riveduta</v>
      </c>
      <c r="I29" s="4" t="str">
        <f t="shared" si="6"/>
        <v>https://www.laparola.net/testo.php?riferimento=Mt+28&amp;versioni[]=Riveduta+2020</v>
      </c>
    </row>
    <row r="30" spans="1:9" x14ac:dyDescent="0.25">
      <c r="A30" s="4" t="s">
        <v>149</v>
      </c>
      <c r="B30" s="4">
        <v>1</v>
      </c>
      <c r="C30" s="4" t="str">
        <f t="shared" si="0"/>
        <v>https://www.laparola.net/testo.php?riferimento=Mc+1&amp;versioni[]=Martini</v>
      </c>
      <c r="D30" s="4" t="str">
        <f t="shared" si="1"/>
        <v>https://www.laparola.net/testo.php?riferimento=Mc+1&amp;versioni[]=Ricciotti</v>
      </c>
      <c r="E30" s="4" t="str">
        <f t="shared" si="2"/>
        <v>https://www.laparola.net/testo.php?riferimento=Mc+1&amp;versioni[]=Diodati</v>
      </c>
      <c r="F30" s="4" t="str">
        <f t="shared" si="3"/>
        <v>https://www.laparola.net/testo.php?riferimento=Mc+1&amp;versioni[]=Nuova+Diodati</v>
      </c>
      <c r="G30" s="4" t="str">
        <f t="shared" si="4"/>
        <v>https://www.laparola.net/testo.php?riferimento=Mc+1&amp;versioni[]=Riveduta</v>
      </c>
      <c r="H30" s="4" t="str">
        <f t="shared" si="5"/>
        <v>https://www.laparola.net/testo.php?riferimento=Mc+1&amp;versioni[]=Nuova+Riveduta</v>
      </c>
      <c r="I30" s="4" t="str">
        <f t="shared" si="6"/>
        <v>https://www.laparola.net/testo.php?riferimento=Mc+1&amp;versioni[]=Riveduta+2020</v>
      </c>
    </row>
    <row r="31" spans="1:9" x14ac:dyDescent="0.25">
      <c r="A31" s="4" t="s">
        <v>149</v>
      </c>
      <c r="B31" s="4">
        <v>2</v>
      </c>
      <c r="C31" s="4" t="str">
        <f t="shared" si="0"/>
        <v>https://www.laparola.net/testo.php?riferimento=Mc+2&amp;versioni[]=Martini</v>
      </c>
      <c r="D31" s="4" t="str">
        <f t="shared" si="1"/>
        <v>https://www.laparola.net/testo.php?riferimento=Mc+2&amp;versioni[]=Ricciotti</v>
      </c>
      <c r="E31" s="4" t="str">
        <f t="shared" si="2"/>
        <v>https://www.laparola.net/testo.php?riferimento=Mc+2&amp;versioni[]=Diodati</v>
      </c>
      <c r="F31" s="4" t="str">
        <f t="shared" si="3"/>
        <v>https://www.laparola.net/testo.php?riferimento=Mc+2&amp;versioni[]=Nuova+Diodati</v>
      </c>
      <c r="G31" s="4" t="str">
        <f t="shared" si="4"/>
        <v>https://www.laparola.net/testo.php?riferimento=Mc+2&amp;versioni[]=Riveduta</v>
      </c>
      <c r="H31" s="4" t="str">
        <f t="shared" si="5"/>
        <v>https://www.laparola.net/testo.php?riferimento=Mc+2&amp;versioni[]=Nuova+Riveduta</v>
      </c>
      <c r="I31" s="4" t="str">
        <f t="shared" si="6"/>
        <v>https://www.laparola.net/testo.php?riferimento=Mc+2&amp;versioni[]=Riveduta+2020</v>
      </c>
    </row>
    <row r="32" spans="1:9" x14ac:dyDescent="0.25">
      <c r="A32" s="4" t="s">
        <v>149</v>
      </c>
      <c r="B32" s="4">
        <v>3</v>
      </c>
      <c r="C32" s="4" t="str">
        <f t="shared" si="0"/>
        <v>https://www.laparola.net/testo.php?riferimento=Mc+3&amp;versioni[]=Martini</v>
      </c>
      <c r="D32" s="4" t="str">
        <f t="shared" si="1"/>
        <v>https://www.laparola.net/testo.php?riferimento=Mc+3&amp;versioni[]=Ricciotti</v>
      </c>
      <c r="E32" s="4" t="str">
        <f t="shared" si="2"/>
        <v>https://www.laparola.net/testo.php?riferimento=Mc+3&amp;versioni[]=Diodati</v>
      </c>
      <c r="F32" s="4" t="str">
        <f t="shared" si="3"/>
        <v>https://www.laparola.net/testo.php?riferimento=Mc+3&amp;versioni[]=Nuova+Diodati</v>
      </c>
      <c r="G32" s="4" t="str">
        <f t="shared" si="4"/>
        <v>https://www.laparola.net/testo.php?riferimento=Mc+3&amp;versioni[]=Riveduta</v>
      </c>
      <c r="H32" s="4" t="str">
        <f t="shared" si="5"/>
        <v>https://www.laparola.net/testo.php?riferimento=Mc+3&amp;versioni[]=Nuova+Riveduta</v>
      </c>
      <c r="I32" s="4" t="str">
        <f t="shared" si="6"/>
        <v>https://www.laparola.net/testo.php?riferimento=Mc+3&amp;versioni[]=Riveduta+2020</v>
      </c>
    </row>
    <row r="33" spans="1:9" x14ac:dyDescent="0.25">
      <c r="A33" s="4" t="s">
        <v>149</v>
      </c>
      <c r="B33" s="4">
        <v>4</v>
      </c>
      <c r="C33" s="4" t="str">
        <f t="shared" si="0"/>
        <v>https://www.laparola.net/testo.php?riferimento=Mc+4&amp;versioni[]=Martini</v>
      </c>
      <c r="D33" s="4" t="str">
        <f t="shared" si="1"/>
        <v>https://www.laparola.net/testo.php?riferimento=Mc+4&amp;versioni[]=Ricciotti</v>
      </c>
      <c r="E33" s="4" t="str">
        <f t="shared" si="2"/>
        <v>https://www.laparola.net/testo.php?riferimento=Mc+4&amp;versioni[]=Diodati</v>
      </c>
      <c r="F33" s="4" t="str">
        <f t="shared" si="3"/>
        <v>https://www.laparola.net/testo.php?riferimento=Mc+4&amp;versioni[]=Nuova+Diodati</v>
      </c>
      <c r="G33" s="4" t="str">
        <f t="shared" si="4"/>
        <v>https://www.laparola.net/testo.php?riferimento=Mc+4&amp;versioni[]=Riveduta</v>
      </c>
      <c r="H33" s="4" t="str">
        <f t="shared" si="5"/>
        <v>https://www.laparola.net/testo.php?riferimento=Mc+4&amp;versioni[]=Nuova+Riveduta</v>
      </c>
      <c r="I33" s="4" t="str">
        <f t="shared" si="6"/>
        <v>https://www.laparola.net/testo.php?riferimento=Mc+4&amp;versioni[]=Riveduta+2020</v>
      </c>
    </row>
    <row r="34" spans="1:9" x14ac:dyDescent="0.25">
      <c r="A34" s="4" t="s">
        <v>149</v>
      </c>
      <c r="B34" s="4">
        <v>5</v>
      </c>
      <c r="C34" s="4" t="str">
        <f t="shared" si="0"/>
        <v>https://www.laparola.net/testo.php?riferimento=Mc+5&amp;versioni[]=Martini</v>
      </c>
      <c r="D34" s="4" t="str">
        <f t="shared" si="1"/>
        <v>https://www.laparola.net/testo.php?riferimento=Mc+5&amp;versioni[]=Ricciotti</v>
      </c>
      <c r="E34" s="4" t="str">
        <f t="shared" si="2"/>
        <v>https://www.laparola.net/testo.php?riferimento=Mc+5&amp;versioni[]=Diodati</v>
      </c>
      <c r="F34" s="4" t="str">
        <f t="shared" si="3"/>
        <v>https://www.laparola.net/testo.php?riferimento=Mc+5&amp;versioni[]=Nuova+Diodati</v>
      </c>
      <c r="G34" s="4" t="str">
        <f t="shared" si="4"/>
        <v>https://www.laparola.net/testo.php?riferimento=Mc+5&amp;versioni[]=Riveduta</v>
      </c>
      <c r="H34" s="4" t="str">
        <f t="shared" si="5"/>
        <v>https://www.laparola.net/testo.php?riferimento=Mc+5&amp;versioni[]=Nuova+Riveduta</v>
      </c>
      <c r="I34" s="4" t="str">
        <f t="shared" si="6"/>
        <v>https://www.laparola.net/testo.php?riferimento=Mc+5&amp;versioni[]=Riveduta+2020</v>
      </c>
    </row>
    <row r="35" spans="1:9" x14ac:dyDescent="0.25">
      <c r="A35" s="4" t="s">
        <v>149</v>
      </c>
      <c r="B35" s="4">
        <v>6</v>
      </c>
      <c r="C35" s="4" t="str">
        <f t="shared" si="0"/>
        <v>https://www.laparola.net/testo.php?riferimento=Mc+6&amp;versioni[]=Martini</v>
      </c>
      <c r="D35" s="4" t="str">
        <f t="shared" si="1"/>
        <v>https://www.laparola.net/testo.php?riferimento=Mc+6&amp;versioni[]=Ricciotti</v>
      </c>
      <c r="E35" s="4" t="str">
        <f t="shared" si="2"/>
        <v>https://www.laparola.net/testo.php?riferimento=Mc+6&amp;versioni[]=Diodati</v>
      </c>
      <c r="F35" s="4" t="str">
        <f t="shared" si="3"/>
        <v>https://www.laparola.net/testo.php?riferimento=Mc+6&amp;versioni[]=Nuova+Diodati</v>
      </c>
      <c r="G35" s="4" t="str">
        <f t="shared" si="4"/>
        <v>https://www.laparola.net/testo.php?riferimento=Mc+6&amp;versioni[]=Riveduta</v>
      </c>
      <c r="H35" s="4" t="str">
        <f t="shared" si="5"/>
        <v>https://www.laparola.net/testo.php?riferimento=Mc+6&amp;versioni[]=Nuova+Riveduta</v>
      </c>
      <c r="I35" s="4" t="str">
        <f t="shared" si="6"/>
        <v>https://www.laparola.net/testo.php?riferimento=Mc+6&amp;versioni[]=Riveduta+2020</v>
      </c>
    </row>
    <row r="36" spans="1:9" x14ac:dyDescent="0.25">
      <c r="A36" s="4" t="s">
        <v>149</v>
      </c>
      <c r="B36" s="4">
        <v>7</v>
      </c>
      <c r="C36" s="4" t="str">
        <f t="shared" si="0"/>
        <v>https://www.laparola.net/testo.php?riferimento=Mc+7&amp;versioni[]=Martini</v>
      </c>
      <c r="D36" s="4" t="str">
        <f t="shared" si="1"/>
        <v>https://www.laparola.net/testo.php?riferimento=Mc+7&amp;versioni[]=Ricciotti</v>
      </c>
      <c r="E36" s="4" t="str">
        <f t="shared" si="2"/>
        <v>https://www.laparola.net/testo.php?riferimento=Mc+7&amp;versioni[]=Diodati</v>
      </c>
      <c r="F36" s="4" t="str">
        <f t="shared" si="3"/>
        <v>https://www.laparola.net/testo.php?riferimento=Mc+7&amp;versioni[]=Nuova+Diodati</v>
      </c>
      <c r="G36" s="4" t="str">
        <f t="shared" si="4"/>
        <v>https://www.laparola.net/testo.php?riferimento=Mc+7&amp;versioni[]=Riveduta</v>
      </c>
      <c r="H36" s="4" t="str">
        <f t="shared" si="5"/>
        <v>https://www.laparola.net/testo.php?riferimento=Mc+7&amp;versioni[]=Nuova+Riveduta</v>
      </c>
      <c r="I36" s="4" t="str">
        <f t="shared" si="6"/>
        <v>https://www.laparola.net/testo.php?riferimento=Mc+7&amp;versioni[]=Riveduta+2020</v>
      </c>
    </row>
    <row r="37" spans="1:9" x14ac:dyDescent="0.25">
      <c r="A37" s="4" t="s">
        <v>149</v>
      </c>
      <c r="B37" s="4">
        <v>8</v>
      </c>
      <c r="C37" s="4" t="str">
        <f t="shared" si="0"/>
        <v>https://www.laparola.net/testo.php?riferimento=Mc+8&amp;versioni[]=Martini</v>
      </c>
      <c r="D37" s="4" t="str">
        <f t="shared" si="1"/>
        <v>https://www.laparola.net/testo.php?riferimento=Mc+8&amp;versioni[]=Ricciotti</v>
      </c>
      <c r="E37" s="4" t="str">
        <f t="shared" si="2"/>
        <v>https://www.laparola.net/testo.php?riferimento=Mc+8&amp;versioni[]=Diodati</v>
      </c>
      <c r="F37" s="4" t="str">
        <f t="shared" si="3"/>
        <v>https://www.laparola.net/testo.php?riferimento=Mc+8&amp;versioni[]=Nuova+Diodati</v>
      </c>
      <c r="G37" s="4" t="str">
        <f t="shared" si="4"/>
        <v>https://www.laparola.net/testo.php?riferimento=Mc+8&amp;versioni[]=Riveduta</v>
      </c>
      <c r="H37" s="4" t="str">
        <f t="shared" si="5"/>
        <v>https://www.laparola.net/testo.php?riferimento=Mc+8&amp;versioni[]=Nuova+Riveduta</v>
      </c>
      <c r="I37" s="4" t="str">
        <f t="shared" si="6"/>
        <v>https://www.laparola.net/testo.php?riferimento=Mc+8&amp;versioni[]=Riveduta+2020</v>
      </c>
    </row>
    <row r="38" spans="1:9" x14ac:dyDescent="0.25">
      <c r="A38" s="4" t="s">
        <v>149</v>
      </c>
      <c r="B38" s="4">
        <v>9</v>
      </c>
      <c r="C38" s="4" t="str">
        <f t="shared" si="0"/>
        <v>https://www.laparola.net/testo.php?riferimento=Mc+9&amp;versioni[]=Martini</v>
      </c>
      <c r="D38" s="4" t="str">
        <f t="shared" si="1"/>
        <v>https://www.laparola.net/testo.php?riferimento=Mc+9&amp;versioni[]=Ricciotti</v>
      </c>
      <c r="E38" s="4" t="str">
        <f t="shared" si="2"/>
        <v>https://www.laparola.net/testo.php?riferimento=Mc+9&amp;versioni[]=Diodati</v>
      </c>
      <c r="F38" s="4" t="str">
        <f t="shared" si="3"/>
        <v>https://www.laparola.net/testo.php?riferimento=Mc+9&amp;versioni[]=Nuova+Diodati</v>
      </c>
      <c r="G38" s="4" t="str">
        <f t="shared" si="4"/>
        <v>https://www.laparola.net/testo.php?riferimento=Mc+9&amp;versioni[]=Riveduta</v>
      </c>
      <c r="H38" s="4" t="str">
        <f t="shared" si="5"/>
        <v>https://www.laparola.net/testo.php?riferimento=Mc+9&amp;versioni[]=Nuova+Riveduta</v>
      </c>
      <c r="I38" s="4" t="str">
        <f t="shared" si="6"/>
        <v>https://www.laparola.net/testo.php?riferimento=Mc+9&amp;versioni[]=Riveduta+2020</v>
      </c>
    </row>
    <row r="39" spans="1:9" x14ac:dyDescent="0.25">
      <c r="A39" s="4" t="s">
        <v>149</v>
      </c>
      <c r="B39" s="4">
        <v>10</v>
      </c>
      <c r="C39" s="4" t="str">
        <f t="shared" si="0"/>
        <v>https://www.laparola.net/testo.php?riferimento=Mc+10&amp;versioni[]=Martini</v>
      </c>
      <c r="D39" s="4" t="str">
        <f t="shared" si="1"/>
        <v>https://www.laparola.net/testo.php?riferimento=Mc+10&amp;versioni[]=Ricciotti</v>
      </c>
      <c r="E39" s="4" t="str">
        <f t="shared" si="2"/>
        <v>https://www.laparola.net/testo.php?riferimento=Mc+10&amp;versioni[]=Diodati</v>
      </c>
      <c r="F39" s="4" t="str">
        <f t="shared" si="3"/>
        <v>https://www.laparola.net/testo.php?riferimento=Mc+10&amp;versioni[]=Nuova+Diodati</v>
      </c>
      <c r="G39" s="4" t="str">
        <f t="shared" si="4"/>
        <v>https://www.laparola.net/testo.php?riferimento=Mc+10&amp;versioni[]=Riveduta</v>
      </c>
      <c r="H39" s="4" t="str">
        <f t="shared" si="5"/>
        <v>https://www.laparola.net/testo.php?riferimento=Mc+10&amp;versioni[]=Nuova+Riveduta</v>
      </c>
      <c r="I39" s="4" t="str">
        <f t="shared" si="6"/>
        <v>https://www.laparola.net/testo.php?riferimento=Mc+10&amp;versioni[]=Riveduta+2020</v>
      </c>
    </row>
    <row r="40" spans="1:9" x14ac:dyDescent="0.25">
      <c r="A40" s="4" t="s">
        <v>149</v>
      </c>
      <c r="B40" s="4">
        <v>11</v>
      </c>
      <c r="C40" s="4" t="str">
        <f t="shared" si="0"/>
        <v>https://www.laparola.net/testo.php?riferimento=Mc+11&amp;versioni[]=Martini</v>
      </c>
      <c r="D40" s="4" t="str">
        <f t="shared" si="1"/>
        <v>https://www.laparola.net/testo.php?riferimento=Mc+11&amp;versioni[]=Ricciotti</v>
      </c>
      <c r="E40" s="4" t="str">
        <f t="shared" si="2"/>
        <v>https://www.laparola.net/testo.php?riferimento=Mc+11&amp;versioni[]=Diodati</v>
      </c>
      <c r="F40" s="4" t="str">
        <f t="shared" si="3"/>
        <v>https://www.laparola.net/testo.php?riferimento=Mc+11&amp;versioni[]=Nuova+Diodati</v>
      </c>
      <c r="G40" s="4" t="str">
        <f t="shared" si="4"/>
        <v>https://www.laparola.net/testo.php?riferimento=Mc+11&amp;versioni[]=Riveduta</v>
      </c>
      <c r="H40" s="4" t="str">
        <f t="shared" si="5"/>
        <v>https://www.laparola.net/testo.php?riferimento=Mc+11&amp;versioni[]=Nuova+Riveduta</v>
      </c>
      <c r="I40" s="4" t="str">
        <f t="shared" si="6"/>
        <v>https://www.laparola.net/testo.php?riferimento=Mc+11&amp;versioni[]=Riveduta+2020</v>
      </c>
    </row>
    <row r="41" spans="1:9" x14ac:dyDescent="0.25">
      <c r="A41" s="4" t="s">
        <v>149</v>
      </c>
      <c r="B41" s="4">
        <v>12</v>
      </c>
      <c r="C41" s="4" t="str">
        <f t="shared" si="0"/>
        <v>https://www.laparola.net/testo.php?riferimento=Mc+12&amp;versioni[]=Martini</v>
      </c>
      <c r="D41" s="4" t="str">
        <f t="shared" si="1"/>
        <v>https://www.laparola.net/testo.php?riferimento=Mc+12&amp;versioni[]=Ricciotti</v>
      </c>
      <c r="E41" s="4" t="str">
        <f t="shared" si="2"/>
        <v>https://www.laparola.net/testo.php?riferimento=Mc+12&amp;versioni[]=Diodati</v>
      </c>
      <c r="F41" s="4" t="str">
        <f t="shared" si="3"/>
        <v>https://www.laparola.net/testo.php?riferimento=Mc+12&amp;versioni[]=Nuova+Diodati</v>
      </c>
      <c r="G41" s="4" t="str">
        <f t="shared" si="4"/>
        <v>https://www.laparola.net/testo.php?riferimento=Mc+12&amp;versioni[]=Riveduta</v>
      </c>
      <c r="H41" s="4" t="str">
        <f t="shared" si="5"/>
        <v>https://www.laparola.net/testo.php?riferimento=Mc+12&amp;versioni[]=Nuova+Riveduta</v>
      </c>
      <c r="I41" s="4" t="str">
        <f t="shared" si="6"/>
        <v>https://www.laparola.net/testo.php?riferimento=Mc+12&amp;versioni[]=Riveduta+2020</v>
      </c>
    </row>
    <row r="42" spans="1:9" x14ac:dyDescent="0.25">
      <c r="A42" s="4" t="s">
        <v>149</v>
      </c>
      <c r="B42" s="4">
        <v>13</v>
      </c>
      <c r="C42" s="4" t="str">
        <f t="shared" si="0"/>
        <v>https://www.laparola.net/testo.php?riferimento=Mc+13&amp;versioni[]=Martini</v>
      </c>
      <c r="D42" s="4" t="str">
        <f t="shared" si="1"/>
        <v>https://www.laparola.net/testo.php?riferimento=Mc+13&amp;versioni[]=Ricciotti</v>
      </c>
      <c r="E42" s="4" t="str">
        <f t="shared" si="2"/>
        <v>https://www.laparola.net/testo.php?riferimento=Mc+13&amp;versioni[]=Diodati</v>
      </c>
      <c r="F42" s="4" t="str">
        <f t="shared" si="3"/>
        <v>https://www.laparola.net/testo.php?riferimento=Mc+13&amp;versioni[]=Nuova+Diodati</v>
      </c>
      <c r="G42" s="4" t="str">
        <f t="shared" si="4"/>
        <v>https://www.laparola.net/testo.php?riferimento=Mc+13&amp;versioni[]=Riveduta</v>
      </c>
      <c r="H42" s="4" t="str">
        <f t="shared" si="5"/>
        <v>https://www.laparola.net/testo.php?riferimento=Mc+13&amp;versioni[]=Nuova+Riveduta</v>
      </c>
      <c r="I42" s="4" t="str">
        <f t="shared" si="6"/>
        <v>https://www.laparola.net/testo.php?riferimento=Mc+13&amp;versioni[]=Riveduta+2020</v>
      </c>
    </row>
    <row r="43" spans="1:9" x14ac:dyDescent="0.25">
      <c r="A43" s="4" t="s">
        <v>149</v>
      </c>
      <c r="B43" s="4">
        <v>14</v>
      </c>
      <c r="C43" s="4" t="str">
        <f t="shared" si="0"/>
        <v>https://www.laparola.net/testo.php?riferimento=Mc+14&amp;versioni[]=Martini</v>
      </c>
      <c r="D43" s="4" t="str">
        <f t="shared" si="1"/>
        <v>https://www.laparola.net/testo.php?riferimento=Mc+14&amp;versioni[]=Ricciotti</v>
      </c>
      <c r="E43" s="4" t="str">
        <f t="shared" si="2"/>
        <v>https://www.laparola.net/testo.php?riferimento=Mc+14&amp;versioni[]=Diodati</v>
      </c>
      <c r="F43" s="4" t="str">
        <f t="shared" si="3"/>
        <v>https://www.laparola.net/testo.php?riferimento=Mc+14&amp;versioni[]=Nuova+Diodati</v>
      </c>
      <c r="G43" s="4" t="str">
        <f t="shared" si="4"/>
        <v>https://www.laparola.net/testo.php?riferimento=Mc+14&amp;versioni[]=Riveduta</v>
      </c>
      <c r="H43" s="4" t="str">
        <f t="shared" si="5"/>
        <v>https://www.laparola.net/testo.php?riferimento=Mc+14&amp;versioni[]=Nuova+Riveduta</v>
      </c>
      <c r="I43" s="4" t="str">
        <f t="shared" si="6"/>
        <v>https://www.laparola.net/testo.php?riferimento=Mc+14&amp;versioni[]=Riveduta+2020</v>
      </c>
    </row>
    <row r="44" spans="1:9" x14ac:dyDescent="0.25">
      <c r="A44" s="4" t="s">
        <v>149</v>
      </c>
      <c r="B44" s="4">
        <v>15</v>
      </c>
      <c r="C44" s="4" t="str">
        <f t="shared" si="0"/>
        <v>https://www.laparola.net/testo.php?riferimento=Mc+15&amp;versioni[]=Martini</v>
      </c>
      <c r="D44" s="4" t="str">
        <f t="shared" si="1"/>
        <v>https://www.laparola.net/testo.php?riferimento=Mc+15&amp;versioni[]=Ricciotti</v>
      </c>
      <c r="E44" s="4" t="str">
        <f t="shared" si="2"/>
        <v>https://www.laparola.net/testo.php?riferimento=Mc+15&amp;versioni[]=Diodati</v>
      </c>
      <c r="F44" s="4" t="str">
        <f t="shared" si="3"/>
        <v>https://www.laparola.net/testo.php?riferimento=Mc+15&amp;versioni[]=Nuova+Diodati</v>
      </c>
      <c r="G44" s="4" t="str">
        <f t="shared" si="4"/>
        <v>https://www.laparola.net/testo.php?riferimento=Mc+15&amp;versioni[]=Riveduta</v>
      </c>
      <c r="H44" s="4" t="str">
        <f t="shared" si="5"/>
        <v>https://www.laparola.net/testo.php?riferimento=Mc+15&amp;versioni[]=Nuova+Riveduta</v>
      </c>
      <c r="I44" s="4" t="str">
        <f t="shared" si="6"/>
        <v>https://www.laparola.net/testo.php?riferimento=Mc+15&amp;versioni[]=Riveduta+2020</v>
      </c>
    </row>
    <row r="45" spans="1:9" x14ac:dyDescent="0.25">
      <c r="A45" s="4" t="s">
        <v>149</v>
      </c>
      <c r="B45" s="4">
        <v>16</v>
      </c>
      <c r="C45" s="4" t="str">
        <f t="shared" si="0"/>
        <v>https://www.laparola.net/testo.php?riferimento=Mc+16&amp;versioni[]=Martini</v>
      </c>
      <c r="D45" s="4" t="str">
        <f t="shared" si="1"/>
        <v>https://www.laparola.net/testo.php?riferimento=Mc+16&amp;versioni[]=Ricciotti</v>
      </c>
      <c r="E45" s="4" t="str">
        <f t="shared" si="2"/>
        <v>https://www.laparola.net/testo.php?riferimento=Mc+16&amp;versioni[]=Diodati</v>
      </c>
      <c r="F45" s="4" t="str">
        <f t="shared" si="3"/>
        <v>https://www.laparola.net/testo.php?riferimento=Mc+16&amp;versioni[]=Nuova+Diodati</v>
      </c>
      <c r="G45" s="4" t="str">
        <f t="shared" si="4"/>
        <v>https://www.laparola.net/testo.php?riferimento=Mc+16&amp;versioni[]=Riveduta</v>
      </c>
      <c r="H45" s="4" t="str">
        <f t="shared" si="5"/>
        <v>https://www.laparola.net/testo.php?riferimento=Mc+16&amp;versioni[]=Nuova+Riveduta</v>
      </c>
      <c r="I45" s="4" t="str">
        <f t="shared" si="6"/>
        <v>https://www.laparola.net/testo.php?riferimento=Mc+16&amp;versioni[]=Riveduta+2020</v>
      </c>
    </row>
    <row r="46" spans="1:9" x14ac:dyDescent="0.25">
      <c r="A46" t="s">
        <v>150</v>
      </c>
      <c r="B46">
        <v>1</v>
      </c>
      <c r="C46" s="4" t="str">
        <f t="shared" si="0"/>
        <v>https://www.laparola.net/testo.php?riferimento=Lc+1&amp;versioni[]=Martini</v>
      </c>
      <c r="D46" s="4" t="str">
        <f t="shared" si="1"/>
        <v>https://www.laparola.net/testo.php?riferimento=Lc+1&amp;versioni[]=Ricciotti</v>
      </c>
      <c r="E46" s="4" t="str">
        <f t="shared" si="2"/>
        <v>https://www.laparola.net/testo.php?riferimento=Lc+1&amp;versioni[]=Diodati</v>
      </c>
      <c r="F46" s="4" t="str">
        <f t="shared" si="3"/>
        <v>https://www.laparola.net/testo.php?riferimento=Lc+1&amp;versioni[]=Nuova+Diodati</v>
      </c>
      <c r="G46" s="4" t="str">
        <f t="shared" si="4"/>
        <v>https://www.laparola.net/testo.php?riferimento=Lc+1&amp;versioni[]=Riveduta</v>
      </c>
      <c r="H46" s="4" t="str">
        <f t="shared" si="5"/>
        <v>https://www.laparola.net/testo.php?riferimento=Lc+1&amp;versioni[]=Nuova+Riveduta</v>
      </c>
      <c r="I46" t="str">
        <f t="shared" si="6"/>
        <v>https://www.laparola.net/testo.php?riferimento=Lc+1&amp;versioni[]=Riveduta+2020</v>
      </c>
    </row>
    <row r="47" spans="1:9" x14ac:dyDescent="0.25">
      <c r="A47" t="s">
        <v>150</v>
      </c>
      <c r="B47">
        <v>2</v>
      </c>
      <c r="C47" s="4" t="str">
        <f t="shared" si="0"/>
        <v>https://www.laparola.net/testo.php?riferimento=Lc+2&amp;versioni[]=Martini</v>
      </c>
      <c r="D47" s="4" t="str">
        <f t="shared" si="1"/>
        <v>https://www.laparola.net/testo.php?riferimento=Lc+2&amp;versioni[]=Ricciotti</v>
      </c>
      <c r="E47" s="4" t="str">
        <f t="shared" si="2"/>
        <v>https://www.laparola.net/testo.php?riferimento=Lc+2&amp;versioni[]=Diodati</v>
      </c>
      <c r="F47" s="4" t="str">
        <f t="shared" si="3"/>
        <v>https://www.laparola.net/testo.php?riferimento=Lc+2&amp;versioni[]=Nuova+Diodati</v>
      </c>
      <c r="G47" s="4" t="str">
        <f t="shared" si="4"/>
        <v>https://www.laparola.net/testo.php?riferimento=Lc+2&amp;versioni[]=Riveduta</v>
      </c>
      <c r="H47" s="4" t="str">
        <f t="shared" si="5"/>
        <v>https://www.laparola.net/testo.php?riferimento=Lc+2&amp;versioni[]=Nuova+Riveduta</v>
      </c>
      <c r="I47" t="str">
        <f t="shared" si="6"/>
        <v>https://www.laparola.net/testo.php?riferimento=Lc+2&amp;versioni[]=Riveduta+2020</v>
      </c>
    </row>
    <row r="48" spans="1:9" x14ac:dyDescent="0.25">
      <c r="A48" t="s">
        <v>150</v>
      </c>
      <c r="B48">
        <v>3</v>
      </c>
      <c r="C48" s="4" t="str">
        <f t="shared" si="0"/>
        <v>https://www.laparola.net/testo.php?riferimento=Lc+3&amp;versioni[]=Martini</v>
      </c>
      <c r="D48" s="4" t="str">
        <f t="shared" si="1"/>
        <v>https://www.laparola.net/testo.php?riferimento=Lc+3&amp;versioni[]=Ricciotti</v>
      </c>
      <c r="E48" s="4" t="str">
        <f t="shared" si="2"/>
        <v>https://www.laparola.net/testo.php?riferimento=Lc+3&amp;versioni[]=Diodati</v>
      </c>
      <c r="F48" s="4" t="str">
        <f t="shared" si="3"/>
        <v>https://www.laparola.net/testo.php?riferimento=Lc+3&amp;versioni[]=Nuova+Diodati</v>
      </c>
      <c r="G48" s="4" t="str">
        <f t="shared" si="4"/>
        <v>https://www.laparola.net/testo.php?riferimento=Lc+3&amp;versioni[]=Riveduta</v>
      </c>
      <c r="H48" s="4" t="str">
        <f t="shared" si="5"/>
        <v>https://www.laparola.net/testo.php?riferimento=Lc+3&amp;versioni[]=Nuova+Riveduta</v>
      </c>
      <c r="I48" t="str">
        <f t="shared" si="6"/>
        <v>https://www.laparola.net/testo.php?riferimento=Lc+3&amp;versioni[]=Riveduta+2020</v>
      </c>
    </row>
    <row r="49" spans="1:9" x14ac:dyDescent="0.25">
      <c r="A49" t="s">
        <v>150</v>
      </c>
      <c r="B49">
        <v>4</v>
      </c>
      <c r="C49" s="4" t="str">
        <f t="shared" si="0"/>
        <v>https://www.laparola.net/testo.php?riferimento=Lc+4&amp;versioni[]=Martini</v>
      </c>
      <c r="D49" s="4" t="str">
        <f t="shared" si="1"/>
        <v>https://www.laparola.net/testo.php?riferimento=Lc+4&amp;versioni[]=Ricciotti</v>
      </c>
      <c r="E49" s="4" t="str">
        <f t="shared" si="2"/>
        <v>https://www.laparola.net/testo.php?riferimento=Lc+4&amp;versioni[]=Diodati</v>
      </c>
      <c r="F49" s="4" t="str">
        <f t="shared" si="3"/>
        <v>https://www.laparola.net/testo.php?riferimento=Lc+4&amp;versioni[]=Nuova+Diodati</v>
      </c>
      <c r="G49" s="4" t="str">
        <f t="shared" si="4"/>
        <v>https://www.laparola.net/testo.php?riferimento=Lc+4&amp;versioni[]=Riveduta</v>
      </c>
      <c r="H49" s="4" t="str">
        <f t="shared" si="5"/>
        <v>https://www.laparola.net/testo.php?riferimento=Lc+4&amp;versioni[]=Nuova+Riveduta</v>
      </c>
      <c r="I49" t="str">
        <f t="shared" si="6"/>
        <v>https://www.laparola.net/testo.php?riferimento=Lc+4&amp;versioni[]=Riveduta+2020</v>
      </c>
    </row>
    <row r="50" spans="1:9" x14ac:dyDescent="0.25">
      <c r="A50" t="s">
        <v>150</v>
      </c>
      <c r="B50">
        <v>5</v>
      </c>
      <c r="C50" s="4" t="str">
        <f t="shared" si="0"/>
        <v>https://www.laparola.net/testo.php?riferimento=Lc+5&amp;versioni[]=Martini</v>
      </c>
      <c r="D50" s="4" t="str">
        <f t="shared" si="1"/>
        <v>https://www.laparola.net/testo.php?riferimento=Lc+5&amp;versioni[]=Ricciotti</v>
      </c>
      <c r="E50" s="4" t="str">
        <f t="shared" si="2"/>
        <v>https://www.laparola.net/testo.php?riferimento=Lc+5&amp;versioni[]=Diodati</v>
      </c>
      <c r="F50" s="4" t="str">
        <f t="shared" si="3"/>
        <v>https://www.laparola.net/testo.php?riferimento=Lc+5&amp;versioni[]=Nuova+Diodati</v>
      </c>
      <c r="G50" s="4" t="str">
        <f t="shared" si="4"/>
        <v>https://www.laparola.net/testo.php?riferimento=Lc+5&amp;versioni[]=Riveduta</v>
      </c>
      <c r="H50" s="4" t="str">
        <f t="shared" si="5"/>
        <v>https://www.laparola.net/testo.php?riferimento=Lc+5&amp;versioni[]=Nuova+Riveduta</v>
      </c>
      <c r="I50" t="str">
        <f t="shared" si="6"/>
        <v>https://www.laparola.net/testo.php?riferimento=Lc+5&amp;versioni[]=Riveduta+2020</v>
      </c>
    </row>
    <row r="51" spans="1:9" x14ac:dyDescent="0.25">
      <c r="A51" t="s">
        <v>150</v>
      </c>
      <c r="B51">
        <v>6</v>
      </c>
      <c r="C51" s="4" t="str">
        <f t="shared" si="0"/>
        <v>https://www.laparola.net/testo.php?riferimento=Lc+6&amp;versioni[]=Martini</v>
      </c>
      <c r="D51" s="4" t="str">
        <f t="shared" si="1"/>
        <v>https://www.laparola.net/testo.php?riferimento=Lc+6&amp;versioni[]=Ricciotti</v>
      </c>
      <c r="E51" s="4" t="str">
        <f t="shared" si="2"/>
        <v>https://www.laparola.net/testo.php?riferimento=Lc+6&amp;versioni[]=Diodati</v>
      </c>
      <c r="F51" s="4" t="str">
        <f t="shared" si="3"/>
        <v>https://www.laparola.net/testo.php?riferimento=Lc+6&amp;versioni[]=Nuova+Diodati</v>
      </c>
      <c r="G51" s="4" t="str">
        <f t="shared" si="4"/>
        <v>https://www.laparola.net/testo.php?riferimento=Lc+6&amp;versioni[]=Riveduta</v>
      </c>
      <c r="H51" s="4" t="str">
        <f t="shared" si="5"/>
        <v>https://www.laparola.net/testo.php?riferimento=Lc+6&amp;versioni[]=Nuova+Riveduta</v>
      </c>
      <c r="I51" t="str">
        <f t="shared" si="6"/>
        <v>https://www.laparola.net/testo.php?riferimento=Lc+6&amp;versioni[]=Riveduta+2020</v>
      </c>
    </row>
    <row r="52" spans="1:9" x14ac:dyDescent="0.25">
      <c r="A52" t="s">
        <v>150</v>
      </c>
      <c r="B52">
        <v>7</v>
      </c>
      <c r="C52" s="4" t="str">
        <f t="shared" si="0"/>
        <v>https://www.laparola.net/testo.php?riferimento=Lc+7&amp;versioni[]=Martini</v>
      </c>
      <c r="D52" s="4" t="str">
        <f t="shared" si="1"/>
        <v>https://www.laparola.net/testo.php?riferimento=Lc+7&amp;versioni[]=Ricciotti</v>
      </c>
      <c r="E52" s="4" t="str">
        <f t="shared" si="2"/>
        <v>https://www.laparola.net/testo.php?riferimento=Lc+7&amp;versioni[]=Diodati</v>
      </c>
      <c r="F52" s="4" t="str">
        <f t="shared" si="3"/>
        <v>https://www.laparola.net/testo.php?riferimento=Lc+7&amp;versioni[]=Nuova+Diodati</v>
      </c>
      <c r="G52" s="4" t="str">
        <f t="shared" si="4"/>
        <v>https://www.laparola.net/testo.php?riferimento=Lc+7&amp;versioni[]=Riveduta</v>
      </c>
      <c r="H52" s="4" t="str">
        <f t="shared" si="5"/>
        <v>https://www.laparola.net/testo.php?riferimento=Lc+7&amp;versioni[]=Nuova+Riveduta</v>
      </c>
      <c r="I52" t="str">
        <f t="shared" si="6"/>
        <v>https://www.laparola.net/testo.php?riferimento=Lc+7&amp;versioni[]=Riveduta+2020</v>
      </c>
    </row>
    <row r="53" spans="1:9" x14ac:dyDescent="0.25">
      <c r="A53" t="s">
        <v>150</v>
      </c>
      <c r="B53">
        <v>8</v>
      </c>
      <c r="C53" s="4" t="str">
        <f t="shared" si="0"/>
        <v>https://www.laparola.net/testo.php?riferimento=Lc+8&amp;versioni[]=Martini</v>
      </c>
      <c r="D53" s="4" t="str">
        <f t="shared" si="1"/>
        <v>https://www.laparola.net/testo.php?riferimento=Lc+8&amp;versioni[]=Ricciotti</v>
      </c>
      <c r="E53" s="4" t="str">
        <f t="shared" si="2"/>
        <v>https://www.laparola.net/testo.php?riferimento=Lc+8&amp;versioni[]=Diodati</v>
      </c>
      <c r="F53" s="4" t="str">
        <f t="shared" si="3"/>
        <v>https://www.laparola.net/testo.php?riferimento=Lc+8&amp;versioni[]=Nuova+Diodati</v>
      </c>
      <c r="G53" s="4" t="str">
        <f t="shared" si="4"/>
        <v>https://www.laparola.net/testo.php?riferimento=Lc+8&amp;versioni[]=Riveduta</v>
      </c>
      <c r="H53" s="4" t="str">
        <f t="shared" si="5"/>
        <v>https://www.laparola.net/testo.php?riferimento=Lc+8&amp;versioni[]=Nuova+Riveduta</v>
      </c>
      <c r="I53" t="str">
        <f t="shared" si="6"/>
        <v>https://www.laparola.net/testo.php?riferimento=Lc+8&amp;versioni[]=Riveduta+2020</v>
      </c>
    </row>
    <row r="54" spans="1:9" x14ac:dyDescent="0.25">
      <c r="A54" t="s">
        <v>150</v>
      </c>
      <c r="B54">
        <v>9</v>
      </c>
      <c r="C54" s="4" t="str">
        <f t="shared" si="0"/>
        <v>https://www.laparola.net/testo.php?riferimento=Lc+9&amp;versioni[]=Martini</v>
      </c>
      <c r="D54" s="4" t="str">
        <f t="shared" si="1"/>
        <v>https://www.laparola.net/testo.php?riferimento=Lc+9&amp;versioni[]=Ricciotti</v>
      </c>
      <c r="E54" s="4" t="str">
        <f t="shared" si="2"/>
        <v>https://www.laparola.net/testo.php?riferimento=Lc+9&amp;versioni[]=Diodati</v>
      </c>
      <c r="F54" s="4" t="str">
        <f t="shared" si="3"/>
        <v>https://www.laparola.net/testo.php?riferimento=Lc+9&amp;versioni[]=Nuova+Diodati</v>
      </c>
      <c r="G54" s="4" t="str">
        <f t="shared" si="4"/>
        <v>https://www.laparola.net/testo.php?riferimento=Lc+9&amp;versioni[]=Riveduta</v>
      </c>
      <c r="H54" s="4" t="str">
        <f t="shared" si="5"/>
        <v>https://www.laparola.net/testo.php?riferimento=Lc+9&amp;versioni[]=Nuova+Riveduta</v>
      </c>
      <c r="I54" t="str">
        <f t="shared" si="6"/>
        <v>https://www.laparola.net/testo.php?riferimento=Lc+9&amp;versioni[]=Riveduta+2020</v>
      </c>
    </row>
    <row r="55" spans="1:9" x14ac:dyDescent="0.25">
      <c r="A55" t="s">
        <v>150</v>
      </c>
      <c r="B55">
        <v>10</v>
      </c>
      <c r="C55" s="4" t="str">
        <f t="shared" si="0"/>
        <v>https://www.laparola.net/testo.php?riferimento=Lc+10&amp;versioni[]=Martini</v>
      </c>
      <c r="D55" s="4" t="str">
        <f t="shared" si="1"/>
        <v>https://www.laparola.net/testo.php?riferimento=Lc+10&amp;versioni[]=Ricciotti</v>
      </c>
      <c r="E55" s="4" t="str">
        <f t="shared" si="2"/>
        <v>https://www.laparola.net/testo.php?riferimento=Lc+10&amp;versioni[]=Diodati</v>
      </c>
      <c r="F55" s="4" t="str">
        <f t="shared" si="3"/>
        <v>https://www.laparola.net/testo.php?riferimento=Lc+10&amp;versioni[]=Nuova+Diodati</v>
      </c>
      <c r="G55" s="4" t="str">
        <f t="shared" si="4"/>
        <v>https://www.laparola.net/testo.php?riferimento=Lc+10&amp;versioni[]=Riveduta</v>
      </c>
      <c r="H55" s="4" t="str">
        <f t="shared" si="5"/>
        <v>https://www.laparola.net/testo.php?riferimento=Lc+10&amp;versioni[]=Nuova+Riveduta</v>
      </c>
      <c r="I55" t="str">
        <f t="shared" si="6"/>
        <v>https://www.laparola.net/testo.php?riferimento=Lc+10&amp;versioni[]=Riveduta+2020</v>
      </c>
    </row>
    <row r="56" spans="1:9" x14ac:dyDescent="0.25">
      <c r="A56" t="s">
        <v>150</v>
      </c>
      <c r="B56">
        <v>11</v>
      </c>
      <c r="C56" s="4" t="str">
        <f t="shared" si="0"/>
        <v>https://www.laparola.net/testo.php?riferimento=Lc+11&amp;versioni[]=Martini</v>
      </c>
      <c r="D56" s="4" t="str">
        <f t="shared" si="1"/>
        <v>https://www.laparola.net/testo.php?riferimento=Lc+11&amp;versioni[]=Ricciotti</v>
      </c>
      <c r="E56" s="4" t="str">
        <f t="shared" si="2"/>
        <v>https://www.laparola.net/testo.php?riferimento=Lc+11&amp;versioni[]=Diodati</v>
      </c>
      <c r="F56" s="4" t="str">
        <f t="shared" si="3"/>
        <v>https://www.laparola.net/testo.php?riferimento=Lc+11&amp;versioni[]=Nuova+Diodati</v>
      </c>
      <c r="G56" s="4" t="str">
        <f t="shared" si="4"/>
        <v>https://www.laparola.net/testo.php?riferimento=Lc+11&amp;versioni[]=Riveduta</v>
      </c>
      <c r="H56" s="4" t="str">
        <f t="shared" si="5"/>
        <v>https://www.laparola.net/testo.php?riferimento=Lc+11&amp;versioni[]=Nuova+Riveduta</v>
      </c>
      <c r="I56" t="str">
        <f t="shared" si="6"/>
        <v>https://www.laparola.net/testo.php?riferimento=Lc+11&amp;versioni[]=Riveduta+2020</v>
      </c>
    </row>
    <row r="57" spans="1:9" x14ac:dyDescent="0.25">
      <c r="A57" t="s">
        <v>150</v>
      </c>
      <c r="B57">
        <v>12</v>
      </c>
      <c r="C57" s="4" t="str">
        <f t="shared" si="0"/>
        <v>https://www.laparola.net/testo.php?riferimento=Lc+12&amp;versioni[]=Martini</v>
      </c>
      <c r="D57" s="4" t="str">
        <f t="shared" si="1"/>
        <v>https://www.laparola.net/testo.php?riferimento=Lc+12&amp;versioni[]=Ricciotti</v>
      </c>
      <c r="E57" s="4" t="str">
        <f t="shared" si="2"/>
        <v>https://www.laparola.net/testo.php?riferimento=Lc+12&amp;versioni[]=Diodati</v>
      </c>
      <c r="F57" s="4" t="str">
        <f t="shared" si="3"/>
        <v>https://www.laparola.net/testo.php?riferimento=Lc+12&amp;versioni[]=Nuova+Diodati</v>
      </c>
      <c r="G57" s="4" t="str">
        <f t="shared" si="4"/>
        <v>https://www.laparola.net/testo.php?riferimento=Lc+12&amp;versioni[]=Riveduta</v>
      </c>
      <c r="H57" s="4" t="str">
        <f t="shared" si="5"/>
        <v>https://www.laparola.net/testo.php?riferimento=Lc+12&amp;versioni[]=Nuova+Riveduta</v>
      </c>
      <c r="I57" t="str">
        <f t="shared" si="6"/>
        <v>https://www.laparola.net/testo.php?riferimento=Lc+12&amp;versioni[]=Riveduta+2020</v>
      </c>
    </row>
    <row r="58" spans="1:9" x14ac:dyDescent="0.25">
      <c r="A58" t="s">
        <v>150</v>
      </c>
      <c r="B58">
        <v>13</v>
      </c>
      <c r="C58" s="4" t="str">
        <f t="shared" si="0"/>
        <v>https://www.laparola.net/testo.php?riferimento=Lc+13&amp;versioni[]=Martini</v>
      </c>
      <c r="D58" s="4" t="str">
        <f t="shared" si="1"/>
        <v>https://www.laparola.net/testo.php?riferimento=Lc+13&amp;versioni[]=Ricciotti</v>
      </c>
      <c r="E58" s="4" t="str">
        <f t="shared" si="2"/>
        <v>https://www.laparola.net/testo.php?riferimento=Lc+13&amp;versioni[]=Diodati</v>
      </c>
      <c r="F58" s="4" t="str">
        <f t="shared" si="3"/>
        <v>https://www.laparola.net/testo.php?riferimento=Lc+13&amp;versioni[]=Nuova+Diodati</v>
      </c>
      <c r="G58" s="4" t="str">
        <f t="shared" si="4"/>
        <v>https://www.laparola.net/testo.php?riferimento=Lc+13&amp;versioni[]=Riveduta</v>
      </c>
      <c r="H58" s="4" t="str">
        <f t="shared" si="5"/>
        <v>https://www.laparola.net/testo.php?riferimento=Lc+13&amp;versioni[]=Nuova+Riveduta</v>
      </c>
      <c r="I58" t="str">
        <f t="shared" si="6"/>
        <v>https://www.laparola.net/testo.php?riferimento=Lc+13&amp;versioni[]=Riveduta+2020</v>
      </c>
    </row>
    <row r="59" spans="1:9" x14ac:dyDescent="0.25">
      <c r="A59" t="s">
        <v>150</v>
      </c>
      <c r="B59">
        <v>14</v>
      </c>
      <c r="C59" s="4" t="str">
        <f t="shared" si="0"/>
        <v>https://www.laparola.net/testo.php?riferimento=Lc+14&amp;versioni[]=Martini</v>
      </c>
      <c r="D59" s="4" t="str">
        <f t="shared" si="1"/>
        <v>https://www.laparola.net/testo.php?riferimento=Lc+14&amp;versioni[]=Ricciotti</v>
      </c>
      <c r="E59" s="4" t="str">
        <f t="shared" si="2"/>
        <v>https://www.laparola.net/testo.php?riferimento=Lc+14&amp;versioni[]=Diodati</v>
      </c>
      <c r="F59" s="4" t="str">
        <f t="shared" si="3"/>
        <v>https://www.laparola.net/testo.php?riferimento=Lc+14&amp;versioni[]=Nuova+Diodati</v>
      </c>
      <c r="G59" s="4" t="str">
        <f t="shared" si="4"/>
        <v>https://www.laparola.net/testo.php?riferimento=Lc+14&amp;versioni[]=Riveduta</v>
      </c>
      <c r="H59" s="4" t="str">
        <f t="shared" si="5"/>
        <v>https://www.laparola.net/testo.php?riferimento=Lc+14&amp;versioni[]=Nuova+Riveduta</v>
      </c>
      <c r="I59" t="str">
        <f t="shared" si="6"/>
        <v>https://www.laparola.net/testo.php?riferimento=Lc+14&amp;versioni[]=Riveduta+2020</v>
      </c>
    </row>
    <row r="60" spans="1:9" x14ac:dyDescent="0.25">
      <c r="A60" t="s">
        <v>150</v>
      </c>
      <c r="B60">
        <v>15</v>
      </c>
      <c r="C60" s="4" t="str">
        <f t="shared" si="0"/>
        <v>https://www.laparola.net/testo.php?riferimento=Lc+15&amp;versioni[]=Martini</v>
      </c>
      <c r="D60" s="4" t="str">
        <f t="shared" si="1"/>
        <v>https://www.laparola.net/testo.php?riferimento=Lc+15&amp;versioni[]=Ricciotti</v>
      </c>
      <c r="E60" s="4" t="str">
        <f t="shared" si="2"/>
        <v>https://www.laparola.net/testo.php?riferimento=Lc+15&amp;versioni[]=Diodati</v>
      </c>
      <c r="F60" s="4" t="str">
        <f t="shared" si="3"/>
        <v>https://www.laparola.net/testo.php?riferimento=Lc+15&amp;versioni[]=Nuova+Diodati</v>
      </c>
      <c r="G60" s="4" t="str">
        <f t="shared" si="4"/>
        <v>https://www.laparola.net/testo.php?riferimento=Lc+15&amp;versioni[]=Riveduta</v>
      </c>
      <c r="H60" s="4" t="str">
        <f t="shared" si="5"/>
        <v>https://www.laparola.net/testo.php?riferimento=Lc+15&amp;versioni[]=Nuova+Riveduta</v>
      </c>
      <c r="I60" t="str">
        <f t="shared" si="6"/>
        <v>https://www.laparola.net/testo.php?riferimento=Lc+15&amp;versioni[]=Riveduta+2020</v>
      </c>
    </row>
    <row r="61" spans="1:9" x14ac:dyDescent="0.25">
      <c r="A61" t="s">
        <v>150</v>
      </c>
      <c r="B61">
        <v>16</v>
      </c>
      <c r="C61" s="4" t="str">
        <f t="shared" si="0"/>
        <v>https://www.laparola.net/testo.php?riferimento=Lc+16&amp;versioni[]=Martini</v>
      </c>
      <c r="D61" s="4" t="str">
        <f t="shared" si="1"/>
        <v>https://www.laparola.net/testo.php?riferimento=Lc+16&amp;versioni[]=Ricciotti</v>
      </c>
      <c r="E61" s="4" t="str">
        <f t="shared" si="2"/>
        <v>https://www.laparola.net/testo.php?riferimento=Lc+16&amp;versioni[]=Diodati</v>
      </c>
      <c r="F61" s="4" t="str">
        <f t="shared" si="3"/>
        <v>https://www.laparola.net/testo.php?riferimento=Lc+16&amp;versioni[]=Nuova+Diodati</v>
      </c>
      <c r="G61" s="4" t="str">
        <f t="shared" si="4"/>
        <v>https://www.laparola.net/testo.php?riferimento=Lc+16&amp;versioni[]=Riveduta</v>
      </c>
      <c r="H61" s="4" t="str">
        <f t="shared" si="5"/>
        <v>https://www.laparola.net/testo.php?riferimento=Lc+16&amp;versioni[]=Nuova+Riveduta</v>
      </c>
      <c r="I61" t="str">
        <f t="shared" si="6"/>
        <v>https://www.laparola.net/testo.php?riferimento=Lc+16&amp;versioni[]=Riveduta+2020</v>
      </c>
    </row>
    <row r="62" spans="1:9" x14ac:dyDescent="0.25">
      <c r="A62" t="s">
        <v>150</v>
      </c>
      <c r="B62">
        <v>17</v>
      </c>
      <c r="C62" s="4" t="str">
        <f t="shared" si="0"/>
        <v>https://www.laparola.net/testo.php?riferimento=Lc+17&amp;versioni[]=Martini</v>
      </c>
      <c r="D62" s="4" t="str">
        <f t="shared" si="1"/>
        <v>https://www.laparola.net/testo.php?riferimento=Lc+17&amp;versioni[]=Ricciotti</v>
      </c>
      <c r="E62" s="4" t="str">
        <f t="shared" si="2"/>
        <v>https://www.laparola.net/testo.php?riferimento=Lc+17&amp;versioni[]=Diodati</v>
      </c>
      <c r="F62" s="4" t="str">
        <f t="shared" si="3"/>
        <v>https://www.laparola.net/testo.php?riferimento=Lc+17&amp;versioni[]=Nuova+Diodati</v>
      </c>
      <c r="G62" s="4" t="str">
        <f t="shared" si="4"/>
        <v>https://www.laparola.net/testo.php?riferimento=Lc+17&amp;versioni[]=Riveduta</v>
      </c>
      <c r="H62" s="4" t="str">
        <f t="shared" si="5"/>
        <v>https://www.laparola.net/testo.php?riferimento=Lc+17&amp;versioni[]=Nuova+Riveduta</v>
      </c>
      <c r="I62" t="str">
        <f t="shared" si="6"/>
        <v>https://www.laparola.net/testo.php?riferimento=Lc+17&amp;versioni[]=Riveduta+2020</v>
      </c>
    </row>
    <row r="63" spans="1:9" x14ac:dyDescent="0.25">
      <c r="A63" t="s">
        <v>150</v>
      </c>
      <c r="B63">
        <v>18</v>
      </c>
      <c r="C63" s="4" t="str">
        <f t="shared" si="0"/>
        <v>https://www.laparola.net/testo.php?riferimento=Lc+18&amp;versioni[]=Martini</v>
      </c>
      <c r="D63" s="4" t="str">
        <f t="shared" si="1"/>
        <v>https://www.laparola.net/testo.php?riferimento=Lc+18&amp;versioni[]=Ricciotti</v>
      </c>
      <c r="E63" s="4" t="str">
        <f t="shared" si="2"/>
        <v>https://www.laparola.net/testo.php?riferimento=Lc+18&amp;versioni[]=Diodati</v>
      </c>
      <c r="F63" s="4" t="str">
        <f t="shared" si="3"/>
        <v>https://www.laparola.net/testo.php?riferimento=Lc+18&amp;versioni[]=Nuova+Diodati</v>
      </c>
      <c r="G63" s="4" t="str">
        <f t="shared" si="4"/>
        <v>https://www.laparola.net/testo.php?riferimento=Lc+18&amp;versioni[]=Riveduta</v>
      </c>
      <c r="H63" s="4" t="str">
        <f t="shared" si="5"/>
        <v>https://www.laparola.net/testo.php?riferimento=Lc+18&amp;versioni[]=Nuova+Riveduta</v>
      </c>
      <c r="I63" t="str">
        <f t="shared" si="6"/>
        <v>https://www.laparola.net/testo.php?riferimento=Lc+18&amp;versioni[]=Riveduta+2020</v>
      </c>
    </row>
    <row r="64" spans="1:9" x14ac:dyDescent="0.25">
      <c r="A64" t="s">
        <v>150</v>
      </c>
      <c r="B64">
        <v>19</v>
      </c>
      <c r="C64" s="4" t="str">
        <f t="shared" si="0"/>
        <v>https://www.laparola.net/testo.php?riferimento=Lc+19&amp;versioni[]=Martini</v>
      </c>
      <c r="D64" s="4" t="str">
        <f t="shared" si="1"/>
        <v>https://www.laparola.net/testo.php?riferimento=Lc+19&amp;versioni[]=Ricciotti</v>
      </c>
      <c r="E64" s="4" t="str">
        <f t="shared" si="2"/>
        <v>https://www.laparola.net/testo.php?riferimento=Lc+19&amp;versioni[]=Diodati</v>
      </c>
      <c r="F64" s="4" t="str">
        <f t="shared" si="3"/>
        <v>https://www.laparola.net/testo.php?riferimento=Lc+19&amp;versioni[]=Nuova+Diodati</v>
      </c>
      <c r="G64" s="4" t="str">
        <f t="shared" si="4"/>
        <v>https://www.laparola.net/testo.php?riferimento=Lc+19&amp;versioni[]=Riveduta</v>
      </c>
      <c r="H64" s="4" t="str">
        <f t="shared" si="5"/>
        <v>https://www.laparola.net/testo.php?riferimento=Lc+19&amp;versioni[]=Nuova+Riveduta</v>
      </c>
      <c r="I64" t="str">
        <f t="shared" si="6"/>
        <v>https://www.laparola.net/testo.php?riferimento=Lc+19&amp;versioni[]=Riveduta+2020</v>
      </c>
    </row>
    <row r="65" spans="1:9" x14ac:dyDescent="0.25">
      <c r="A65" t="s">
        <v>150</v>
      </c>
      <c r="B65">
        <v>20</v>
      </c>
      <c r="C65" s="4" t="str">
        <f t="shared" si="0"/>
        <v>https://www.laparola.net/testo.php?riferimento=Lc+20&amp;versioni[]=Martini</v>
      </c>
      <c r="D65" s="4" t="str">
        <f t="shared" si="1"/>
        <v>https://www.laparola.net/testo.php?riferimento=Lc+20&amp;versioni[]=Ricciotti</v>
      </c>
      <c r="E65" s="4" t="str">
        <f t="shared" si="2"/>
        <v>https://www.laparola.net/testo.php?riferimento=Lc+20&amp;versioni[]=Diodati</v>
      </c>
      <c r="F65" s="4" t="str">
        <f t="shared" si="3"/>
        <v>https://www.laparola.net/testo.php?riferimento=Lc+20&amp;versioni[]=Nuova+Diodati</v>
      </c>
      <c r="G65" s="4" t="str">
        <f t="shared" si="4"/>
        <v>https://www.laparola.net/testo.php?riferimento=Lc+20&amp;versioni[]=Riveduta</v>
      </c>
      <c r="H65" s="4" t="str">
        <f t="shared" si="5"/>
        <v>https://www.laparola.net/testo.php?riferimento=Lc+20&amp;versioni[]=Nuova+Riveduta</v>
      </c>
      <c r="I65" t="str">
        <f t="shared" si="6"/>
        <v>https://www.laparola.net/testo.php?riferimento=Lc+20&amp;versioni[]=Riveduta+2020</v>
      </c>
    </row>
    <row r="66" spans="1:9" x14ac:dyDescent="0.25">
      <c r="A66" t="s">
        <v>150</v>
      </c>
      <c r="B66">
        <v>21</v>
      </c>
      <c r="C66" s="4" t="str">
        <f t="shared" ref="C66:C129" si="7">"https://www.laparola.net/testo.php?riferimento="&amp;CONCATENATE($A66)&amp;"+"&amp;$B66&amp;"&amp;versioni[]="&amp;$C$1&amp;""</f>
        <v>https://www.laparola.net/testo.php?riferimento=Lc+21&amp;versioni[]=Martini</v>
      </c>
      <c r="D66" s="4" t="str">
        <f t="shared" ref="D66:D129" si="8">"https://www.laparola.net/testo.php?riferimento="&amp;CONCATENATE($A66)&amp;"+"&amp;$B66&amp;"&amp;versioni[]="&amp;$D$1&amp;""</f>
        <v>https://www.laparola.net/testo.php?riferimento=Lc+21&amp;versioni[]=Ricciotti</v>
      </c>
      <c r="E66" s="4" t="str">
        <f t="shared" ref="E66:E129" si="9">"https://www.laparola.net/testo.php?riferimento="&amp;CONCATENATE($A66)&amp;"+"&amp;$B66&amp;"&amp;versioni[]="&amp;$E$1&amp;""</f>
        <v>https://www.laparola.net/testo.php?riferimento=Lc+21&amp;versioni[]=Diodati</v>
      </c>
      <c r="F66" s="4" t="str">
        <f t="shared" ref="F66:F129" si="10">"https://www.laparola.net/testo.php?riferimento="&amp;CONCATENATE($A66)&amp;"+"&amp;$B66&amp;"&amp;versioni[]="&amp;$F$1&amp;""</f>
        <v>https://www.laparola.net/testo.php?riferimento=Lc+21&amp;versioni[]=Nuova+Diodati</v>
      </c>
      <c r="G66" s="4" t="str">
        <f t="shared" ref="G66:G129" si="11">"https://www.laparola.net/testo.php?riferimento="&amp;CONCATENATE($A66)&amp;"+"&amp;$B66&amp;"&amp;versioni[]="&amp;$G$1&amp;""</f>
        <v>https://www.laparola.net/testo.php?riferimento=Lc+21&amp;versioni[]=Riveduta</v>
      </c>
      <c r="H66" s="4" t="str">
        <f t="shared" ref="H66:H129" si="12">"https://www.laparola.net/testo.php?riferimento="&amp;CONCATENATE($A66)&amp;"+"&amp;$B66&amp;"&amp;versioni[]="&amp;$H$1&amp;""</f>
        <v>https://www.laparola.net/testo.php?riferimento=Lc+21&amp;versioni[]=Nuova+Riveduta</v>
      </c>
      <c r="I66" t="str">
        <f t="shared" ref="I66:I129" si="13">"https://www.laparola.net/testo.php?riferimento="&amp;CONCATENATE($A66)&amp;"+"&amp;$B66&amp;"&amp;versioni[]="&amp;$I$1&amp;""</f>
        <v>https://www.laparola.net/testo.php?riferimento=Lc+21&amp;versioni[]=Riveduta+2020</v>
      </c>
    </row>
    <row r="67" spans="1:9" x14ac:dyDescent="0.25">
      <c r="A67" t="s">
        <v>150</v>
      </c>
      <c r="B67">
        <v>22</v>
      </c>
      <c r="C67" s="4" t="str">
        <f t="shared" si="7"/>
        <v>https://www.laparola.net/testo.php?riferimento=Lc+22&amp;versioni[]=Martini</v>
      </c>
      <c r="D67" s="4" t="str">
        <f t="shared" si="8"/>
        <v>https://www.laparola.net/testo.php?riferimento=Lc+22&amp;versioni[]=Ricciotti</v>
      </c>
      <c r="E67" s="4" t="str">
        <f t="shared" si="9"/>
        <v>https://www.laparola.net/testo.php?riferimento=Lc+22&amp;versioni[]=Diodati</v>
      </c>
      <c r="F67" s="4" t="str">
        <f t="shared" si="10"/>
        <v>https://www.laparola.net/testo.php?riferimento=Lc+22&amp;versioni[]=Nuova+Diodati</v>
      </c>
      <c r="G67" s="4" t="str">
        <f t="shared" si="11"/>
        <v>https://www.laparola.net/testo.php?riferimento=Lc+22&amp;versioni[]=Riveduta</v>
      </c>
      <c r="H67" s="4" t="str">
        <f t="shared" si="12"/>
        <v>https://www.laparola.net/testo.php?riferimento=Lc+22&amp;versioni[]=Nuova+Riveduta</v>
      </c>
      <c r="I67" t="str">
        <f t="shared" si="13"/>
        <v>https://www.laparola.net/testo.php?riferimento=Lc+22&amp;versioni[]=Riveduta+2020</v>
      </c>
    </row>
    <row r="68" spans="1:9" x14ac:dyDescent="0.25">
      <c r="A68" t="s">
        <v>150</v>
      </c>
      <c r="B68">
        <v>23</v>
      </c>
      <c r="C68" s="4" t="str">
        <f t="shared" si="7"/>
        <v>https://www.laparola.net/testo.php?riferimento=Lc+23&amp;versioni[]=Martini</v>
      </c>
      <c r="D68" s="4" t="str">
        <f t="shared" si="8"/>
        <v>https://www.laparola.net/testo.php?riferimento=Lc+23&amp;versioni[]=Ricciotti</v>
      </c>
      <c r="E68" s="4" t="str">
        <f t="shared" si="9"/>
        <v>https://www.laparola.net/testo.php?riferimento=Lc+23&amp;versioni[]=Diodati</v>
      </c>
      <c r="F68" s="4" t="str">
        <f t="shared" si="10"/>
        <v>https://www.laparola.net/testo.php?riferimento=Lc+23&amp;versioni[]=Nuova+Diodati</v>
      </c>
      <c r="G68" s="4" t="str">
        <f t="shared" si="11"/>
        <v>https://www.laparola.net/testo.php?riferimento=Lc+23&amp;versioni[]=Riveduta</v>
      </c>
      <c r="H68" s="4" t="str">
        <f t="shared" si="12"/>
        <v>https://www.laparola.net/testo.php?riferimento=Lc+23&amp;versioni[]=Nuova+Riveduta</v>
      </c>
      <c r="I68" t="str">
        <f t="shared" si="13"/>
        <v>https://www.laparola.net/testo.php?riferimento=Lc+23&amp;versioni[]=Riveduta+2020</v>
      </c>
    </row>
    <row r="69" spans="1:9" x14ac:dyDescent="0.25">
      <c r="A69" t="s">
        <v>150</v>
      </c>
      <c r="B69">
        <v>24</v>
      </c>
      <c r="C69" s="4" t="str">
        <f t="shared" si="7"/>
        <v>https://www.laparola.net/testo.php?riferimento=Lc+24&amp;versioni[]=Martini</v>
      </c>
      <c r="D69" s="4" t="str">
        <f t="shared" si="8"/>
        <v>https://www.laparola.net/testo.php?riferimento=Lc+24&amp;versioni[]=Ricciotti</v>
      </c>
      <c r="E69" s="4" t="str">
        <f t="shared" si="9"/>
        <v>https://www.laparola.net/testo.php?riferimento=Lc+24&amp;versioni[]=Diodati</v>
      </c>
      <c r="F69" s="4" t="str">
        <f t="shared" si="10"/>
        <v>https://www.laparola.net/testo.php?riferimento=Lc+24&amp;versioni[]=Nuova+Diodati</v>
      </c>
      <c r="G69" s="4" t="str">
        <f t="shared" si="11"/>
        <v>https://www.laparola.net/testo.php?riferimento=Lc+24&amp;versioni[]=Riveduta</v>
      </c>
      <c r="H69" s="4" t="str">
        <f t="shared" si="12"/>
        <v>https://www.laparola.net/testo.php?riferimento=Lc+24&amp;versioni[]=Nuova+Riveduta</v>
      </c>
      <c r="I69" t="str">
        <f t="shared" si="13"/>
        <v>https://www.laparola.net/testo.php?riferimento=Lc+24&amp;versioni[]=Riveduta+2020</v>
      </c>
    </row>
    <row r="70" spans="1:9" x14ac:dyDescent="0.25">
      <c r="A70" t="s">
        <v>151</v>
      </c>
      <c r="B70">
        <v>1</v>
      </c>
      <c r="C70" t="str">
        <f t="shared" si="7"/>
        <v>https://www.laparola.net/testo.php?riferimento=Gv+1&amp;versioni[]=Martini</v>
      </c>
      <c r="D70" t="str">
        <f t="shared" si="8"/>
        <v>https://www.laparola.net/testo.php?riferimento=Gv+1&amp;versioni[]=Ricciotti</v>
      </c>
      <c r="E70" t="str">
        <f t="shared" si="9"/>
        <v>https://www.laparola.net/testo.php?riferimento=Gv+1&amp;versioni[]=Diodati</v>
      </c>
      <c r="F70" t="str">
        <f t="shared" si="10"/>
        <v>https://www.laparola.net/testo.php?riferimento=Gv+1&amp;versioni[]=Nuova+Diodati</v>
      </c>
      <c r="G70" t="str">
        <f t="shared" si="11"/>
        <v>https://www.laparola.net/testo.php?riferimento=Gv+1&amp;versioni[]=Riveduta</v>
      </c>
      <c r="H70" t="str">
        <f t="shared" si="12"/>
        <v>https://www.laparola.net/testo.php?riferimento=Gv+1&amp;versioni[]=Nuova+Riveduta</v>
      </c>
      <c r="I70" t="str">
        <f t="shared" si="13"/>
        <v>https://www.laparola.net/testo.php?riferimento=Gv+1&amp;versioni[]=Riveduta+2020</v>
      </c>
    </row>
    <row r="71" spans="1:9" x14ac:dyDescent="0.25">
      <c r="A71" t="s">
        <v>151</v>
      </c>
      <c r="B71">
        <v>2</v>
      </c>
      <c r="C71" t="str">
        <f t="shared" si="7"/>
        <v>https://www.laparola.net/testo.php?riferimento=Gv+2&amp;versioni[]=Martini</v>
      </c>
      <c r="D71" t="str">
        <f t="shared" si="8"/>
        <v>https://www.laparola.net/testo.php?riferimento=Gv+2&amp;versioni[]=Ricciotti</v>
      </c>
      <c r="E71" t="str">
        <f t="shared" si="9"/>
        <v>https://www.laparola.net/testo.php?riferimento=Gv+2&amp;versioni[]=Diodati</v>
      </c>
      <c r="F71" t="str">
        <f t="shared" si="10"/>
        <v>https://www.laparola.net/testo.php?riferimento=Gv+2&amp;versioni[]=Nuova+Diodati</v>
      </c>
      <c r="G71" t="str">
        <f t="shared" si="11"/>
        <v>https://www.laparola.net/testo.php?riferimento=Gv+2&amp;versioni[]=Riveduta</v>
      </c>
      <c r="H71" t="str">
        <f t="shared" si="12"/>
        <v>https://www.laparola.net/testo.php?riferimento=Gv+2&amp;versioni[]=Nuova+Riveduta</v>
      </c>
      <c r="I71" t="str">
        <f t="shared" si="13"/>
        <v>https://www.laparola.net/testo.php?riferimento=Gv+2&amp;versioni[]=Riveduta+2020</v>
      </c>
    </row>
    <row r="72" spans="1:9" x14ac:dyDescent="0.25">
      <c r="A72" t="s">
        <v>151</v>
      </c>
      <c r="B72">
        <v>3</v>
      </c>
      <c r="C72" t="str">
        <f t="shared" si="7"/>
        <v>https://www.laparola.net/testo.php?riferimento=Gv+3&amp;versioni[]=Martini</v>
      </c>
      <c r="D72" t="str">
        <f t="shared" si="8"/>
        <v>https://www.laparola.net/testo.php?riferimento=Gv+3&amp;versioni[]=Ricciotti</v>
      </c>
      <c r="E72" t="str">
        <f t="shared" si="9"/>
        <v>https://www.laparola.net/testo.php?riferimento=Gv+3&amp;versioni[]=Diodati</v>
      </c>
      <c r="F72" t="str">
        <f t="shared" si="10"/>
        <v>https://www.laparola.net/testo.php?riferimento=Gv+3&amp;versioni[]=Nuova+Diodati</v>
      </c>
      <c r="G72" t="str">
        <f t="shared" si="11"/>
        <v>https://www.laparola.net/testo.php?riferimento=Gv+3&amp;versioni[]=Riveduta</v>
      </c>
      <c r="H72" t="str">
        <f t="shared" si="12"/>
        <v>https://www.laparola.net/testo.php?riferimento=Gv+3&amp;versioni[]=Nuova+Riveduta</v>
      </c>
      <c r="I72" t="str">
        <f t="shared" si="13"/>
        <v>https://www.laparola.net/testo.php?riferimento=Gv+3&amp;versioni[]=Riveduta+2020</v>
      </c>
    </row>
    <row r="73" spans="1:9" x14ac:dyDescent="0.25">
      <c r="A73" t="s">
        <v>151</v>
      </c>
      <c r="B73">
        <v>4</v>
      </c>
      <c r="C73" t="str">
        <f t="shared" si="7"/>
        <v>https://www.laparola.net/testo.php?riferimento=Gv+4&amp;versioni[]=Martini</v>
      </c>
      <c r="D73" t="str">
        <f t="shared" si="8"/>
        <v>https://www.laparola.net/testo.php?riferimento=Gv+4&amp;versioni[]=Ricciotti</v>
      </c>
      <c r="E73" t="str">
        <f t="shared" si="9"/>
        <v>https://www.laparola.net/testo.php?riferimento=Gv+4&amp;versioni[]=Diodati</v>
      </c>
      <c r="F73" t="str">
        <f t="shared" si="10"/>
        <v>https://www.laparola.net/testo.php?riferimento=Gv+4&amp;versioni[]=Nuova+Diodati</v>
      </c>
      <c r="G73" t="str">
        <f t="shared" si="11"/>
        <v>https://www.laparola.net/testo.php?riferimento=Gv+4&amp;versioni[]=Riveduta</v>
      </c>
      <c r="H73" t="str">
        <f t="shared" si="12"/>
        <v>https://www.laparola.net/testo.php?riferimento=Gv+4&amp;versioni[]=Nuova+Riveduta</v>
      </c>
      <c r="I73" t="str">
        <f t="shared" si="13"/>
        <v>https://www.laparola.net/testo.php?riferimento=Gv+4&amp;versioni[]=Riveduta+2020</v>
      </c>
    </row>
    <row r="74" spans="1:9" x14ac:dyDescent="0.25">
      <c r="A74" t="s">
        <v>151</v>
      </c>
      <c r="B74">
        <v>5</v>
      </c>
      <c r="C74" t="str">
        <f t="shared" si="7"/>
        <v>https://www.laparola.net/testo.php?riferimento=Gv+5&amp;versioni[]=Martini</v>
      </c>
      <c r="D74" t="str">
        <f t="shared" si="8"/>
        <v>https://www.laparola.net/testo.php?riferimento=Gv+5&amp;versioni[]=Ricciotti</v>
      </c>
      <c r="E74" t="str">
        <f t="shared" si="9"/>
        <v>https://www.laparola.net/testo.php?riferimento=Gv+5&amp;versioni[]=Diodati</v>
      </c>
      <c r="F74" t="str">
        <f t="shared" si="10"/>
        <v>https://www.laparola.net/testo.php?riferimento=Gv+5&amp;versioni[]=Nuova+Diodati</v>
      </c>
      <c r="G74" t="str">
        <f t="shared" si="11"/>
        <v>https://www.laparola.net/testo.php?riferimento=Gv+5&amp;versioni[]=Riveduta</v>
      </c>
      <c r="H74" t="str">
        <f t="shared" si="12"/>
        <v>https://www.laparola.net/testo.php?riferimento=Gv+5&amp;versioni[]=Nuova+Riveduta</v>
      </c>
      <c r="I74" t="str">
        <f t="shared" si="13"/>
        <v>https://www.laparola.net/testo.php?riferimento=Gv+5&amp;versioni[]=Riveduta+2020</v>
      </c>
    </row>
    <row r="75" spans="1:9" x14ac:dyDescent="0.25">
      <c r="A75" t="s">
        <v>151</v>
      </c>
      <c r="B75">
        <v>6</v>
      </c>
      <c r="C75" t="str">
        <f t="shared" si="7"/>
        <v>https://www.laparola.net/testo.php?riferimento=Gv+6&amp;versioni[]=Martini</v>
      </c>
      <c r="D75" t="str">
        <f t="shared" si="8"/>
        <v>https://www.laparola.net/testo.php?riferimento=Gv+6&amp;versioni[]=Ricciotti</v>
      </c>
      <c r="E75" t="str">
        <f t="shared" si="9"/>
        <v>https://www.laparola.net/testo.php?riferimento=Gv+6&amp;versioni[]=Diodati</v>
      </c>
      <c r="F75" t="str">
        <f t="shared" si="10"/>
        <v>https://www.laparola.net/testo.php?riferimento=Gv+6&amp;versioni[]=Nuova+Diodati</v>
      </c>
      <c r="G75" t="str">
        <f t="shared" si="11"/>
        <v>https://www.laparola.net/testo.php?riferimento=Gv+6&amp;versioni[]=Riveduta</v>
      </c>
      <c r="H75" t="str">
        <f t="shared" si="12"/>
        <v>https://www.laparola.net/testo.php?riferimento=Gv+6&amp;versioni[]=Nuova+Riveduta</v>
      </c>
      <c r="I75" t="str">
        <f t="shared" si="13"/>
        <v>https://www.laparola.net/testo.php?riferimento=Gv+6&amp;versioni[]=Riveduta+2020</v>
      </c>
    </row>
    <row r="76" spans="1:9" x14ac:dyDescent="0.25">
      <c r="A76" t="s">
        <v>151</v>
      </c>
      <c r="B76">
        <v>7</v>
      </c>
      <c r="C76" t="str">
        <f t="shared" si="7"/>
        <v>https://www.laparola.net/testo.php?riferimento=Gv+7&amp;versioni[]=Martini</v>
      </c>
      <c r="D76" t="str">
        <f t="shared" si="8"/>
        <v>https://www.laparola.net/testo.php?riferimento=Gv+7&amp;versioni[]=Ricciotti</v>
      </c>
      <c r="E76" t="str">
        <f t="shared" si="9"/>
        <v>https://www.laparola.net/testo.php?riferimento=Gv+7&amp;versioni[]=Diodati</v>
      </c>
      <c r="F76" t="str">
        <f t="shared" si="10"/>
        <v>https://www.laparola.net/testo.php?riferimento=Gv+7&amp;versioni[]=Nuova+Diodati</v>
      </c>
      <c r="G76" t="str">
        <f t="shared" si="11"/>
        <v>https://www.laparola.net/testo.php?riferimento=Gv+7&amp;versioni[]=Riveduta</v>
      </c>
      <c r="H76" t="str">
        <f t="shared" si="12"/>
        <v>https://www.laparola.net/testo.php?riferimento=Gv+7&amp;versioni[]=Nuova+Riveduta</v>
      </c>
      <c r="I76" t="str">
        <f t="shared" si="13"/>
        <v>https://www.laparola.net/testo.php?riferimento=Gv+7&amp;versioni[]=Riveduta+2020</v>
      </c>
    </row>
    <row r="77" spans="1:9" x14ac:dyDescent="0.25">
      <c r="A77" t="s">
        <v>151</v>
      </c>
      <c r="B77">
        <v>8</v>
      </c>
      <c r="C77" t="str">
        <f t="shared" si="7"/>
        <v>https://www.laparola.net/testo.php?riferimento=Gv+8&amp;versioni[]=Martini</v>
      </c>
      <c r="D77" t="str">
        <f t="shared" si="8"/>
        <v>https://www.laparola.net/testo.php?riferimento=Gv+8&amp;versioni[]=Ricciotti</v>
      </c>
      <c r="E77" t="str">
        <f t="shared" si="9"/>
        <v>https://www.laparola.net/testo.php?riferimento=Gv+8&amp;versioni[]=Diodati</v>
      </c>
      <c r="F77" t="str">
        <f t="shared" si="10"/>
        <v>https://www.laparola.net/testo.php?riferimento=Gv+8&amp;versioni[]=Nuova+Diodati</v>
      </c>
      <c r="G77" t="str">
        <f t="shared" si="11"/>
        <v>https://www.laparola.net/testo.php?riferimento=Gv+8&amp;versioni[]=Riveduta</v>
      </c>
      <c r="H77" t="str">
        <f t="shared" si="12"/>
        <v>https://www.laparola.net/testo.php?riferimento=Gv+8&amp;versioni[]=Nuova+Riveduta</v>
      </c>
      <c r="I77" t="str">
        <f t="shared" si="13"/>
        <v>https://www.laparola.net/testo.php?riferimento=Gv+8&amp;versioni[]=Riveduta+2020</v>
      </c>
    </row>
    <row r="78" spans="1:9" x14ac:dyDescent="0.25">
      <c r="A78" t="s">
        <v>151</v>
      </c>
      <c r="B78">
        <v>9</v>
      </c>
      <c r="C78" t="str">
        <f t="shared" si="7"/>
        <v>https://www.laparola.net/testo.php?riferimento=Gv+9&amp;versioni[]=Martini</v>
      </c>
      <c r="D78" t="str">
        <f t="shared" si="8"/>
        <v>https://www.laparola.net/testo.php?riferimento=Gv+9&amp;versioni[]=Ricciotti</v>
      </c>
      <c r="E78" t="str">
        <f t="shared" si="9"/>
        <v>https://www.laparola.net/testo.php?riferimento=Gv+9&amp;versioni[]=Diodati</v>
      </c>
      <c r="F78" t="str">
        <f t="shared" si="10"/>
        <v>https://www.laparola.net/testo.php?riferimento=Gv+9&amp;versioni[]=Nuova+Diodati</v>
      </c>
      <c r="G78" t="str">
        <f t="shared" si="11"/>
        <v>https://www.laparola.net/testo.php?riferimento=Gv+9&amp;versioni[]=Riveduta</v>
      </c>
      <c r="H78" t="str">
        <f t="shared" si="12"/>
        <v>https://www.laparola.net/testo.php?riferimento=Gv+9&amp;versioni[]=Nuova+Riveduta</v>
      </c>
      <c r="I78" t="str">
        <f t="shared" si="13"/>
        <v>https://www.laparola.net/testo.php?riferimento=Gv+9&amp;versioni[]=Riveduta+2020</v>
      </c>
    </row>
    <row r="79" spans="1:9" x14ac:dyDescent="0.25">
      <c r="A79" t="s">
        <v>151</v>
      </c>
      <c r="B79">
        <v>10</v>
      </c>
      <c r="C79" t="str">
        <f t="shared" si="7"/>
        <v>https://www.laparola.net/testo.php?riferimento=Gv+10&amp;versioni[]=Martini</v>
      </c>
      <c r="D79" t="str">
        <f t="shared" si="8"/>
        <v>https://www.laparola.net/testo.php?riferimento=Gv+10&amp;versioni[]=Ricciotti</v>
      </c>
      <c r="E79" t="str">
        <f t="shared" si="9"/>
        <v>https://www.laparola.net/testo.php?riferimento=Gv+10&amp;versioni[]=Diodati</v>
      </c>
      <c r="F79" t="str">
        <f t="shared" si="10"/>
        <v>https://www.laparola.net/testo.php?riferimento=Gv+10&amp;versioni[]=Nuova+Diodati</v>
      </c>
      <c r="G79" t="str">
        <f t="shared" si="11"/>
        <v>https://www.laparola.net/testo.php?riferimento=Gv+10&amp;versioni[]=Riveduta</v>
      </c>
      <c r="H79" t="str">
        <f t="shared" si="12"/>
        <v>https://www.laparola.net/testo.php?riferimento=Gv+10&amp;versioni[]=Nuova+Riveduta</v>
      </c>
      <c r="I79" t="str">
        <f t="shared" si="13"/>
        <v>https://www.laparola.net/testo.php?riferimento=Gv+10&amp;versioni[]=Riveduta+2020</v>
      </c>
    </row>
    <row r="80" spans="1:9" x14ac:dyDescent="0.25">
      <c r="A80" t="s">
        <v>151</v>
      </c>
      <c r="B80">
        <v>11</v>
      </c>
      <c r="C80" t="str">
        <f t="shared" si="7"/>
        <v>https://www.laparola.net/testo.php?riferimento=Gv+11&amp;versioni[]=Martini</v>
      </c>
      <c r="D80" t="str">
        <f t="shared" si="8"/>
        <v>https://www.laparola.net/testo.php?riferimento=Gv+11&amp;versioni[]=Ricciotti</v>
      </c>
      <c r="E80" t="str">
        <f t="shared" si="9"/>
        <v>https://www.laparola.net/testo.php?riferimento=Gv+11&amp;versioni[]=Diodati</v>
      </c>
      <c r="F80" t="str">
        <f t="shared" si="10"/>
        <v>https://www.laparola.net/testo.php?riferimento=Gv+11&amp;versioni[]=Nuova+Diodati</v>
      </c>
      <c r="G80" t="str">
        <f t="shared" si="11"/>
        <v>https://www.laparola.net/testo.php?riferimento=Gv+11&amp;versioni[]=Riveduta</v>
      </c>
      <c r="H80" t="str">
        <f t="shared" si="12"/>
        <v>https://www.laparola.net/testo.php?riferimento=Gv+11&amp;versioni[]=Nuova+Riveduta</v>
      </c>
      <c r="I80" t="str">
        <f t="shared" si="13"/>
        <v>https://www.laparola.net/testo.php?riferimento=Gv+11&amp;versioni[]=Riveduta+2020</v>
      </c>
    </row>
    <row r="81" spans="1:9" x14ac:dyDescent="0.25">
      <c r="A81" t="s">
        <v>151</v>
      </c>
      <c r="B81">
        <v>12</v>
      </c>
      <c r="C81" t="str">
        <f t="shared" si="7"/>
        <v>https://www.laparola.net/testo.php?riferimento=Gv+12&amp;versioni[]=Martini</v>
      </c>
      <c r="D81" t="str">
        <f t="shared" si="8"/>
        <v>https://www.laparola.net/testo.php?riferimento=Gv+12&amp;versioni[]=Ricciotti</v>
      </c>
      <c r="E81" t="str">
        <f t="shared" si="9"/>
        <v>https://www.laparola.net/testo.php?riferimento=Gv+12&amp;versioni[]=Diodati</v>
      </c>
      <c r="F81" t="str">
        <f t="shared" si="10"/>
        <v>https://www.laparola.net/testo.php?riferimento=Gv+12&amp;versioni[]=Nuova+Diodati</v>
      </c>
      <c r="G81" t="str">
        <f t="shared" si="11"/>
        <v>https://www.laparola.net/testo.php?riferimento=Gv+12&amp;versioni[]=Riveduta</v>
      </c>
      <c r="H81" t="str">
        <f t="shared" si="12"/>
        <v>https://www.laparola.net/testo.php?riferimento=Gv+12&amp;versioni[]=Nuova+Riveduta</v>
      </c>
      <c r="I81" t="str">
        <f t="shared" si="13"/>
        <v>https://www.laparola.net/testo.php?riferimento=Gv+12&amp;versioni[]=Riveduta+2020</v>
      </c>
    </row>
    <row r="82" spans="1:9" x14ac:dyDescent="0.25">
      <c r="A82" t="s">
        <v>151</v>
      </c>
      <c r="B82">
        <v>13</v>
      </c>
      <c r="C82" t="str">
        <f t="shared" si="7"/>
        <v>https://www.laparola.net/testo.php?riferimento=Gv+13&amp;versioni[]=Martini</v>
      </c>
      <c r="D82" t="str">
        <f t="shared" si="8"/>
        <v>https://www.laparola.net/testo.php?riferimento=Gv+13&amp;versioni[]=Ricciotti</v>
      </c>
      <c r="E82" t="str">
        <f t="shared" si="9"/>
        <v>https://www.laparola.net/testo.php?riferimento=Gv+13&amp;versioni[]=Diodati</v>
      </c>
      <c r="F82" t="str">
        <f t="shared" si="10"/>
        <v>https://www.laparola.net/testo.php?riferimento=Gv+13&amp;versioni[]=Nuova+Diodati</v>
      </c>
      <c r="G82" t="str">
        <f t="shared" si="11"/>
        <v>https://www.laparola.net/testo.php?riferimento=Gv+13&amp;versioni[]=Riveduta</v>
      </c>
      <c r="H82" t="str">
        <f t="shared" si="12"/>
        <v>https://www.laparola.net/testo.php?riferimento=Gv+13&amp;versioni[]=Nuova+Riveduta</v>
      </c>
      <c r="I82" t="str">
        <f t="shared" si="13"/>
        <v>https://www.laparola.net/testo.php?riferimento=Gv+13&amp;versioni[]=Riveduta+2020</v>
      </c>
    </row>
    <row r="83" spans="1:9" x14ac:dyDescent="0.25">
      <c r="A83" t="s">
        <v>151</v>
      </c>
      <c r="B83">
        <v>14</v>
      </c>
      <c r="C83" t="str">
        <f t="shared" si="7"/>
        <v>https://www.laparola.net/testo.php?riferimento=Gv+14&amp;versioni[]=Martini</v>
      </c>
      <c r="D83" t="str">
        <f t="shared" si="8"/>
        <v>https://www.laparola.net/testo.php?riferimento=Gv+14&amp;versioni[]=Ricciotti</v>
      </c>
      <c r="E83" t="str">
        <f t="shared" si="9"/>
        <v>https://www.laparola.net/testo.php?riferimento=Gv+14&amp;versioni[]=Diodati</v>
      </c>
      <c r="F83" t="str">
        <f t="shared" si="10"/>
        <v>https://www.laparola.net/testo.php?riferimento=Gv+14&amp;versioni[]=Nuova+Diodati</v>
      </c>
      <c r="G83" t="str">
        <f t="shared" si="11"/>
        <v>https://www.laparola.net/testo.php?riferimento=Gv+14&amp;versioni[]=Riveduta</v>
      </c>
      <c r="H83" t="str">
        <f t="shared" si="12"/>
        <v>https://www.laparola.net/testo.php?riferimento=Gv+14&amp;versioni[]=Nuova+Riveduta</v>
      </c>
      <c r="I83" t="str">
        <f t="shared" si="13"/>
        <v>https://www.laparola.net/testo.php?riferimento=Gv+14&amp;versioni[]=Riveduta+2020</v>
      </c>
    </row>
    <row r="84" spans="1:9" x14ac:dyDescent="0.25">
      <c r="A84" t="s">
        <v>151</v>
      </c>
      <c r="B84">
        <v>15</v>
      </c>
      <c r="C84" t="str">
        <f t="shared" si="7"/>
        <v>https://www.laparola.net/testo.php?riferimento=Gv+15&amp;versioni[]=Martini</v>
      </c>
      <c r="D84" t="str">
        <f t="shared" si="8"/>
        <v>https://www.laparola.net/testo.php?riferimento=Gv+15&amp;versioni[]=Ricciotti</v>
      </c>
      <c r="E84" t="str">
        <f t="shared" si="9"/>
        <v>https://www.laparola.net/testo.php?riferimento=Gv+15&amp;versioni[]=Diodati</v>
      </c>
      <c r="F84" t="str">
        <f t="shared" si="10"/>
        <v>https://www.laparola.net/testo.php?riferimento=Gv+15&amp;versioni[]=Nuova+Diodati</v>
      </c>
      <c r="G84" t="str">
        <f t="shared" si="11"/>
        <v>https://www.laparola.net/testo.php?riferimento=Gv+15&amp;versioni[]=Riveduta</v>
      </c>
      <c r="H84" t="str">
        <f t="shared" si="12"/>
        <v>https://www.laparola.net/testo.php?riferimento=Gv+15&amp;versioni[]=Nuova+Riveduta</v>
      </c>
      <c r="I84" t="str">
        <f t="shared" si="13"/>
        <v>https://www.laparola.net/testo.php?riferimento=Gv+15&amp;versioni[]=Riveduta+2020</v>
      </c>
    </row>
    <row r="85" spans="1:9" x14ac:dyDescent="0.25">
      <c r="A85" t="s">
        <v>151</v>
      </c>
      <c r="B85">
        <v>16</v>
      </c>
      <c r="C85" t="str">
        <f t="shared" si="7"/>
        <v>https://www.laparola.net/testo.php?riferimento=Gv+16&amp;versioni[]=Martini</v>
      </c>
      <c r="D85" t="str">
        <f t="shared" si="8"/>
        <v>https://www.laparola.net/testo.php?riferimento=Gv+16&amp;versioni[]=Ricciotti</v>
      </c>
      <c r="E85" t="str">
        <f t="shared" si="9"/>
        <v>https://www.laparola.net/testo.php?riferimento=Gv+16&amp;versioni[]=Diodati</v>
      </c>
      <c r="F85" t="str">
        <f t="shared" si="10"/>
        <v>https://www.laparola.net/testo.php?riferimento=Gv+16&amp;versioni[]=Nuova+Diodati</v>
      </c>
      <c r="G85" t="str">
        <f t="shared" si="11"/>
        <v>https://www.laparola.net/testo.php?riferimento=Gv+16&amp;versioni[]=Riveduta</v>
      </c>
      <c r="H85" t="str">
        <f t="shared" si="12"/>
        <v>https://www.laparola.net/testo.php?riferimento=Gv+16&amp;versioni[]=Nuova+Riveduta</v>
      </c>
      <c r="I85" t="str">
        <f t="shared" si="13"/>
        <v>https://www.laparola.net/testo.php?riferimento=Gv+16&amp;versioni[]=Riveduta+2020</v>
      </c>
    </row>
    <row r="86" spans="1:9" x14ac:dyDescent="0.25">
      <c r="A86" t="s">
        <v>151</v>
      </c>
      <c r="B86">
        <v>17</v>
      </c>
      <c r="C86" t="str">
        <f t="shared" si="7"/>
        <v>https://www.laparola.net/testo.php?riferimento=Gv+17&amp;versioni[]=Martini</v>
      </c>
      <c r="D86" t="str">
        <f t="shared" si="8"/>
        <v>https://www.laparola.net/testo.php?riferimento=Gv+17&amp;versioni[]=Ricciotti</v>
      </c>
      <c r="E86" t="str">
        <f t="shared" si="9"/>
        <v>https://www.laparola.net/testo.php?riferimento=Gv+17&amp;versioni[]=Diodati</v>
      </c>
      <c r="F86" t="str">
        <f t="shared" si="10"/>
        <v>https://www.laparola.net/testo.php?riferimento=Gv+17&amp;versioni[]=Nuova+Diodati</v>
      </c>
      <c r="G86" t="str">
        <f t="shared" si="11"/>
        <v>https://www.laparola.net/testo.php?riferimento=Gv+17&amp;versioni[]=Riveduta</v>
      </c>
      <c r="H86" t="str">
        <f t="shared" si="12"/>
        <v>https://www.laparola.net/testo.php?riferimento=Gv+17&amp;versioni[]=Nuova+Riveduta</v>
      </c>
      <c r="I86" t="str">
        <f t="shared" si="13"/>
        <v>https://www.laparola.net/testo.php?riferimento=Gv+17&amp;versioni[]=Riveduta+2020</v>
      </c>
    </row>
    <row r="87" spans="1:9" x14ac:dyDescent="0.25">
      <c r="A87" t="s">
        <v>151</v>
      </c>
      <c r="B87">
        <v>18</v>
      </c>
      <c r="C87" t="str">
        <f t="shared" si="7"/>
        <v>https://www.laparola.net/testo.php?riferimento=Gv+18&amp;versioni[]=Martini</v>
      </c>
      <c r="D87" t="str">
        <f t="shared" si="8"/>
        <v>https://www.laparola.net/testo.php?riferimento=Gv+18&amp;versioni[]=Ricciotti</v>
      </c>
      <c r="E87" t="str">
        <f t="shared" si="9"/>
        <v>https://www.laparola.net/testo.php?riferimento=Gv+18&amp;versioni[]=Diodati</v>
      </c>
      <c r="F87" t="str">
        <f t="shared" si="10"/>
        <v>https://www.laparola.net/testo.php?riferimento=Gv+18&amp;versioni[]=Nuova+Diodati</v>
      </c>
      <c r="G87" t="str">
        <f t="shared" si="11"/>
        <v>https://www.laparola.net/testo.php?riferimento=Gv+18&amp;versioni[]=Riveduta</v>
      </c>
      <c r="H87" t="str">
        <f t="shared" si="12"/>
        <v>https://www.laparola.net/testo.php?riferimento=Gv+18&amp;versioni[]=Nuova+Riveduta</v>
      </c>
      <c r="I87" t="str">
        <f t="shared" si="13"/>
        <v>https://www.laparola.net/testo.php?riferimento=Gv+18&amp;versioni[]=Riveduta+2020</v>
      </c>
    </row>
    <row r="88" spans="1:9" x14ac:dyDescent="0.25">
      <c r="A88" t="s">
        <v>151</v>
      </c>
      <c r="B88">
        <v>19</v>
      </c>
      <c r="C88" t="str">
        <f t="shared" si="7"/>
        <v>https://www.laparola.net/testo.php?riferimento=Gv+19&amp;versioni[]=Martini</v>
      </c>
      <c r="D88" t="str">
        <f t="shared" si="8"/>
        <v>https://www.laparola.net/testo.php?riferimento=Gv+19&amp;versioni[]=Ricciotti</v>
      </c>
      <c r="E88" t="str">
        <f t="shared" si="9"/>
        <v>https://www.laparola.net/testo.php?riferimento=Gv+19&amp;versioni[]=Diodati</v>
      </c>
      <c r="F88" t="str">
        <f t="shared" si="10"/>
        <v>https://www.laparola.net/testo.php?riferimento=Gv+19&amp;versioni[]=Nuova+Diodati</v>
      </c>
      <c r="G88" t="str">
        <f t="shared" si="11"/>
        <v>https://www.laparola.net/testo.php?riferimento=Gv+19&amp;versioni[]=Riveduta</v>
      </c>
      <c r="H88" t="str">
        <f t="shared" si="12"/>
        <v>https://www.laparola.net/testo.php?riferimento=Gv+19&amp;versioni[]=Nuova+Riveduta</v>
      </c>
      <c r="I88" t="str">
        <f t="shared" si="13"/>
        <v>https://www.laparola.net/testo.php?riferimento=Gv+19&amp;versioni[]=Riveduta+2020</v>
      </c>
    </row>
    <row r="89" spans="1:9" x14ac:dyDescent="0.25">
      <c r="A89" t="s">
        <v>151</v>
      </c>
      <c r="B89">
        <v>20</v>
      </c>
      <c r="C89" t="str">
        <f t="shared" si="7"/>
        <v>https://www.laparola.net/testo.php?riferimento=Gv+20&amp;versioni[]=Martini</v>
      </c>
      <c r="D89" t="str">
        <f t="shared" si="8"/>
        <v>https://www.laparola.net/testo.php?riferimento=Gv+20&amp;versioni[]=Ricciotti</v>
      </c>
      <c r="E89" t="str">
        <f t="shared" si="9"/>
        <v>https://www.laparola.net/testo.php?riferimento=Gv+20&amp;versioni[]=Diodati</v>
      </c>
      <c r="F89" t="str">
        <f t="shared" si="10"/>
        <v>https://www.laparola.net/testo.php?riferimento=Gv+20&amp;versioni[]=Nuova+Diodati</v>
      </c>
      <c r="G89" t="str">
        <f t="shared" si="11"/>
        <v>https://www.laparola.net/testo.php?riferimento=Gv+20&amp;versioni[]=Riveduta</v>
      </c>
      <c r="H89" t="str">
        <f t="shared" si="12"/>
        <v>https://www.laparola.net/testo.php?riferimento=Gv+20&amp;versioni[]=Nuova+Riveduta</v>
      </c>
      <c r="I89" t="str">
        <f t="shared" si="13"/>
        <v>https://www.laparola.net/testo.php?riferimento=Gv+20&amp;versioni[]=Riveduta+2020</v>
      </c>
    </row>
    <row r="90" spans="1:9" x14ac:dyDescent="0.25">
      <c r="A90" t="s">
        <v>151</v>
      </c>
      <c r="B90">
        <v>21</v>
      </c>
      <c r="C90" t="str">
        <f t="shared" si="7"/>
        <v>https://www.laparola.net/testo.php?riferimento=Gv+21&amp;versioni[]=Martini</v>
      </c>
      <c r="D90" t="str">
        <f t="shared" si="8"/>
        <v>https://www.laparola.net/testo.php?riferimento=Gv+21&amp;versioni[]=Ricciotti</v>
      </c>
      <c r="E90" t="str">
        <f t="shared" si="9"/>
        <v>https://www.laparola.net/testo.php?riferimento=Gv+21&amp;versioni[]=Diodati</v>
      </c>
      <c r="F90" t="str">
        <f t="shared" si="10"/>
        <v>https://www.laparola.net/testo.php?riferimento=Gv+21&amp;versioni[]=Nuova+Diodati</v>
      </c>
      <c r="G90" t="str">
        <f t="shared" si="11"/>
        <v>https://www.laparola.net/testo.php?riferimento=Gv+21&amp;versioni[]=Riveduta</v>
      </c>
      <c r="H90" t="str">
        <f t="shared" si="12"/>
        <v>https://www.laparola.net/testo.php?riferimento=Gv+21&amp;versioni[]=Nuova+Riveduta</v>
      </c>
      <c r="I90" t="str">
        <f t="shared" si="13"/>
        <v>https://www.laparola.net/testo.php?riferimento=Gv+21&amp;versioni[]=Riveduta+2020</v>
      </c>
    </row>
    <row r="91" spans="1:9" x14ac:dyDescent="0.25">
      <c r="A91" t="s">
        <v>6</v>
      </c>
      <c r="B91">
        <v>1</v>
      </c>
      <c r="C91" t="str">
        <f t="shared" si="7"/>
        <v>https://www.laparola.net/testo.php?riferimento=At+1&amp;versioni[]=Martini</v>
      </c>
      <c r="D91" t="str">
        <f t="shared" si="8"/>
        <v>https://www.laparola.net/testo.php?riferimento=At+1&amp;versioni[]=Ricciotti</v>
      </c>
      <c r="E91" t="str">
        <f t="shared" si="9"/>
        <v>https://www.laparola.net/testo.php?riferimento=At+1&amp;versioni[]=Diodati</v>
      </c>
      <c r="F91" t="str">
        <f t="shared" si="10"/>
        <v>https://www.laparola.net/testo.php?riferimento=At+1&amp;versioni[]=Nuova+Diodati</v>
      </c>
      <c r="G91" t="str">
        <f t="shared" si="11"/>
        <v>https://www.laparola.net/testo.php?riferimento=At+1&amp;versioni[]=Riveduta</v>
      </c>
      <c r="H91" t="str">
        <f t="shared" si="12"/>
        <v>https://www.laparola.net/testo.php?riferimento=At+1&amp;versioni[]=Nuova+Riveduta</v>
      </c>
      <c r="I91" t="str">
        <f t="shared" si="13"/>
        <v>https://www.laparola.net/testo.php?riferimento=At+1&amp;versioni[]=Riveduta+2020</v>
      </c>
    </row>
    <row r="92" spans="1:9" x14ac:dyDescent="0.25">
      <c r="A92" t="s">
        <v>6</v>
      </c>
      <c r="B92">
        <v>2</v>
      </c>
      <c r="C92" t="str">
        <f t="shared" si="7"/>
        <v>https://www.laparola.net/testo.php?riferimento=At+2&amp;versioni[]=Martini</v>
      </c>
      <c r="D92" t="str">
        <f t="shared" si="8"/>
        <v>https://www.laparola.net/testo.php?riferimento=At+2&amp;versioni[]=Ricciotti</v>
      </c>
      <c r="E92" t="str">
        <f t="shared" si="9"/>
        <v>https://www.laparola.net/testo.php?riferimento=At+2&amp;versioni[]=Diodati</v>
      </c>
      <c r="F92" t="str">
        <f t="shared" si="10"/>
        <v>https://www.laparola.net/testo.php?riferimento=At+2&amp;versioni[]=Nuova+Diodati</v>
      </c>
      <c r="G92" t="str">
        <f t="shared" si="11"/>
        <v>https://www.laparola.net/testo.php?riferimento=At+2&amp;versioni[]=Riveduta</v>
      </c>
      <c r="H92" t="str">
        <f t="shared" si="12"/>
        <v>https://www.laparola.net/testo.php?riferimento=At+2&amp;versioni[]=Nuova+Riveduta</v>
      </c>
      <c r="I92" t="str">
        <f t="shared" si="13"/>
        <v>https://www.laparola.net/testo.php?riferimento=At+2&amp;versioni[]=Riveduta+2020</v>
      </c>
    </row>
    <row r="93" spans="1:9" x14ac:dyDescent="0.25">
      <c r="A93" t="s">
        <v>6</v>
      </c>
      <c r="B93">
        <v>3</v>
      </c>
      <c r="C93" t="str">
        <f t="shared" si="7"/>
        <v>https://www.laparola.net/testo.php?riferimento=At+3&amp;versioni[]=Martini</v>
      </c>
      <c r="D93" t="str">
        <f t="shared" si="8"/>
        <v>https://www.laparola.net/testo.php?riferimento=At+3&amp;versioni[]=Ricciotti</v>
      </c>
      <c r="E93" t="str">
        <f t="shared" si="9"/>
        <v>https://www.laparola.net/testo.php?riferimento=At+3&amp;versioni[]=Diodati</v>
      </c>
      <c r="F93" t="str">
        <f t="shared" si="10"/>
        <v>https://www.laparola.net/testo.php?riferimento=At+3&amp;versioni[]=Nuova+Diodati</v>
      </c>
      <c r="G93" t="str">
        <f t="shared" si="11"/>
        <v>https://www.laparola.net/testo.php?riferimento=At+3&amp;versioni[]=Riveduta</v>
      </c>
      <c r="H93" t="str">
        <f t="shared" si="12"/>
        <v>https://www.laparola.net/testo.php?riferimento=At+3&amp;versioni[]=Nuova+Riveduta</v>
      </c>
      <c r="I93" t="str">
        <f t="shared" si="13"/>
        <v>https://www.laparola.net/testo.php?riferimento=At+3&amp;versioni[]=Riveduta+2020</v>
      </c>
    </row>
    <row r="94" spans="1:9" x14ac:dyDescent="0.25">
      <c r="A94" t="s">
        <v>6</v>
      </c>
      <c r="B94">
        <v>4</v>
      </c>
      <c r="C94" t="str">
        <f t="shared" si="7"/>
        <v>https://www.laparola.net/testo.php?riferimento=At+4&amp;versioni[]=Martini</v>
      </c>
      <c r="D94" t="str">
        <f t="shared" si="8"/>
        <v>https://www.laparola.net/testo.php?riferimento=At+4&amp;versioni[]=Ricciotti</v>
      </c>
      <c r="E94" t="str">
        <f t="shared" si="9"/>
        <v>https://www.laparola.net/testo.php?riferimento=At+4&amp;versioni[]=Diodati</v>
      </c>
      <c r="F94" t="str">
        <f t="shared" si="10"/>
        <v>https://www.laparola.net/testo.php?riferimento=At+4&amp;versioni[]=Nuova+Diodati</v>
      </c>
      <c r="G94" t="str">
        <f t="shared" si="11"/>
        <v>https://www.laparola.net/testo.php?riferimento=At+4&amp;versioni[]=Riveduta</v>
      </c>
      <c r="H94" t="str">
        <f t="shared" si="12"/>
        <v>https://www.laparola.net/testo.php?riferimento=At+4&amp;versioni[]=Nuova+Riveduta</v>
      </c>
      <c r="I94" t="str">
        <f t="shared" si="13"/>
        <v>https://www.laparola.net/testo.php?riferimento=At+4&amp;versioni[]=Riveduta+2020</v>
      </c>
    </row>
    <row r="95" spans="1:9" x14ac:dyDescent="0.25">
      <c r="A95" t="s">
        <v>6</v>
      </c>
      <c r="B95">
        <v>5</v>
      </c>
      <c r="C95" t="str">
        <f t="shared" si="7"/>
        <v>https://www.laparola.net/testo.php?riferimento=At+5&amp;versioni[]=Martini</v>
      </c>
      <c r="D95" t="str">
        <f t="shared" si="8"/>
        <v>https://www.laparola.net/testo.php?riferimento=At+5&amp;versioni[]=Ricciotti</v>
      </c>
      <c r="E95" t="str">
        <f t="shared" si="9"/>
        <v>https://www.laparola.net/testo.php?riferimento=At+5&amp;versioni[]=Diodati</v>
      </c>
      <c r="F95" t="str">
        <f t="shared" si="10"/>
        <v>https://www.laparola.net/testo.php?riferimento=At+5&amp;versioni[]=Nuova+Diodati</v>
      </c>
      <c r="G95" t="str">
        <f t="shared" si="11"/>
        <v>https://www.laparola.net/testo.php?riferimento=At+5&amp;versioni[]=Riveduta</v>
      </c>
      <c r="H95" t="str">
        <f t="shared" si="12"/>
        <v>https://www.laparola.net/testo.php?riferimento=At+5&amp;versioni[]=Nuova+Riveduta</v>
      </c>
      <c r="I95" t="str">
        <f t="shared" si="13"/>
        <v>https://www.laparola.net/testo.php?riferimento=At+5&amp;versioni[]=Riveduta+2020</v>
      </c>
    </row>
    <row r="96" spans="1:9" x14ac:dyDescent="0.25">
      <c r="A96" t="s">
        <v>6</v>
      </c>
      <c r="B96">
        <v>6</v>
      </c>
      <c r="C96" t="str">
        <f t="shared" si="7"/>
        <v>https://www.laparola.net/testo.php?riferimento=At+6&amp;versioni[]=Martini</v>
      </c>
      <c r="D96" t="str">
        <f t="shared" si="8"/>
        <v>https://www.laparola.net/testo.php?riferimento=At+6&amp;versioni[]=Ricciotti</v>
      </c>
      <c r="E96" t="str">
        <f t="shared" si="9"/>
        <v>https://www.laparola.net/testo.php?riferimento=At+6&amp;versioni[]=Diodati</v>
      </c>
      <c r="F96" t="str">
        <f t="shared" si="10"/>
        <v>https://www.laparola.net/testo.php?riferimento=At+6&amp;versioni[]=Nuova+Diodati</v>
      </c>
      <c r="G96" t="str">
        <f t="shared" si="11"/>
        <v>https://www.laparola.net/testo.php?riferimento=At+6&amp;versioni[]=Riveduta</v>
      </c>
      <c r="H96" t="str">
        <f t="shared" si="12"/>
        <v>https://www.laparola.net/testo.php?riferimento=At+6&amp;versioni[]=Nuova+Riveduta</v>
      </c>
      <c r="I96" t="str">
        <f t="shared" si="13"/>
        <v>https://www.laparola.net/testo.php?riferimento=At+6&amp;versioni[]=Riveduta+2020</v>
      </c>
    </row>
    <row r="97" spans="1:9" x14ac:dyDescent="0.25">
      <c r="A97" t="s">
        <v>6</v>
      </c>
      <c r="B97">
        <v>7</v>
      </c>
      <c r="C97" t="str">
        <f t="shared" si="7"/>
        <v>https://www.laparola.net/testo.php?riferimento=At+7&amp;versioni[]=Martini</v>
      </c>
      <c r="D97" t="str">
        <f t="shared" si="8"/>
        <v>https://www.laparola.net/testo.php?riferimento=At+7&amp;versioni[]=Ricciotti</v>
      </c>
      <c r="E97" t="str">
        <f t="shared" si="9"/>
        <v>https://www.laparola.net/testo.php?riferimento=At+7&amp;versioni[]=Diodati</v>
      </c>
      <c r="F97" t="str">
        <f t="shared" si="10"/>
        <v>https://www.laparola.net/testo.php?riferimento=At+7&amp;versioni[]=Nuova+Diodati</v>
      </c>
      <c r="G97" t="str">
        <f t="shared" si="11"/>
        <v>https://www.laparola.net/testo.php?riferimento=At+7&amp;versioni[]=Riveduta</v>
      </c>
      <c r="H97" t="str">
        <f t="shared" si="12"/>
        <v>https://www.laparola.net/testo.php?riferimento=At+7&amp;versioni[]=Nuova+Riveduta</v>
      </c>
      <c r="I97" t="str">
        <f t="shared" si="13"/>
        <v>https://www.laparola.net/testo.php?riferimento=At+7&amp;versioni[]=Riveduta+2020</v>
      </c>
    </row>
    <row r="98" spans="1:9" x14ac:dyDescent="0.25">
      <c r="A98" t="s">
        <v>6</v>
      </c>
      <c r="B98">
        <v>8</v>
      </c>
      <c r="C98" t="str">
        <f t="shared" si="7"/>
        <v>https://www.laparola.net/testo.php?riferimento=At+8&amp;versioni[]=Martini</v>
      </c>
      <c r="D98" t="str">
        <f t="shared" si="8"/>
        <v>https://www.laparola.net/testo.php?riferimento=At+8&amp;versioni[]=Ricciotti</v>
      </c>
      <c r="E98" t="str">
        <f t="shared" si="9"/>
        <v>https://www.laparola.net/testo.php?riferimento=At+8&amp;versioni[]=Diodati</v>
      </c>
      <c r="F98" t="str">
        <f t="shared" si="10"/>
        <v>https://www.laparola.net/testo.php?riferimento=At+8&amp;versioni[]=Nuova+Diodati</v>
      </c>
      <c r="G98" t="str">
        <f t="shared" si="11"/>
        <v>https://www.laparola.net/testo.php?riferimento=At+8&amp;versioni[]=Riveduta</v>
      </c>
      <c r="H98" t="str">
        <f t="shared" si="12"/>
        <v>https://www.laparola.net/testo.php?riferimento=At+8&amp;versioni[]=Nuova+Riveduta</v>
      </c>
      <c r="I98" t="str">
        <f t="shared" si="13"/>
        <v>https://www.laparola.net/testo.php?riferimento=At+8&amp;versioni[]=Riveduta+2020</v>
      </c>
    </row>
    <row r="99" spans="1:9" x14ac:dyDescent="0.25">
      <c r="A99" t="s">
        <v>6</v>
      </c>
      <c r="B99">
        <v>9</v>
      </c>
      <c r="C99" t="str">
        <f t="shared" si="7"/>
        <v>https://www.laparola.net/testo.php?riferimento=At+9&amp;versioni[]=Martini</v>
      </c>
      <c r="D99" t="str">
        <f t="shared" si="8"/>
        <v>https://www.laparola.net/testo.php?riferimento=At+9&amp;versioni[]=Ricciotti</v>
      </c>
      <c r="E99" t="str">
        <f t="shared" si="9"/>
        <v>https://www.laparola.net/testo.php?riferimento=At+9&amp;versioni[]=Diodati</v>
      </c>
      <c r="F99" t="str">
        <f t="shared" si="10"/>
        <v>https://www.laparola.net/testo.php?riferimento=At+9&amp;versioni[]=Nuova+Diodati</v>
      </c>
      <c r="G99" t="str">
        <f t="shared" si="11"/>
        <v>https://www.laparola.net/testo.php?riferimento=At+9&amp;versioni[]=Riveduta</v>
      </c>
      <c r="H99" t="str">
        <f t="shared" si="12"/>
        <v>https://www.laparola.net/testo.php?riferimento=At+9&amp;versioni[]=Nuova+Riveduta</v>
      </c>
      <c r="I99" t="str">
        <f t="shared" si="13"/>
        <v>https://www.laparola.net/testo.php?riferimento=At+9&amp;versioni[]=Riveduta+2020</v>
      </c>
    </row>
    <row r="100" spans="1:9" x14ac:dyDescent="0.25">
      <c r="A100" t="s">
        <v>6</v>
      </c>
      <c r="B100">
        <v>10</v>
      </c>
      <c r="C100" t="str">
        <f t="shared" si="7"/>
        <v>https://www.laparola.net/testo.php?riferimento=At+10&amp;versioni[]=Martini</v>
      </c>
      <c r="D100" t="str">
        <f t="shared" si="8"/>
        <v>https://www.laparola.net/testo.php?riferimento=At+10&amp;versioni[]=Ricciotti</v>
      </c>
      <c r="E100" t="str">
        <f t="shared" si="9"/>
        <v>https://www.laparola.net/testo.php?riferimento=At+10&amp;versioni[]=Diodati</v>
      </c>
      <c r="F100" t="str">
        <f t="shared" si="10"/>
        <v>https://www.laparola.net/testo.php?riferimento=At+10&amp;versioni[]=Nuova+Diodati</v>
      </c>
      <c r="G100" t="str">
        <f t="shared" si="11"/>
        <v>https://www.laparola.net/testo.php?riferimento=At+10&amp;versioni[]=Riveduta</v>
      </c>
      <c r="H100" t="str">
        <f t="shared" si="12"/>
        <v>https://www.laparola.net/testo.php?riferimento=At+10&amp;versioni[]=Nuova+Riveduta</v>
      </c>
      <c r="I100" t="str">
        <f t="shared" si="13"/>
        <v>https://www.laparola.net/testo.php?riferimento=At+10&amp;versioni[]=Riveduta+2020</v>
      </c>
    </row>
    <row r="101" spans="1:9" x14ac:dyDescent="0.25">
      <c r="A101" t="s">
        <v>6</v>
      </c>
      <c r="B101">
        <v>11</v>
      </c>
      <c r="C101" t="str">
        <f t="shared" si="7"/>
        <v>https://www.laparola.net/testo.php?riferimento=At+11&amp;versioni[]=Martini</v>
      </c>
      <c r="D101" t="str">
        <f t="shared" si="8"/>
        <v>https://www.laparola.net/testo.php?riferimento=At+11&amp;versioni[]=Ricciotti</v>
      </c>
      <c r="E101" t="str">
        <f t="shared" si="9"/>
        <v>https://www.laparola.net/testo.php?riferimento=At+11&amp;versioni[]=Diodati</v>
      </c>
      <c r="F101" t="str">
        <f t="shared" si="10"/>
        <v>https://www.laparola.net/testo.php?riferimento=At+11&amp;versioni[]=Nuova+Diodati</v>
      </c>
      <c r="G101" t="str">
        <f t="shared" si="11"/>
        <v>https://www.laparola.net/testo.php?riferimento=At+11&amp;versioni[]=Riveduta</v>
      </c>
      <c r="H101" t="str">
        <f t="shared" si="12"/>
        <v>https://www.laparola.net/testo.php?riferimento=At+11&amp;versioni[]=Nuova+Riveduta</v>
      </c>
      <c r="I101" t="str">
        <f t="shared" si="13"/>
        <v>https://www.laparola.net/testo.php?riferimento=At+11&amp;versioni[]=Riveduta+2020</v>
      </c>
    </row>
    <row r="102" spans="1:9" x14ac:dyDescent="0.25">
      <c r="A102" t="s">
        <v>6</v>
      </c>
      <c r="B102">
        <v>12</v>
      </c>
      <c r="C102" t="str">
        <f t="shared" si="7"/>
        <v>https://www.laparola.net/testo.php?riferimento=At+12&amp;versioni[]=Martini</v>
      </c>
      <c r="D102" t="str">
        <f t="shared" si="8"/>
        <v>https://www.laparola.net/testo.php?riferimento=At+12&amp;versioni[]=Ricciotti</v>
      </c>
      <c r="E102" t="str">
        <f t="shared" si="9"/>
        <v>https://www.laparola.net/testo.php?riferimento=At+12&amp;versioni[]=Diodati</v>
      </c>
      <c r="F102" t="str">
        <f t="shared" si="10"/>
        <v>https://www.laparola.net/testo.php?riferimento=At+12&amp;versioni[]=Nuova+Diodati</v>
      </c>
      <c r="G102" t="str">
        <f t="shared" si="11"/>
        <v>https://www.laparola.net/testo.php?riferimento=At+12&amp;versioni[]=Riveduta</v>
      </c>
      <c r="H102" t="str">
        <f t="shared" si="12"/>
        <v>https://www.laparola.net/testo.php?riferimento=At+12&amp;versioni[]=Nuova+Riveduta</v>
      </c>
      <c r="I102" t="str">
        <f t="shared" si="13"/>
        <v>https://www.laparola.net/testo.php?riferimento=At+12&amp;versioni[]=Riveduta+2020</v>
      </c>
    </row>
    <row r="103" spans="1:9" x14ac:dyDescent="0.25">
      <c r="A103" t="s">
        <v>6</v>
      </c>
      <c r="B103">
        <v>13</v>
      </c>
      <c r="C103" t="str">
        <f t="shared" si="7"/>
        <v>https://www.laparola.net/testo.php?riferimento=At+13&amp;versioni[]=Martini</v>
      </c>
      <c r="D103" t="str">
        <f t="shared" si="8"/>
        <v>https://www.laparola.net/testo.php?riferimento=At+13&amp;versioni[]=Ricciotti</v>
      </c>
      <c r="E103" t="str">
        <f t="shared" si="9"/>
        <v>https://www.laparola.net/testo.php?riferimento=At+13&amp;versioni[]=Diodati</v>
      </c>
      <c r="F103" t="str">
        <f t="shared" si="10"/>
        <v>https://www.laparola.net/testo.php?riferimento=At+13&amp;versioni[]=Nuova+Diodati</v>
      </c>
      <c r="G103" t="str">
        <f t="shared" si="11"/>
        <v>https://www.laparola.net/testo.php?riferimento=At+13&amp;versioni[]=Riveduta</v>
      </c>
      <c r="H103" t="str">
        <f t="shared" si="12"/>
        <v>https://www.laparola.net/testo.php?riferimento=At+13&amp;versioni[]=Nuova+Riveduta</v>
      </c>
      <c r="I103" t="str">
        <f t="shared" si="13"/>
        <v>https://www.laparola.net/testo.php?riferimento=At+13&amp;versioni[]=Riveduta+2020</v>
      </c>
    </row>
    <row r="104" spans="1:9" x14ac:dyDescent="0.25">
      <c r="A104" t="s">
        <v>6</v>
      </c>
      <c r="B104">
        <v>14</v>
      </c>
      <c r="C104" t="str">
        <f t="shared" si="7"/>
        <v>https://www.laparola.net/testo.php?riferimento=At+14&amp;versioni[]=Martini</v>
      </c>
      <c r="D104" t="str">
        <f t="shared" si="8"/>
        <v>https://www.laparola.net/testo.php?riferimento=At+14&amp;versioni[]=Ricciotti</v>
      </c>
      <c r="E104" t="str">
        <f t="shared" si="9"/>
        <v>https://www.laparola.net/testo.php?riferimento=At+14&amp;versioni[]=Diodati</v>
      </c>
      <c r="F104" t="str">
        <f t="shared" si="10"/>
        <v>https://www.laparola.net/testo.php?riferimento=At+14&amp;versioni[]=Nuova+Diodati</v>
      </c>
      <c r="G104" t="str">
        <f t="shared" si="11"/>
        <v>https://www.laparola.net/testo.php?riferimento=At+14&amp;versioni[]=Riveduta</v>
      </c>
      <c r="H104" t="str">
        <f t="shared" si="12"/>
        <v>https://www.laparola.net/testo.php?riferimento=At+14&amp;versioni[]=Nuova+Riveduta</v>
      </c>
      <c r="I104" t="str">
        <f t="shared" si="13"/>
        <v>https://www.laparola.net/testo.php?riferimento=At+14&amp;versioni[]=Riveduta+2020</v>
      </c>
    </row>
    <row r="105" spans="1:9" x14ac:dyDescent="0.25">
      <c r="A105" t="s">
        <v>6</v>
      </c>
      <c r="B105">
        <v>15</v>
      </c>
      <c r="C105" t="str">
        <f t="shared" si="7"/>
        <v>https://www.laparola.net/testo.php?riferimento=At+15&amp;versioni[]=Martini</v>
      </c>
      <c r="D105" t="str">
        <f t="shared" si="8"/>
        <v>https://www.laparola.net/testo.php?riferimento=At+15&amp;versioni[]=Ricciotti</v>
      </c>
      <c r="E105" t="str">
        <f t="shared" si="9"/>
        <v>https://www.laparola.net/testo.php?riferimento=At+15&amp;versioni[]=Diodati</v>
      </c>
      <c r="F105" t="str">
        <f t="shared" si="10"/>
        <v>https://www.laparola.net/testo.php?riferimento=At+15&amp;versioni[]=Nuova+Diodati</v>
      </c>
      <c r="G105" t="str">
        <f t="shared" si="11"/>
        <v>https://www.laparola.net/testo.php?riferimento=At+15&amp;versioni[]=Riveduta</v>
      </c>
      <c r="H105" t="str">
        <f t="shared" si="12"/>
        <v>https://www.laparola.net/testo.php?riferimento=At+15&amp;versioni[]=Nuova+Riveduta</v>
      </c>
      <c r="I105" t="str">
        <f t="shared" si="13"/>
        <v>https://www.laparola.net/testo.php?riferimento=At+15&amp;versioni[]=Riveduta+2020</v>
      </c>
    </row>
    <row r="106" spans="1:9" x14ac:dyDescent="0.25">
      <c r="A106" t="s">
        <v>6</v>
      </c>
      <c r="B106">
        <v>16</v>
      </c>
      <c r="C106" t="str">
        <f t="shared" si="7"/>
        <v>https://www.laparola.net/testo.php?riferimento=At+16&amp;versioni[]=Martini</v>
      </c>
      <c r="D106" t="str">
        <f t="shared" si="8"/>
        <v>https://www.laparola.net/testo.php?riferimento=At+16&amp;versioni[]=Ricciotti</v>
      </c>
      <c r="E106" t="str">
        <f t="shared" si="9"/>
        <v>https://www.laparola.net/testo.php?riferimento=At+16&amp;versioni[]=Diodati</v>
      </c>
      <c r="F106" t="str">
        <f t="shared" si="10"/>
        <v>https://www.laparola.net/testo.php?riferimento=At+16&amp;versioni[]=Nuova+Diodati</v>
      </c>
      <c r="G106" t="str">
        <f t="shared" si="11"/>
        <v>https://www.laparola.net/testo.php?riferimento=At+16&amp;versioni[]=Riveduta</v>
      </c>
      <c r="H106" t="str">
        <f t="shared" si="12"/>
        <v>https://www.laparola.net/testo.php?riferimento=At+16&amp;versioni[]=Nuova+Riveduta</v>
      </c>
      <c r="I106" t="str">
        <f t="shared" si="13"/>
        <v>https://www.laparola.net/testo.php?riferimento=At+16&amp;versioni[]=Riveduta+2020</v>
      </c>
    </row>
    <row r="107" spans="1:9" x14ac:dyDescent="0.25">
      <c r="A107" t="s">
        <v>6</v>
      </c>
      <c r="B107">
        <v>17</v>
      </c>
      <c r="C107" t="str">
        <f t="shared" si="7"/>
        <v>https://www.laparola.net/testo.php?riferimento=At+17&amp;versioni[]=Martini</v>
      </c>
      <c r="D107" t="str">
        <f t="shared" si="8"/>
        <v>https://www.laparola.net/testo.php?riferimento=At+17&amp;versioni[]=Ricciotti</v>
      </c>
      <c r="E107" t="str">
        <f t="shared" si="9"/>
        <v>https://www.laparola.net/testo.php?riferimento=At+17&amp;versioni[]=Diodati</v>
      </c>
      <c r="F107" t="str">
        <f t="shared" si="10"/>
        <v>https://www.laparola.net/testo.php?riferimento=At+17&amp;versioni[]=Nuova+Diodati</v>
      </c>
      <c r="G107" t="str">
        <f t="shared" si="11"/>
        <v>https://www.laparola.net/testo.php?riferimento=At+17&amp;versioni[]=Riveduta</v>
      </c>
      <c r="H107" t="str">
        <f t="shared" si="12"/>
        <v>https://www.laparola.net/testo.php?riferimento=At+17&amp;versioni[]=Nuova+Riveduta</v>
      </c>
      <c r="I107" t="str">
        <f t="shared" si="13"/>
        <v>https://www.laparola.net/testo.php?riferimento=At+17&amp;versioni[]=Riveduta+2020</v>
      </c>
    </row>
    <row r="108" spans="1:9" x14ac:dyDescent="0.25">
      <c r="A108" t="s">
        <v>6</v>
      </c>
      <c r="B108">
        <v>18</v>
      </c>
      <c r="C108" t="str">
        <f t="shared" si="7"/>
        <v>https://www.laparola.net/testo.php?riferimento=At+18&amp;versioni[]=Martini</v>
      </c>
      <c r="D108" t="str">
        <f t="shared" si="8"/>
        <v>https://www.laparola.net/testo.php?riferimento=At+18&amp;versioni[]=Ricciotti</v>
      </c>
      <c r="E108" t="str">
        <f t="shared" si="9"/>
        <v>https://www.laparola.net/testo.php?riferimento=At+18&amp;versioni[]=Diodati</v>
      </c>
      <c r="F108" t="str">
        <f t="shared" si="10"/>
        <v>https://www.laparola.net/testo.php?riferimento=At+18&amp;versioni[]=Nuova+Diodati</v>
      </c>
      <c r="G108" t="str">
        <f t="shared" si="11"/>
        <v>https://www.laparola.net/testo.php?riferimento=At+18&amp;versioni[]=Riveduta</v>
      </c>
      <c r="H108" t="str">
        <f t="shared" si="12"/>
        <v>https://www.laparola.net/testo.php?riferimento=At+18&amp;versioni[]=Nuova+Riveduta</v>
      </c>
      <c r="I108" t="str">
        <f t="shared" si="13"/>
        <v>https://www.laparola.net/testo.php?riferimento=At+18&amp;versioni[]=Riveduta+2020</v>
      </c>
    </row>
    <row r="109" spans="1:9" x14ac:dyDescent="0.25">
      <c r="A109" t="s">
        <v>6</v>
      </c>
      <c r="B109">
        <v>19</v>
      </c>
      <c r="C109" t="str">
        <f t="shared" si="7"/>
        <v>https://www.laparola.net/testo.php?riferimento=At+19&amp;versioni[]=Martini</v>
      </c>
      <c r="D109" t="str">
        <f t="shared" si="8"/>
        <v>https://www.laparola.net/testo.php?riferimento=At+19&amp;versioni[]=Ricciotti</v>
      </c>
      <c r="E109" t="str">
        <f t="shared" si="9"/>
        <v>https://www.laparola.net/testo.php?riferimento=At+19&amp;versioni[]=Diodati</v>
      </c>
      <c r="F109" t="str">
        <f t="shared" si="10"/>
        <v>https://www.laparola.net/testo.php?riferimento=At+19&amp;versioni[]=Nuova+Diodati</v>
      </c>
      <c r="G109" t="str">
        <f t="shared" si="11"/>
        <v>https://www.laparola.net/testo.php?riferimento=At+19&amp;versioni[]=Riveduta</v>
      </c>
      <c r="H109" t="str">
        <f t="shared" si="12"/>
        <v>https://www.laparola.net/testo.php?riferimento=At+19&amp;versioni[]=Nuova+Riveduta</v>
      </c>
      <c r="I109" t="str">
        <f t="shared" si="13"/>
        <v>https://www.laparola.net/testo.php?riferimento=At+19&amp;versioni[]=Riveduta+2020</v>
      </c>
    </row>
    <row r="110" spans="1:9" x14ac:dyDescent="0.25">
      <c r="A110" t="s">
        <v>6</v>
      </c>
      <c r="B110">
        <v>20</v>
      </c>
      <c r="C110" t="str">
        <f t="shared" si="7"/>
        <v>https://www.laparola.net/testo.php?riferimento=At+20&amp;versioni[]=Martini</v>
      </c>
      <c r="D110" t="str">
        <f t="shared" si="8"/>
        <v>https://www.laparola.net/testo.php?riferimento=At+20&amp;versioni[]=Ricciotti</v>
      </c>
      <c r="E110" t="str">
        <f t="shared" si="9"/>
        <v>https://www.laparola.net/testo.php?riferimento=At+20&amp;versioni[]=Diodati</v>
      </c>
      <c r="F110" t="str">
        <f t="shared" si="10"/>
        <v>https://www.laparola.net/testo.php?riferimento=At+20&amp;versioni[]=Nuova+Diodati</v>
      </c>
      <c r="G110" t="str">
        <f t="shared" si="11"/>
        <v>https://www.laparola.net/testo.php?riferimento=At+20&amp;versioni[]=Riveduta</v>
      </c>
      <c r="H110" t="str">
        <f t="shared" si="12"/>
        <v>https://www.laparola.net/testo.php?riferimento=At+20&amp;versioni[]=Nuova+Riveduta</v>
      </c>
      <c r="I110" t="str">
        <f t="shared" si="13"/>
        <v>https://www.laparola.net/testo.php?riferimento=At+20&amp;versioni[]=Riveduta+2020</v>
      </c>
    </row>
    <row r="111" spans="1:9" x14ac:dyDescent="0.25">
      <c r="A111" t="s">
        <v>6</v>
      </c>
      <c r="B111">
        <v>21</v>
      </c>
      <c r="C111" t="str">
        <f t="shared" si="7"/>
        <v>https://www.laparola.net/testo.php?riferimento=At+21&amp;versioni[]=Martini</v>
      </c>
      <c r="D111" t="str">
        <f t="shared" si="8"/>
        <v>https://www.laparola.net/testo.php?riferimento=At+21&amp;versioni[]=Ricciotti</v>
      </c>
      <c r="E111" t="str">
        <f t="shared" si="9"/>
        <v>https://www.laparola.net/testo.php?riferimento=At+21&amp;versioni[]=Diodati</v>
      </c>
      <c r="F111" t="str">
        <f t="shared" si="10"/>
        <v>https://www.laparola.net/testo.php?riferimento=At+21&amp;versioni[]=Nuova+Diodati</v>
      </c>
      <c r="G111" t="str">
        <f t="shared" si="11"/>
        <v>https://www.laparola.net/testo.php?riferimento=At+21&amp;versioni[]=Riveduta</v>
      </c>
      <c r="H111" t="str">
        <f t="shared" si="12"/>
        <v>https://www.laparola.net/testo.php?riferimento=At+21&amp;versioni[]=Nuova+Riveduta</v>
      </c>
      <c r="I111" t="str">
        <f t="shared" si="13"/>
        <v>https://www.laparola.net/testo.php?riferimento=At+21&amp;versioni[]=Riveduta+2020</v>
      </c>
    </row>
    <row r="112" spans="1:9" x14ac:dyDescent="0.25">
      <c r="A112" t="s">
        <v>6</v>
      </c>
      <c r="B112">
        <v>22</v>
      </c>
      <c r="C112" t="str">
        <f t="shared" si="7"/>
        <v>https://www.laparola.net/testo.php?riferimento=At+22&amp;versioni[]=Martini</v>
      </c>
      <c r="D112" t="str">
        <f t="shared" si="8"/>
        <v>https://www.laparola.net/testo.php?riferimento=At+22&amp;versioni[]=Ricciotti</v>
      </c>
      <c r="E112" t="str">
        <f t="shared" si="9"/>
        <v>https://www.laparola.net/testo.php?riferimento=At+22&amp;versioni[]=Diodati</v>
      </c>
      <c r="F112" t="str">
        <f t="shared" si="10"/>
        <v>https://www.laparola.net/testo.php?riferimento=At+22&amp;versioni[]=Nuova+Diodati</v>
      </c>
      <c r="G112" t="str">
        <f t="shared" si="11"/>
        <v>https://www.laparola.net/testo.php?riferimento=At+22&amp;versioni[]=Riveduta</v>
      </c>
      <c r="H112" t="str">
        <f t="shared" si="12"/>
        <v>https://www.laparola.net/testo.php?riferimento=At+22&amp;versioni[]=Nuova+Riveduta</v>
      </c>
      <c r="I112" t="str">
        <f t="shared" si="13"/>
        <v>https://www.laparola.net/testo.php?riferimento=At+22&amp;versioni[]=Riveduta+2020</v>
      </c>
    </row>
    <row r="113" spans="1:9" x14ac:dyDescent="0.25">
      <c r="A113" t="s">
        <v>6</v>
      </c>
      <c r="B113">
        <v>23</v>
      </c>
      <c r="C113" t="str">
        <f t="shared" si="7"/>
        <v>https://www.laparola.net/testo.php?riferimento=At+23&amp;versioni[]=Martini</v>
      </c>
      <c r="D113" t="str">
        <f t="shared" si="8"/>
        <v>https://www.laparola.net/testo.php?riferimento=At+23&amp;versioni[]=Ricciotti</v>
      </c>
      <c r="E113" t="str">
        <f t="shared" si="9"/>
        <v>https://www.laparola.net/testo.php?riferimento=At+23&amp;versioni[]=Diodati</v>
      </c>
      <c r="F113" t="str">
        <f t="shared" si="10"/>
        <v>https://www.laparola.net/testo.php?riferimento=At+23&amp;versioni[]=Nuova+Diodati</v>
      </c>
      <c r="G113" t="str">
        <f t="shared" si="11"/>
        <v>https://www.laparola.net/testo.php?riferimento=At+23&amp;versioni[]=Riveduta</v>
      </c>
      <c r="H113" t="str">
        <f t="shared" si="12"/>
        <v>https://www.laparola.net/testo.php?riferimento=At+23&amp;versioni[]=Nuova+Riveduta</v>
      </c>
      <c r="I113" t="str">
        <f t="shared" si="13"/>
        <v>https://www.laparola.net/testo.php?riferimento=At+23&amp;versioni[]=Riveduta+2020</v>
      </c>
    </row>
    <row r="114" spans="1:9" x14ac:dyDescent="0.25">
      <c r="A114" t="s">
        <v>6</v>
      </c>
      <c r="B114">
        <v>24</v>
      </c>
      <c r="C114" t="str">
        <f t="shared" si="7"/>
        <v>https://www.laparola.net/testo.php?riferimento=At+24&amp;versioni[]=Martini</v>
      </c>
      <c r="D114" t="str">
        <f t="shared" si="8"/>
        <v>https://www.laparola.net/testo.php?riferimento=At+24&amp;versioni[]=Ricciotti</v>
      </c>
      <c r="E114" t="str">
        <f t="shared" si="9"/>
        <v>https://www.laparola.net/testo.php?riferimento=At+24&amp;versioni[]=Diodati</v>
      </c>
      <c r="F114" t="str">
        <f t="shared" si="10"/>
        <v>https://www.laparola.net/testo.php?riferimento=At+24&amp;versioni[]=Nuova+Diodati</v>
      </c>
      <c r="G114" t="str">
        <f t="shared" si="11"/>
        <v>https://www.laparola.net/testo.php?riferimento=At+24&amp;versioni[]=Riveduta</v>
      </c>
      <c r="H114" t="str">
        <f t="shared" si="12"/>
        <v>https://www.laparola.net/testo.php?riferimento=At+24&amp;versioni[]=Nuova+Riveduta</v>
      </c>
      <c r="I114" t="str">
        <f t="shared" si="13"/>
        <v>https://www.laparola.net/testo.php?riferimento=At+24&amp;versioni[]=Riveduta+2020</v>
      </c>
    </row>
    <row r="115" spans="1:9" x14ac:dyDescent="0.25">
      <c r="A115" t="s">
        <v>6</v>
      </c>
      <c r="B115">
        <v>25</v>
      </c>
      <c r="C115" t="str">
        <f t="shared" si="7"/>
        <v>https://www.laparola.net/testo.php?riferimento=At+25&amp;versioni[]=Martini</v>
      </c>
      <c r="D115" t="str">
        <f t="shared" si="8"/>
        <v>https://www.laparola.net/testo.php?riferimento=At+25&amp;versioni[]=Ricciotti</v>
      </c>
      <c r="E115" t="str">
        <f t="shared" si="9"/>
        <v>https://www.laparola.net/testo.php?riferimento=At+25&amp;versioni[]=Diodati</v>
      </c>
      <c r="F115" t="str">
        <f t="shared" si="10"/>
        <v>https://www.laparola.net/testo.php?riferimento=At+25&amp;versioni[]=Nuova+Diodati</v>
      </c>
      <c r="G115" t="str">
        <f t="shared" si="11"/>
        <v>https://www.laparola.net/testo.php?riferimento=At+25&amp;versioni[]=Riveduta</v>
      </c>
      <c r="H115" t="str">
        <f t="shared" si="12"/>
        <v>https://www.laparola.net/testo.php?riferimento=At+25&amp;versioni[]=Nuova+Riveduta</v>
      </c>
      <c r="I115" t="str">
        <f t="shared" si="13"/>
        <v>https://www.laparola.net/testo.php?riferimento=At+25&amp;versioni[]=Riveduta+2020</v>
      </c>
    </row>
    <row r="116" spans="1:9" x14ac:dyDescent="0.25">
      <c r="A116" t="s">
        <v>6</v>
      </c>
      <c r="B116">
        <v>26</v>
      </c>
      <c r="C116" t="str">
        <f t="shared" si="7"/>
        <v>https://www.laparola.net/testo.php?riferimento=At+26&amp;versioni[]=Martini</v>
      </c>
      <c r="D116" t="str">
        <f t="shared" si="8"/>
        <v>https://www.laparola.net/testo.php?riferimento=At+26&amp;versioni[]=Ricciotti</v>
      </c>
      <c r="E116" t="str">
        <f t="shared" si="9"/>
        <v>https://www.laparola.net/testo.php?riferimento=At+26&amp;versioni[]=Diodati</v>
      </c>
      <c r="F116" t="str">
        <f t="shared" si="10"/>
        <v>https://www.laparola.net/testo.php?riferimento=At+26&amp;versioni[]=Nuova+Diodati</v>
      </c>
      <c r="G116" t="str">
        <f t="shared" si="11"/>
        <v>https://www.laparola.net/testo.php?riferimento=At+26&amp;versioni[]=Riveduta</v>
      </c>
      <c r="H116" t="str">
        <f t="shared" si="12"/>
        <v>https://www.laparola.net/testo.php?riferimento=At+26&amp;versioni[]=Nuova+Riveduta</v>
      </c>
      <c r="I116" t="str">
        <f t="shared" si="13"/>
        <v>https://www.laparola.net/testo.php?riferimento=At+26&amp;versioni[]=Riveduta+2020</v>
      </c>
    </row>
    <row r="117" spans="1:9" x14ac:dyDescent="0.25">
      <c r="A117" t="s">
        <v>6</v>
      </c>
      <c r="B117">
        <v>27</v>
      </c>
      <c r="C117" t="str">
        <f t="shared" si="7"/>
        <v>https://www.laparola.net/testo.php?riferimento=At+27&amp;versioni[]=Martini</v>
      </c>
      <c r="D117" t="str">
        <f t="shared" si="8"/>
        <v>https://www.laparola.net/testo.php?riferimento=At+27&amp;versioni[]=Ricciotti</v>
      </c>
      <c r="E117" t="str">
        <f t="shared" si="9"/>
        <v>https://www.laparola.net/testo.php?riferimento=At+27&amp;versioni[]=Diodati</v>
      </c>
      <c r="F117" t="str">
        <f t="shared" si="10"/>
        <v>https://www.laparola.net/testo.php?riferimento=At+27&amp;versioni[]=Nuova+Diodati</v>
      </c>
      <c r="G117" t="str">
        <f t="shared" si="11"/>
        <v>https://www.laparola.net/testo.php?riferimento=At+27&amp;versioni[]=Riveduta</v>
      </c>
      <c r="H117" t="str">
        <f t="shared" si="12"/>
        <v>https://www.laparola.net/testo.php?riferimento=At+27&amp;versioni[]=Nuova+Riveduta</v>
      </c>
      <c r="I117" t="str">
        <f t="shared" si="13"/>
        <v>https://www.laparola.net/testo.php?riferimento=At+27&amp;versioni[]=Riveduta+2020</v>
      </c>
    </row>
    <row r="118" spans="1:9" x14ac:dyDescent="0.25">
      <c r="A118" t="s">
        <v>6</v>
      </c>
      <c r="B118">
        <v>28</v>
      </c>
      <c r="C118" t="str">
        <f t="shared" si="7"/>
        <v>https://www.laparola.net/testo.php?riferimento=At+28&amp;versioni[]=Martini</v>
      </c>
      <c r="D118" t="str">
        <f t="shared" si="8"/>
        <v>https://www.laparola.net/testo.php?riferimento=At+28&amp;versioni[]=Ricciotti</v>
      </c>
      <c r="E118" t="str">
        <f t="shared" si="9"/>
        <v>https://www.laparola.net/testo.php?riferimento=At+28&amp;versioni[]=Diodati</v>
      </c>
      <c r="F118" t="str">
        <f t="shared" si="10"/>
        <v>https://www.laparola.net/testo.php?riferimento=At+28&amp;versioni[]=Nuova+Diodati</v>
      </c>
      <c r="G118" t="str">
        <f t="shared" si="11"/>
        <v>https://www.laparola.net/testo.php?riferimento=At+28&amp;versioni[]=Riveduta</v>
      </c>
      <c r="H118" t="str">
        <f t="shared" si="12"/>
        <v>https://www.laparola.net/testo.php?riferimento=At+28&amp;versioni[]=Nuova+Riveduta</v>
      </c>
      <c r="I118" t="str">
        <f t="shared" si="13"/>
        <v>https://www.laparola.net/testo.php?riferimento=At+28&amp;versioni[]=Riveduta+2020</v>
      </c>
    </row>
    <row r="119" spans="1:9" x14ac:dyDescent="0.25">
      <c r="A119" t="s">
        <v>12</v>
      </c>
      <c r="B119">
        <v>1</v>
      </c>
      <c r="C119" t="str">
        <f t="shared" si="7"/>
        <v>https://www.laparola.net/testo.php?riferimento=Rm+1&amp;versioni[]=Martini</v>
      </c>
      <c r="D119" t="str">
        <f t="shared" si="8"/>
        <v>https://www.laparola.net/testo.php?riferimento=Rm+1&amp;versioni[]=Ricciotti</v>
      </c>
      <c r="E119" t="str">
        <f t="shared" si="9"/>
        <v>https://www.laparola.net/testo.php?riferimento=Rm+1&amp;versioni[]=Diodati</v>
      </c>
      <c r="F119" t="str">
        <f t="shared" si="10"/>
        <v>https://www.laparola.net/testo.php?riferimento=Rm+1&amp;versioni[]=Nuova+Diodati</v>
      </c>
      <c r="G119" t="str">
        <f t="shared" si="11"/>
        <v>https://www.laparola.net/testo.php?riferimento=Rm+1&amp;versioni[]=Riveduta</v>
      </c>
      <c r="H119" t="str">
        <f t="shared" si="12"/>
        <v>https://www.laparola.net/testo.php?riferimento=Rm+1&amp;versioni[]=Nuova+Riveduta</v>
      </c>
      <c r="I119" t="str">
        <f t="shared" si="13"/>
        <v>https://www.laparola.net/testo.php?riferimento=Rm+1&amp;versioni[]=Riveduta+2020</v>
      </c>
    </row>
    <row r="120" spans="1:9" x14ac:dyDescent="0.25">
      <c r="A120" t="s">
        <v>12</v>
      </c>
      <c r="B120">
        <v>2</v>
      </c>
      <c r="C120" t="str">
        <f t="shared" si="7"/>
        <v>https://www.laparola.net/testo.php?riferimento=Rm+2&amp;versioni[]=Martini</v>
      </c>
      <c r="D120" t="str">
        <f t="shared" si="8"/>
        <v>https://www.laparola.net/testo.php?riferimento=Rm+2&amp;versioni[]=Ricciotti</v>
      </c>
      <c r="E120" t="str">
        <f t="shared" si="9"/>
        <v>https://www.laparola.net/testo.php?riferimento=Rm+2&amp;versioni[]=Diodati</v>
      </c>
      <c r="F120" t="str">
        <f t="shared" si="10"/>
        <v>https://www.laparola.net/testo.php?riferimento=Rm+2&amp;versioni[]=Nuova+Diodati</v>
      </c>
      <c r="G120" t="str">
        <f t="shared" si="11"/>
        <v>https://www.laparola.net/testo.php?riferimento=Rm+2&amp;versioni[]=Riveduta</v>
      </c>
      <c r="H120" t="str">
        <f t="shared" si="12"/>
        <v>https://www.laparola.net/testo.php?riferimento=Rm+2&amp;versioni[]=Nuova+Riveduta</v>
      </c>
      <c r="I120" t="str">
        <f t="shared" si="13"/>
        <v>https://www.laparola.net/testo.php?riferimento=Rm+2&amp;versioni[]=Riveduta+2020</v>
      </c>
    </row>
    <row r="121" spans="1:9" x14ac:dyDescent="0.25">
      <c r="A121" t="s">
        <v>12</v>
      </c>
      <c r="B121">
        <v>3</v>
      </c>
      <c r="C121" t="str">
        <f t="shared" si="7"/>
        <v>https://www.laparola.net/testo.php?riferimento=Rm+3&amp;versioni[]=Martini</v>
      </c>
      <c r="D121" t="str">
        <f t="shared" si="8"/>
        <v>https://www.laparola.net/testo.php?riferimento=Rm+3&amp;versioni[]=Ricciotti</v>
      </c>
      <c r="E121" t="str">
        <f t="shared" si="9"/>
        <v>https://www.laparola.net/testo.php?riferimento=Rm+3&amp;versioni[]=Diodati</v>
      </c>
      <c r="F121" t="str">
        <f t="shared" si="10"/>
        <v>https://www.laparola.net/testo.php?riferimento=Rm+3&amp;versioni[]=Nuova+Diodati</v>
      </c>
      <c r="G121" t="str">
        <f t="shared" si="11"/>
        <v>https://www.laparola.net/testo.php?riferimento=Rm+3&amp;versioni[]=Riveduta</v>
      </c>
      <c r="H121" t="str">
        <f t="shared" si="12"/>
        <v>https://www.laparola.net/testo.php?riferimento=Rm+3&amp;versioni[]=Nuova+Riveduta</v>
      </c>
      <c r="I121" t="str">
        <f t="shared" si="13"/>
        <v>https://www.laparola.net/testo.php?riferimento=Rm+3&amp;versioni[]=Riveduta+2020</v>
      </c>
    </row>
    <row r="122" spans="1:9" x14ac:dyDescent="0.25">
      <c r="A122" t="s">
        <v>12</v>
      </c>
      <c r="B122">
        <v>4</v>
      </c>
      <c r="C122" t="str">
        <f t="shared" si="7"/>
        <v>https://www.laparola.net/testo.php?riferimento=Rm+4&amp;versioni[]=Martini</v>
      </c>
      <c r="D122" t="str">
        <f t="shared" si="8"/>
        <v>https://www.laparola.net/testo.php?riferimento=Rm+4&amp;versioni[]=Ricciotti</v>
      </c>
      <c r="E122" t="str">
        <f t="shared" si="9"/>
        <v>https://www.laparola.net/testo.php?riferimento=Rm+4&amp;versioni[]=Diodati</v>
      </c>
      <c r="F122" t="str">
        <f t="shared" si="10"/>
        <v>https://www.laparola.net/testo.php?riferimento=Rm+4&amp;versioni[]=Nuova+Diodati</v>
      </c>
      <c r="G122" t="str">
        <f t="shared" si="11"/>
        <v>https://www.laparola.net/testo.php?riferimento=Rm+4&amp;versioni[]=Riveduta</v>
      </c>
      <c r="H122" t="str">
        <f t="shared" si="12"/>
        <v>https://www.laparola.net/testo.php?riferimento=Rm+4&amp;versioni[]=Nuova+Riveduta</v>
      </c>
      <c r="I122" t="str">
        <f t="shared" si="13"/>
        <v>https://www.laparola.net/testo.php?riferimento=Rm+4&amp;versioni[]=Riveduta+2020</v>
      </c>
    </row>
    <row r="123" spans="1:9" x14ac:dyDescent="0.25">
      <c r="A123" t="s">
        <v>12</v>
      </c>
      <c r="B123">
        <v>5</v>
      </c>
      <c r="C123" t="str">
        <f t="shared" si="7"/>
        <v>https://www.laparola.net/testo.php?riferimento=Rm+5&amp;versioni[]=Martini</v>
      </c>
      <c r="D123" t="str">
        <f t="shared" si="8"/>
        <v>https://www.laparola.net/testo.php?riferimento=Rm+5&amp;versioni[]=Ricciotti</v>
      </c>
      <c r="E123" t="str">
        <f t="shared" si="9"/>
        <v>https://www.laparola.net/testo.php?riferimento=Rm+5&amp;versioni[]=Diodati</v>
      </c>
      <c r="F123" t="str">
        <f t="shared" si="10"/>
        <v>https://www.laparola.net/testo.php?riferimento=Rm+5&amp;versioni[]=Nuova+Diodati</v>
      </c>
      <c r="G123" t="str">
        <f t="shared" si="11"/>
        <v>https://www.laparola.net/testo.php?riferimento=Rm+5&amp;versioni[]=Riveduta</v>
      </c>
      <c r="H123" t="str">
        <f t="shared" si="12"/>
        <v>https://www.laparola.net/testo.php?riferimento=Rm+5&amp;versioni[]=Nuova+Riveduta</v>
      </c>
      <c r="I123" t="str">
        <f t="shared" si="13"/>
        <v>https://www.laparola.net/testo.php?riferimento=Rm+5&amp;versioni[]=Riveduta+2020</v>
      </c>
    </row>
    <row r="124" spans="1:9" x14ac:dyDescent="0.25">
      <c r="A124" t="s">
        <v>12</v>
      </c>
      <c r="B124">
        <v>6</v>
      </c>
      <c r="C124" t="str">
        <f t="shared" si="7"/>
        <v>https://www.laparola.net/testo.php?riferimento=Rm+6&amp;versioni[]=Martini</v>
      </c>
      <c r="D124" t="str">
        <f t="shared" si="8"/>
        <v>https://www.laparola.net/testo.php?riferimento=Rm+6&amp;versioni[]=Ricciotti</v>
      </c>
      <c r="E124" t="str">
        <f t="shared" si="9"/>
        <v>https://www.laparola.net/testo.php?riferimento=Rm+6&amp;versioni[]=Diodati</v>
      </c>
      <c r="F124" t="str">
        <f t="shared" si="10"/>
        <v>https://www.laparola.net/testo.php?riferimento=Rm+6&amp;versioni[]=Nuova+Diodati</v>
      </c>
      <c r="G124" t="str">
        <f t="shared" si="11"/>
        <v>https://www.laparola.net/testo.php?riferimento=Rm+6&amp;versioni[]=Riveduta</v>
      </c>
      <c r="H124" t="str">
        <f t="shared" si="12"/>
        <v>https://www.laparola.net/testo.php?riferimento=Rm+6&amp;versioni[]=Nuova+Riveduta</v>
      </c>
      <c r="I124" t="str">
        <f t="shared" si="13"/>
        <v>https://www.laparola.net/testo.php?riferimento=Rm+6&amp;versioni[]=Riveduta+2020</v>
      </c>
    </row>
    <row r="125" spans="1:9" x14ac:dyDescent="0.25">
      <c r="A125" t="s">
        <v>12</v>
      </c>
      <c r="B125">
        <v>7</v>
      </c>
      <c r="C125" t="str">
        <f t="shared" si="7"/>
        <v>https://www.laparola.net/testo.php?riferimento=Rm+7&amp;versioni[]=Martini</v>
      </c>
      <c r="D125" t="str">
        <f t="shared" si="8"/>
        <v>https://www.laparola.net/testo.php?riferimento=Rm+7&amp;versioni[]=Ricciotti</v>
      </c>
      <c r="E125" t="str">
        <f t="shared" si="9"/>
        <v>https://www.laparola.net/testo.php?riferimento=Rm+7&amp;versioni[]=Diodati</v>
      </c>
      <c r="F125" t="str">
        <f t="shared" si="10"/>
        <v>https://www.laparola.net/testo.php?riferimento=Rm+7&amp;versioni[]=Nuova+Diodati</v>
      </c>
      <c r="G125" t="str">
        <f t="shared" si="11"/>
        <v>https://www.laparola.net/testo.php?riferimento=Rm+7&amp;versioni[]=Riveduta</v>
      </c>
      <c r="H125" t="str">
        <f t="shared" si="12"/>
        <v>https://www.laparola.net/testo.php?riferimento=Rm+7&amp;versioni[]=Nuova+Riveduta</v>
      </c>
      <c r="I125" t="str">
        <f t="shared" si="13"/>
        <v>https://www.laparola.net/testo.php?riferimento=Rm+7&amp;versioni[]=Riveduta+2020</v>
      </c>
    </row>
    <row r="126" spans="1:9" x14ac:dyDescent="0.25">
      <c r="A126" t="s">
        <v>12</v>
      </c>
      <c r="B126">
        <v>8</v>
      </c>
      <c r="C126" t="str">
        <f t="shared" si="7"/>
        <v>https://www.laparola.net/testo.php?riferimento=Rm+8&amp;versioni[]=Martini</v>
      </c>
      <c r="D126" t="str">
        <f t="shared" si="8"/>
        <v>https://www.laparola.net/testo.php?riferimento=Rm+8&amp;versioni[]=Ricciotti</v>
      </c>
      <c r="E126" t="str">
        <f t="shared" si="9"/>
        <v>https://www.laparola.net/testo.php?riferimento=Rm+8&amp;versioni[]=Diodati</v>
      </c>
      <c r="F126" t="str">
        <f t="shared" si="10"/>
        <v>https://www.laparola.net/testo.php?riferimento=Rm+8&amp;versioni[]=Nuova+Diodati</v>
      </c>
      <c r="G126" t="str">
        <f t="shared" si="11"/>
        <v>https://www.laparola.net/testo.php?riferimento=Rm+8&amp;versioni[]=Riveduta</v>
      </c>
      <c r="H126" t="str">
        <f t="shared" si="12"/>
        <v>https://www.laparola.net/testo.php?riferimento=Rm+8&amp;versioni[]=Nuova+Riveduta</v>
      </c>
      <c r="I126" t="str">
        <f t="shared" si="13"/>
        <v>https://www.laparola.net/testo.php?riferimento=Rm+8&amp;versioni[]=Riveduta+2020</v>
      </c>
    </row>
    <row r="127" spans="1:9" x14ac:dyDescent="0.25">
      <c r="A127" t="s">
        <v>12</v>
      </c>
      <c r="B127">
        <v>9</v>
      </c>
      <c r="C127" t="str">
        <f t="shared" si="7"/>
        <v>https://www.laparola.net/testo.php?riferimento=Rm+9&amp;versioni[]=Martini</v>
      </c>
      <c r="D127" t="str">
        <f t="shared" si="8"/>
        <v>https://www.laparola.net/testo.php?riferimento=Rm+9&amp;versioni[]=Ricciotti</v>
      </c>
      <c r="E127" t="str">
        <f t="shared" si="9"/>
        <v>https://www.laparola.net/testo.php?riferimento=Rm+9&amp;versioni[]=Diodati</v>
      </c>
      <c r="F127" t="str">
        <f t="shared" si="10"/>
        <v>https://www.laparola.net/testo.php?riferimento=Rm+9&amp;versioni[]=Nuova+Diodati</v>
      </c>
      <c r="G127" t="str">
        <f t="shared" si="11"/>
        <v>https://www.laparola.net/testo.php?riferimento=Rm+9&amp;versioni[]=Riveduta</v>
      </c>
      <c r="H127" t="str">
        <f t="shared" si="12"/>
        <v>https://www.laparola.net/testo.php?riferimento=Rm+9&amp;versioni[]=Nuova+Riveduta</v>
      </c>
      <c r="I127" t="str">
        <f t="shared" si="13"/>
        <v>https://www.laparola.net/testo.php?riferimento=Rm+9&amp;versioni[]=Riveduta+2020</v>
      </c>
    </row>
    <row r="128" spans="1:9" x14ac:dyDescent="0.25">
      <c r="A128" t="s">
        <v>12</v>
      </c>
      <c r="B128">
        <v>10</v>
      </c>
      <c r="C128" t="str">
        <f t="shared" si="7"/>
        <v>https://www.laparola.net/testo.php?riferimento=Rm+10&amp;versioni[]=Martini</v>
      </c>
      <c r="D128" t="str">
        <f t="shared" si="8"/>
        <v>https://www.laparola.net/testo.php?riferimento=Rm+10&amp;versioni[]=Ricciotti</v>
      </c>
      <c r="E128" t="str">
        <f t="shared" si="9"/>
        <v>https://www.laparola.net/testo.php?riferimento=Rm+10&amp;versioni[]=Diodati</v>
      </c>
      <c r="F128" t="str">
        <f t="shared" si="10"/>
        <v>https://www.laparola.net/testo.php?riferimento=Rm+10&amp;versioni[]=Nuova+Diodati</v>
      </c>
      <c r="G128" t="str">
        <f t="shared" si="11"/>
        <v>https://www.laparola.net/testo.php?riferimento=Rm+10&amp;versioni[]=Riveduta</v>
      </c>
      <c r="H128" t="str">
        <f t="shared" si="12"/>
        <v>https://www.laparola.net/testo.php?riferimento=Rm+10&amp;versioni[]=Nuova+Riveduta</v>
      </c>
      <c r="I128" t="str">
        <f t="shared" si="13"/>
        <v>https://www.laparola.net/testo.php?riferimento=Rm+10&amp;versioni[]=Riveduta+2020</v>
      </c>
    </row>
    <row r="129" spans="1:9" x14ac:dyDescent="0.25">
      <c r="A129" t="s">
        <v>12</v>
      </c>
      <c r="B129">
        <v>11</v>
      </c>
      <c r="C129" t="str">
        <f t="shared" si="7"/>
        <v>https://www.laparola.net/testo.php?riferimento=Rm+11&amp;versioni[]=Martini</v>
      </c>
      <c r="D129" t="str">
        <f t="shared" si="8"/>
        <v>https://www.laparola.net/testo.php?riferimento=Rm+11&amp;versioni[]=Ricciotti</v>
      </c>
      <c r="E129" t="str">
        <f t="shared" si="9"/>
        <v>https://www.laparola.net/testo.php?riferimento=Rm+11&amp;versioni[]=Diodati</v>
      </c>
      <c r="F129" t="str">
        <f t="shared" si="10"/>
        <v>https://www.laparola.net/testo.php?riferimento=Rm+11&amp;versioni[]=Nuova+Diodati</v>
      </c>
      <c r="G129" t="str">
        <f t="shared" si="11"/>
        <v>https://www.laparola.net/testo.php?riferimento=Rm+11&amp;versioni[]=Riveduta</v>
      </c>
      <c r="H129" t="str">
        <f t="shared" si="12"/>
        <v>https://www.laparola.net/testo.php?riferimento=Rm+11&amp;versioni[]=Nuova+Riveduta</v>
      </c>
      <c r="I129" t="str">
        <f t="shared" si="13"/>
        <v>https://www.laparola.net/testo.php?riferimento=Rm+11&amp;versioni[]=Riveduta+2020</v>
      </c>
    </row>
    <row r="130" spans="1:9" x14ac:dyDescent="0.25">
      <c r="A130" t="s">
        <v>12</v>
      </c>
      <c r="B130">
        <v>12</v>
      </c>
      <c r="C130" t="str">
        <f t="shared" ref="C130:C193" si="14">"https://www.laparola.net/testo.php?riferimento="&amp;CONCATENATE($A130)&amp;"+"&amp;$B130&amp;"&amp;versioni[]="&amp;$C$1&amp;""</f>
        <v>https://www.laparola.net/testo.php?riferimento=Rm+12&amp;versioni[]=Martini</v>
      </c>
      <c r="D130" t="str">
        <f t="shared" ref="D130:D193" si="15">"https://www.laparola.net/testo.php?riferimento="&amp;CONCATENATE($A130)&amp;"+"&amp;$B130&amp;"&amp;versioni[]="&amp;$D$1&amp;""</f>
        <v>https://www.laparola.net/testo.php?riferimento=Rm+12&amp;versioni[]=Ricciotti</v>
      </c>
      <c r="E130" t="str">
        <f t="shared" ref="E130:E193" si="16">"https://www.laparola.net/testo.php?riferimento="&amp;CONCATENATE($A130)&amp;"+"&amp;$B130&amp;"&amp;versioni[]="&amp;$E$1&amp;""</f>
        <v>https://www.laparola.net/testo.php?riferimento=Rm+12&amp;versioni[]=Diodati</v>
      </c>
      <c r="F130" t="str">
        <f t="shared" ref="F130:F193" si="17">"https://www.laparola.net/testo.php?riferimento="&amp;CONCATENATE($A130)&amp;"+"&amp;$B130&amp;"&amp;versioni[]="&amp;$F$1&amp;""</f>
        <v>https://www.laparola.net/testo.php?riferimento=Rm+12&amp;versioni[]=Nuova+Diodati</v>
      </c>
      <c r="G130" t="str">
        <f t="shared" ref="G130:G193" si="18">"https://www.laparola.net/testo.php?riferimento="&amp;CONCATENATE($A130)&amp;"+"&amp;$B130&amp;"&amp;versioni[]="&amp;$G$1&amp;""</f>
        <v>https://www.laparola.net/testo.php?riferimento=Rm+12&amp;versioni[]=Riveduta</v>
      </c>
      <c r="H130" t="str">
        <f t="shared" ref="H130:H193" si="19">"https://www.laparola.net/testo.php?riferimento="&amp;CONCATENATE($A130)&amp;"+"&amp;$B130&amp;"&amp;versioni[]="&amp;$H$1&amp;""</f>
        <v>https://www.laparola.net/testo.php?riferimento=Rm+12&amp;versioni[]=Nuova+Riveduta</v>
      </c>
      <c r="I130" t="str">
        <f t="shared" ref="I130:I193" si="20">"https://www.laparola.net/testo.php?riferimento="&amp;CONCATENATE($A130)&amp;"+"&amp;$B130&amp;"&amp;versioni[]="&amp;$I$1&amp;""</f>
        <v>https://www.laparola.net/testo.php?riferimento=Rm+12&amp;versioni[]=Riveduta+2020</v>
      </c>
    </row>
    <row r="131" spans="1:9" x14ac:dyDescent="0.25">
      <c r="A131" t="s">
        <v>12</v>
      </c>
      <c r="B131">
        <v>13</v>
      </c>
      <c r="C131" t="str">
        <f t="shared" si="14"/>
        <v>https://www.laparola.net/testo.php?riferimento=Rm+13&amp;versioni[]=Martini</v>
      </c>
      <c r="D131" t="str">
        <f t="shared" si="15"/>
        <v>https://www.laparola.net/testo.php?riferimento=Rm+13&amp;versioni[]=Ricciotti</v>
      </c>
      <c r="E131" t="str">
        <f t="shared" si="16"/>
        <v>https://www.laparola.net/testo.php?riferimento=Rm+13&amp;versioni[]=Diodati</v>
      </c>
      <c r="F131" t="str">
        <f t="shared" si="17"/>
        <v>https://www.laparola.net/testo.php?riferimento=Rm+13&amp;versioni[]=Nuova+Diodati</v>
      </c>
      <c r="G131" t="str">
        <f t="shared" si="18"/>
        <v>https://www.laparola.net/testo.php?riferimento=Rm+13&amp;versioni[]=Riveduta</v>
      </c>
      <c r="H131" t="str">
        <f t="shared" si="19"/>
        <v>https://www.laparola.net/testo.php?riferimento=Rm+13&amp;versioni[]=Nuova+Riveduta</v>
      </c>
      <c r="I131" t="str">
        <f t="shared" si="20"/>
        <v>https://www.laparola.net/testo.php?riferimento=Rm+13&amp;versioni[]=Riveduta+2020</v>
      </c>
    </row>
    <row r="132" spans="1:9" x14ac:dyDescent="0.25">
      <c r="A132" t="s">
        <v>12</v>
      </c>
      <c r="B132">
        <v>14</v>
      </c>
      <c r="C132" t="str">
        <f t="shared" si="14"/>
        <v>https://www.laparola.net/testo.php?riferimento=Rm+14&amp;versioni[]=Martini</v>
      </c>
      <c r="D132" t="str">
        <f t="shared" si="15"/>
        <v>https://www.laparola.net/testo.php?riferimento=Rm+14&amp;versioni[]=Ricciotti</v>
      </c>
      <c r="E132" t="str">
        <f t="shared" si="16"/>
        <v>https://www.laparola.net/testo.php?riferimento=Rm+14&amp;versioni[]=Diodati</v>
      </c>
      <c r="F132" t="str">
        <f t="shared" si="17"/>
        <v>https://www.laparola.net/testo.php?riferimento=Rm+14&amp;versioni[]=Nuova+Diodati</v>
      </c>
      <c r="G132" t="str">
        <f t="shared" si="18"/>
        <v>https://www.laparola.net/testo.php?riferimento=Rm+14&amp;versioni[]=Riveduta</v>
      </c>
      <c r="H132" t="str">
        <f t="shared" si="19"/>
        <v>https://www.laparola.net/testo.php?riferimento=Rm+14&amp;versioni[]=Nuova+Riveduta</v>
      </c>
      <c r="I132" t="str">
        <f t="shared" si="20"/>
        <v>https://www.laparola.net/testo.php?riferimento=Rm+14&amp;versioni[]=Riveduta+2020</v>
      </c>
    </row>
    <row r="133" spans="1:9" x14ac:dyDescent="0.25">
      <c r="A133" t="s">
        <v>12</v>
      </c>
      <c r="B133">
        <v>15</v>
      </c>
      <c r="C133" t="str">
        <f t="shared" si="14"/>
        <v>https://www.laparola.net/testo.php?riferimento=Rm+15&amp;versioni[]=Martini</v>
      </c>
      <c r="D133" t="str">
        <f t="shared" si="15"/>
        <v>https://www.laparola.net/testo.php?riferimento=Rm+15&amp;versioni[]=Ricciotti</v>
      </c>
      <c r="E133" t="str">
        <f t="shared" si="16"/>
        <v>https://www.laparola.net/testo.php?riferimento=Rm+15&amp;versioni[]=Diodati</v>
      </c>
      <c r="F133" t="str">
        <f t="shared" si="17"/>
        <v>https://www.laparola.net/testo.php?riferimento=Rm+15&amp;versioni[]=Nuova+Diodati</v>
      </c>
      <c r="G133" t="str">
        <f t="shared" si="18"/>
        <v>https://www.laparola.net/testo.php?riferimento=Rm+15&amp;versioni[]=Riveduta</v>
      </c>
      <c r="H133" t="str">
        <f t="shared" si="19"/>
        <v>https://www.laparola.net/testo.php?riferimento=Rm+15&amp;versioni[]=Nuova+Riveduta</v>
      </c>
      <c r="I133" t="str">
        <f t="shared" si="20"/>
        <v>https://www.laparola.net/testo.php?riferimento=Rm+15&amp;versioni[]=Riveduta+2020</v>
      </c>
    </row>
    <row r="134" spans="1:9" x14ac:dyDescent="0.25">
      <c r="A134" t="s">
        <v>12</v>
      </c>
      <c r="B134">
        <v>16</v>
      </c>
      <c r="C134" t="str">
        <f t="shared" si="14"/>
        <v>https://www.laparola.net/testo.php?riferimento=Rm+16&amp;versioni[]=Martini</v>
      </c>
      <c r="D134" t="str">
        <f t="shared" si="15"/>
        <v>https://www.laparola.net/testo.php?riferimento=Rm+16&amp;versioni[]=Ricciotti</v>
      </c>
      <c r="E134" t="str">
        <f t="shared" si="16"/>
        <v>https://www.laparola.net/testo.php?riferimento=Rm+16&amp;versioni[]=Diodati</v>
      </c>
      <c r="F134" t="str">
        <f t="shared" si="17"/>
        <v>https://www.laparola.net/testo.php?riferimento=Rm+16&amp;versioni[]=Nuova+Diodati</v>
      </c>
      <c r="G134" t="str">
        <f t="shared" si="18"/>
        <v>https://www.laparola.net/testo.php?riferimento=Rm+16&amp;versioni[]=Riveduta</v>
      </c>
      <c r="H134" t="str">
        <f t="shared" si="19"/>
        <v>https://www.laparola.net/testo.php?riferimento=Rm+16&amp;versioni[]=Nuova+Riveduta</v>
      </c>
      <c r="I134" t="str">
        <f t="shared" si="20"/>
        <v>https://www.laparola.net/testo.php?riferimento=Rm+16&amp;versioni[]=Riveduta+2020</v>
      </c>
    </row>
    <row r="135" spans="1:9" x14ac:dyDescent="0.25">
      <c r="A135" t="s">
        <v>14</v>
      </c>
      <c r="B135">
        <v>1</v>
      </c>
      <c r="C135" t="str">
        <f t="shared" si="14"/>
        <v>https://www.laparola.net/testo.php?riferimento=1Cor+1&amp;versioni[]=Martini</v>
      </c>
      <c r="D135" t="str">
        <f t="shared" si="15"/>
        <v>https://www.laparola.net/testo.php?riferimento=1Cor+1&amp;versioni[]=Ricciotti</v>
      </c>
      <c r="E135" t="str">
        <f t="shared" si="16"/>
        <v>https://www.laparola.net/testo.php?riferimento=1Cor+1&amp;versioni[]=Diodati</v>
      </c>
      <c r="F135" t="str">
        <f t="shared" si="17"/>
        <v>https://www.laparola.net/testo.php?riferimento=1Cor+1&amp;versioni[]=Nuova+Diodati</v>
      </c>
      <c r="G135" t="str">
        <f t="shared" si="18"/>
        <v>https://www.laparola.net/testo.php?riferimento=1Cor+1&amp;versioni[]=Riveduta</v>
      </c>
      <c r="H135" t="str">
        <f t="shared" si="19"/>
        <v>https://www.laparola.net/testo.php?riferimento=1Cor+1&amp;versioni[]=Nuova+Riveduta</v>
      </c>
      <c r="I135" t="str">
        <f t="shared" si="20"/>
        <v>https://www.laparola.net/testo.php?riferimento=1Cor+1&amp;versioni[]=Riveduta+2020</v>
      </c>
    </row>
    <row r="136" spans="1:9" x14ac:dyDescent="0.25">
      <c r="A136" t="s">
        <v>14</v>
      </c>
      <c r="B136">
        <v>2</v>
      </c>
      <c r="C136" t="str">
        <f t="shared" si="14"/>
        <v>https://www.laparola.net/testo.php?riferimento=1Cor+2&amp;versioni[]=Martini</v>
      </c>
      <c r="D136" t="str">
        <f t="shared" si="15"/>
        <v>https://www.laparola.net/testo.php?riferimento=1Cor+2&amp;versioni[]=Ricciotti</v>
      </c>
      <c r="E136" t="str">
        <f t="shared" si="16"/>
        <v>https://www.laparola.net/testo.php?riferimento=1Cor+2&amp;versioni[]=Diodati</v>
      </c>
      <c r="F136" t="str">
        <f t="shared" si="17"/>
        <v>https://www.laparola.net/testo.php?riferimento=1Cor+2&amp;versioni[]=Nuova+Diodati</v>
      </c>
      <c r="G136" t="str">
        <f t="shared" si="18"/>
        <v>https://www.laparola.net/testo.php?riferimento=1Cor+2&amp;versioni[]=Riveduta</v>
      </c>
      <c r="H136" t="str">
        <f t="shared" si="19"/>
        <v>https://www.laparola.net/testo.php?riferimento=1Cor+2&amp;versioni[]=Nuova+Riveduta</v>
      </c>
      <c r="I136" t="str">
        <f t="shared" si="20"/>
        <v>https://www.laparola.net/testo.php?riferimento=1Cor+2&amp;versioni[]=Riveduta+2020</v>
      </c>
    </row>
    <row r="137" spans="1:9" x14ac:dyDescent="0.25">
      <c r="A137" t="s">
        <v>14</v>
      </c>
      <c r="B137">
        <v>3</v>
      </c>
      <c r="C137" t="str">
        <f t="shared" si="14"/>
        <v>https://www.laparola.net/testo.php?riferimento=1Cor+3&amp;versioni[]=Martini</v>
      </c>
      <c r="D137" t="str">
        <f t="shared" si="15"/>
        <v>https://www.laparola.net/testo.php?riferimento=1Cor+3&amp;versioni[]=Ricciotti</v>
      </c>
      <c r="E137" t="str">
        <f t="shared" si="16"/>
        <v>https://www.laparola.net/testo.php?riferimento=1Cor+3&amp;versioni[]=Diodati</v>
      </c>
      <c r="F137" t="str">
        <f t="shared" si="17"/>
        <v>https://www.laparola.net/testo.php?riferimento=1Cor+3&amp;versioni[]=Nuova+Diodati</v>
      </c>
      <c r="G137" t="str">
        <f t="shared" si="18"/>
        <v>https://www.laparola.net/testo.php?riferimento=1Cor+3&amp;versioni[]=Riveduta</v>
      </c>
      <c r="H137" t="str">
        <f t="shared" si="19"/>
        <v>https://www.laparola.net/testo.php?riferimento=1Cor+3&amp;versioni[]=Nuova+Riveduta</v>
      </c>
      <c r="I137" t="str">
        <f t="shared" si="20"/>
        <v>https://www.laparola.net/testo.php?riferimento=1Cor+3&amp;versioni[]=Riveduta+2020</v>
      </c>
    </row>
    <row r="138" spans="1:9" x14ac:dyDescent="0.25">
      <c r="A138" t="s">
        <v>14</v>
      </c>
      <c r="B138">
        <v>4</v>
      </c>
      <c r="C138" t="str">
        <f t="shared" si="14"/>
        <v>https://www.laparola.net/testo.php?riferimento=1Cor+4&amp;versioni[]=Martini</v>
      </c>
      <c r="D138" t="str">
        <f t="shared" si="15"/>
        <v>https://www.laparola.net/testo.php?riferimento=1Cor+4&amp;versioni[]=Ricciotti</v>
      </c>
      <c r="E138" t="str">
        <f t="shared" si="16"/>
        <v>https://www.laparola.net/testo.php?riferimento=1Cor+4&amp;versioni[]=Diodati</v>
      </c>
      <c r="F138" t="str">
        <f t="shared" si="17"/>
        <v>https://www.laparola.net/testo.php?riferimento=1Cor+4&amp;versioni[]=Nuova+Diodati</v>
      </c>
      <c r="G138" t="str">
        <f t="shared" si="18"/>
        <v>https://www.laparola.net/testo.php?riferimento=1Cor+4&amp;versioni[]=Riveduta</v>
      </c>
      <c r="H138" t="str">
        <f t="shared" si="19"/>
        <v>https://www.laparola.net/testo.php?riferimento=1Cor+4&amp;versioni[]=Nuova+Riveduta</v>
      </c>
      <c r="I138" t="str">
        <f t="shared" si="20"/>
        <v>https://www.laparola.net/testo.php?riferimento=1Cor+4&amp;versioni[]=Riveduta+2020</v>
      </c>
    </row>
    <row r="139" spans="1:9" x14ac:dyDescent="0.25">
      <c r="A139" t="s">
        <v>14</v>
      </c>
      <c r="B139">
        <v>5</v>
      </c>
      <c r="C139" t="str">
        <f t="shared" si="14"/>
        <v>https://www.laparola.net/testo.php?riferimento=1Cor+5&amp;versioni[]=Martini</v>
      </c>
      <c r="D139" t="str">
        <f t="shared" si="15"/>
        <v>https://www.laparola.net/testo.php?riferimento=1Cor+5&amp;versioni[]=Ricciotti</v>
      </c>
      <c r="E139" t="str">
        <f t="shared" si="16"/>
        <v>https://www.laparola.net/testo.php?riferimento=1Cor+5&amp;versioni[]=Diodati</v>
      </c>
      <c r="F139" t="str">
        <f t="shared" si="17"/>
        <v>https://www.laparola.net/testo.php?riferimento=1Cor+5&amp;versioni[]=Nuova+Diodati</v>
      </c>
      <c r="G139" t="str">
        <f t="shared" si="18"/>
        <v>https://www.laparola.net/testo.php?riferimento=1Cor+5&amp;versioni[]=Riveduta</v>
      </c>
      <c r="H139" t="str">
        <f t="shared" si="19"/>
        <v>https://www.laparola.net/testo.php?riferimento=1Cor+5&amp;versioni[]=Nuova+Riveduta</v>
      </c>
      <c r="I139" t="str">
        <f t="shared" si="20"/>
        <v>https://www.laparola.net/testo.php?riferimento=1Cor+5&amp;versioni[]=Riveduta+2020</v>
      </c>
    </row>
    <row r="140" spans="1:9" x14ac:dyDescent="0.25">
      <c r="A140" t="s">
        <v>14</v>
      </c>
      <c r="B140">
        <v>6</v>
      </c>
      <c r="C140" t="str">
        <f t="shared" si="14"/>
        <v>https://www.laparola.net/testo.php?riferimento=1Cor+6&amp;versioni[]=Martini</v>
      </c>
      <c r="D140" t="str">
        <f t="shared" si="15"/>
        <v>https://www.laparola.net/testo.php?riferimento=1Cor+6&amp;versioni[]=Ricciotti</v>
      </c>
      <c r="E140" t="str">
        <f t="shared" si="16"/>
        <v>https://www.laparola.net/testo.php?riferimento=1Cor+6&amp;versioni[]=Diodati</v>
      </c>
      <c r="F140" t="str">
        <f t="shared" si="17"/>
        <v>https://www.laparola.net/testo.php?riferimento=1Cor+6&amp;versioni[]=Nuova+Diodati</v>
      </c>
      <c r="G140" t="str">
        <f t="shared" si="18"/>
        <v>https://www.laparola.net/testo.php?riferimento=1Cor+6&amp;versioni[]=Riveduta</v>
      </c>
      <c r="H140" t="str">
        <f t="shared" si="19"/>
        <v>https://www.laparola.net/testo.php?riferimento=1Cor+6&amp;versioni[]=Nuova+Riveduta</v>
      </c>
      <c r="I140" t="str">
        <f t="shared" si="20"/>
        <v>https://www.laparola.net/testo.php?riferimento=1Cor+6&amp;versioni[]=Riveduta+2020</v>
      </c>
    </row>
    <row r="141" spans="1:9" x14ac:dyDescent="0.25">
      <c r="A141" t="s">
        <v>14</v>
      </c>
      <c r="B141">
        <v>7</v>
      </c>
      <c r="C141" t="str">
        <f t="shared" si="14"/>
        <v>https://www.laparola.net/testo.php?riferimento=1Cor+7&amp;versioni[]=Martini</v>
      </c>
      <c r="D141" t="str">
        <f t="shared" si="15"/>
        <v>https://www.laparola.net/testo.php?riferimento=1Cor+7&amp;versioni[]=Ricciotti</v>
      </c>
      <c r="E141" t="str">
        <f t="shared" si="16"/>
        <v>https://www.laparola.net/testo.php?riferimento=1Cor+7&amp;versioni[]=Diodati</v>
      </c>
      <c r="F141" t="str">
        <f t="shared" si="17"/>
        <v>https://www.laparola.net/testo.php?riferimento=1Cor+7&amp;versioni[]=Nuova+Diodati</v>
      </c>
      <c r="G141" t="str">
        <f t="shared" si="18"/>
        <v>https://www.laparola.net/testo.php?riferimento=1Cor+7&amp;versioni[]=Riveduta</v>
      </c>
      <c r="H141" t="str">
        <f t="shared" si="19"/>
        <v>https://www.laparola.net/testo.php?riferimento=1Cor+7&amp;versioni[]=Nuova+Riveduta</v>
      </c>
      <c r="I141" t="str">
        <f t="shared" si="20"/>
        <v>https://www.laparola.net/testo.php?riferimento=1Cor+7&amp;versioni[]=Riveduta+2020</v>
      </c>
    </row>
    <row r="142" spans="1:9" x14ac:dyDescent="0.25">
      <c r="A142" t="s">
        <v>14</v>
      </c>
      <c r="B142">
        <v>8</v>
      </c>
      <c r="C142" t="str">
        <f t="shared" si="14"/>
        <v>https://www.laparola.net/testo.php?riferimento=1Cor+8&amp;versioni[]=Martini</v>
      </c>
      <c r="D142" t="str">
        <f t="shared" si="15"/>
        <v>https://www.laparola.net/testo.php?riferimento=1Cor+8&amp;versioni[]=Ricciotti</v>
      </c>
      <c r="E142" t="str">
        <f t="shared" si="16"/>
        <v>https://www.laparola.net/testo.php?riferimento=1Cor+8&amp;versioni[]=Diodati</v>
      </c>
      <c r="F142" t="str">
        <f t="shared" si="17"/>
        <v>https://www.laparola.net/testo.php?riferimento=1Cor+8&amp;versioni[]=Nuova+Diodati</v>
      </c>
      <c r="G142" t="str">
        <f t="shared" si="18"/>
        <v>https://www.laparola.net/testo.php?riferimento=1Cor+8&amp;versioni[]=Riveduta</v>
      </c>
      <c r="H142" t="str">
        <f t="shared" si="19"/>
        <v>https://www.laparola.net/testo.php?riferimento=1Cor+8&amp;versioni[]=Nuova+Riveduta</v>
      </c>
      <c r="I142" t="str">
        <f t="shared" si="20"/>
        <v>https://www.laparola.net/testo.php?riferimento=1Cor+8&amp;versioni[]=Riveduta+2020</v>
      </c>
    </row>
    <row r="143" spans="1:9" x14ac:dyDescent="0.25">
      <c r="A143" t="s">
        <v>14</v>
      </c>
      <c r="B143">
        <v>9</v>
      </c>
      <c r="C143" t="str">
        <f t="shared" si="14"/>
        <v>https://www.laparola.net/testo.php?riferimento=1Cor+9&amp;versioni[]=Martini</v>
      </c>
      <c r="D143" t="str">
        <f t="shared" si="15"/>
        <v>https://www.laparola.net/testo.php?riferimento=1Cor+9&amp;versioni[]=Ricciotti</v>
      </c>
      <c r="E143" t="str">
        <f t="shared" si="16"/>
        <v>https://www.laparola.net/testo.php?riferimento=1Cor+9&amp;versioni[]=Diodati</v>
      </c>
      <c r="F143" t="str">
        <f t="shared" si="17"/>
        <v>https://www.laparola.net/testo.php?riferimento=1Cor+9&amp;versioni[]=Nuova+Diodati</v>
      </c>
      <c r="G143" t="str">
        <f t="shared" si="18"/>
        <v>https://www.laparola.net/testo.php?riferimento=1Cor+9&amp;versioni[]=Riveduta</v>
      </c>
      <c r="H143" t="str">
        <f t="shared" si="19"/>
        <v>https://www.laparola.net/testo.php?riferimento=1Cor+9&amp;versioni[]=Nuova+Riveduta</v>
      </c>
      <c r="I143" t="str">
        <f t="shared" si="20"/>
        <v>https://www.laparola.net/testo.php?riferimento=1Cor+9&amp;versioni[]=Riveduta+2020</v>
      </c>
    </row>
    <row r="144" spans="1:9" x14ac:dyDescent="0.25">
      <c r="A144" t="s">
        <v>14</v>
      </c>
      <c r="B144">
        <v>10</v>
      </c>
      <c r="C144" t="str">
        <f t="shared" si="14"/>
        <v>https://www.laparola.net/testo.php?riferimento=1Cor+10&amp;versioni[]=Martini</v>
      </c>
      <c r="D144" t="str">
        <f t="shared" si="15"/>
        <v>https://www.laparola.net/testo.php?riferimento=1Cor+10&amp;versioni[]=Ricciotti</v>
      </c>
      <c r="E144" t="str">
        <f t="shared" si="16"/>
        <v>https://www.laparola.net/testo.php?riferimento=1Cor+10&amp;versioni[]=Diodati</v>
      </c>
      <c r="F144" t="str">
        <f t="shared" si="17"/>
        <v>https://www.laparola.net/testo.php?riferimento=1Cor+10&amp;versioni[]=Nuova+Diodati</v>
      </c>
      <c r="G144" t="str">
        <f t="shared" si="18"/>
        <v>https://www.laparola.net/testo.php?riferimento=1Cor+10&amp;versioni[]=Riveduta</v>
      </c>
      <c r="H144" t="str">
        <f t="shared" si="19"/>
        <v>https://www.laparola.net/testo.php?riferimento=1Cor+10&amp;versioni[]=Nuova+Riveduta</v>
      </c>
      <c r="I144" t="str">
        <f t="shared" si="20"/>
        <v>https://www.laparola.net/testo.php?riferimento=1Cor+10&amp;versioni[]=Riveduta+2020</v>
      </c>
    </row>
    <row r="145" spans="1:9" x14ac:dyDescent="0.25">
      <c r="A145" t="s">
        <v>14</v>
      </c>
      <c r="B145">
        <v>11</v>
      </c>
      <c r="C145" t="str">
        <f t="shared" si="14"/>
        <v>https://www.laparola.net/testo.php?riferimento=1Cor+11&amp;versioni[]=Martini</v>
      </c>
      <c r="D145" t="str">
        <f t="shared" si="15"/>
        <v>https://www.laparola.net/testo.php?riferimento=1Cor+11&amp;versioni[]=Ricciotti</v>
      </c>
      <c r="E145" t="str">
        <f t="shared" si="16"/>
        <v>https://www.laparola.net/testo.php?riferimento=1Cor+11&amp;versioni[]=Diodati</v>
      </c>
      <c r="F145" t="str">
        <f t="shared" si="17"/>
        <v>https://www.laparola.net/testo.php?riferimento=1Cor+11&amp;versioni[]=Nuova+Diodati</v>
      </c>
      <c r="G145" t="str">
        <f t="shared" si="18"/>
        <v>https://www.laparola.net/testo.php?riferimento=1Cor+11&amp;versioni[]=Riveduta</v>
      </c>
      <c r="H145" t="str">
        <f t="shared" si="19"/>
        <v>https://www.laparola.net/testo.php?riferimento=1Cor+11&amp;versioni[]=Nuova+Riveduta</v>
      </c>
      <c r="I145" t="str">
        <f t="shared" si="20"/>
        <v>https://www.laparola.net/testo.php?riferimento=1Cor+11&amp;versioni[]=Riveduta+2020</v>
      </c>
    </row>
    <row r="146" spans="1:9" x14ac:dyDescent="0.25">
      <c r="A146" t="s">
        <v>14</v>
      </c>
      <c r="B146">
        <v>12</v>
      </c>
      <c r="C146" t="str">
        <f t="shared" si="14"/>
        <v>https://www.laparola.net/testo.php?riferimento=1Cor+12&amp;versioni[]=Martini</v>
      </c>
      <c r="D146" t="str">
        <f t="shared" si="15"/>
        <v>https://www.laparola.net/testo.php?riferimento=1Cor+12&amp;versioni[]=Ricciotti</v>
      </c>
      <c r="E146" t="str">
        <f t="shared" si="16"/>
        <v>https://www.laparola.net/testo.php?riferimento=1Cor+12&amp;versioni[]=Diodati</v>
      </c>
      <c r="F146" t="str">
        <f t="shared" si="17"/>
        <v>https://www.laparola.net/testo.php?riferimento=1Cor+12&amp;versioni[]=Nuova+Diodati</v>
      </c>
      <c r="G146" t="str">
        <f t="shared" si="18"/>
        <v>https://www.laparola.net/testo.php?riferimento=1Cor+12&amp;versioni[]=Riveduta</v>
      </c>
      <c r="H146" t="str">
        <f t="shared" si="19"/>
        <v>https://www.laparola.net/testo.php?riferimento=1Cor+12&amp;versioni[]=Nuova+Riveduta</v>
      </c>
      <c r="I146" t="str">
        <f t="shared" si="20"/>
        <v>https://www.laparola.net/testo.php?riferimento=1Cor+12&amp;versioni[]=Riveduta+2020</v>
      </c>
    </row>
    <row r="147" spans="1:9" x14ac:dyDescent="0.25">
      <c r="A147" t="s">
        <v>14</v>
      </c>
      <c r="B147">
        <v>13</v>
      </c>
      <c r="C147" t="str">
        <f t="shared" si="14"/>
        <v>https://www.laparola.net/testo.php?riferimento=1Cor+13&amp;versioni[]=Martini</v>
      </c>
      <c r="D147" t="str">
        <f t="shared" si="15"/>
        <v>https://www.laparola.net/testo.php?riferimento=1Cor+13&amp;versioni[]=Ricciotti</v>
      </c>
      <c r="E147" t="str">
        <f t="shared" si="16"/>
        <v>https://www.laparola.net/testo.php?riferimento=1Cor+13&amp;versioni[]=Diodati</v>
      </c>
      <c r="F147" t="str">
        <f t="shared" si="17"/>
        <v>https://www.laparola.net/testo.php?riferimento=1Cor+13&amp;versioni[]=Nuova+Diodati</v>
      </c>
      <c r="G147" t="str">
        <f t="shared" si="18"/>
        <v>https://www.laparola.net/testo.php?riferimento=1Cor+13&amp;versioni[]=Riveduta</v>
      </c>
      <c r="H147" t="str">
        <f t="shared" si="19"/>
        <v>https://www.laparola.net/testo.php?riferimento=1Cor+13&amp;versioni[]=Nuova+Riveduta</v>
      </c>
      <c r="I147" t="str">
        <f t="shared" si="20"/>
        <v>https://www.laparola.net/testo.php?riferimento=1Cor+13&amp;versioni[]=Riveduta+2020</v>
      </c>
    </row>
    <row r="148" spans="1:9" x14ac:dyDescent="0.25">
      <c r="A148" t="s">
        <v>14</v>
      </c>
      <c r="B148">
        <v>14</v>
      </c>
      <c r="C148" t="str">
        <f t="shared" si="14"/>
        <v>https://www.laparola.net/testo.php?riferimento=1Cor+14&amp;versioni[]=Martini</v>
      </c>
      <c r="D148" t="str">
        <f t="shared" si="15"/>
        <v>https://www.laparola.net/testo.php?riferimento=1Cor+14&amp;versioni[]=Ricciotti</v>
      </c>
      <c r="E148" t="str">
        <f t="shared" si="16"/>
        <v>https://www.laparola.net/testo.php?riferimento=1Cor+14&amp;versioni[]=Diodati</v>
      </c>
      <c r="F148" t="str">
        <f t="shared" si="17"/>
        <v>https://www.laparola.net/testo.php?riferimento=1Cor+14&amp;versioni[]=Nuova+Diodati</v>
      </c>
      <c r="G148" t="str">
        <f t="shared" si="18"/>
        <v>https://www.laparola.net/testo.php?riferimento=1Cor+14&amp;versioni[]=Riveduta</v>
      </c>
      <c r="H148" t="str">
        <f t="shared" si="19"/>
        <v>https://www.laparola.net/testo.php?riferimento=1Cor+14&amp;versioni[]=Nuova+Riveduta</v>
      </c>
      <c r="I148" t="str">
        <f t="shared" si="20"/>
        <v>https://www.laparola.net/testo.php?riferimento=1Cor+14&amp;versioni[]=Riveduta+2020</v>
      </c>
    </row>
    <row r="149" spans="1:9" x14ac:dyDescent="0.25">
      <c r="A149" t="s">
        <v>14</v>
      </c>
      <c r="B149">
        <v>15</v>
      </c>
      <c r="C149" t="str">
        <f t="shared" si="14"/>
        <v>https://www.laparola.net/testo.php?riferimento=1Cor+15&amp;versioni[]=Martini</v>
      </c>
      <c r="D149" t="str">
        <f t="shared" si="15"/>
        <v>https://www.laparola.net/testo.php?riferimento=1Cor+15&amp;versioni[]=Ricciotti</v>
      </c>
      <c r="E149" t="str">
        <f t="shared" si="16"/>
        <v>https://www.laparola.net/testo.php?riferimento=1Cor+15&amp;versioni[]=Diodati</v>
      </c>
      <c r="F149" t="str">
        <f t="shared" si="17"/>
        <v>https://www.laparola.net/testo.php?riferimento=1Cor+15&amp;versioni[]=Nuova+Diodati</v>
      </c>
      <c r="G149" t="str">
        <f t="shared" si="18"/>
        <v>https://www.laparola.net/testo.php?riferimento=1Cor+15&amp;versioni[]=Riveduta</v>
      </c>
      <c r="H149" t="str">
        <f t="shared" si="19"/>
        <v>https://www.laparola.net/testo.php?riferimento=1Cor+15&amp;versioni[]=Nuova+Riveduta</v>
      </c>
      <c r="I149" t="str">
        <f t="shared" si="20"/>
        <v>https://www.laparola.net/testo.php?riferimento=1Cor+15&amp;versioni[]=Riveduta+2020</v>
      </c>
    </row>
    <row r="150" spans="1:9" x14ac:dyDescent="0.25">
      <c r="A150" t="s">
        <v>14</v>
      </c>
      <c r="B150">
        <v>16</v>
      </c>
      <c r="C150" t="str">
        <f t="shared" si="14"/>
        <v>https://www.laparola.net/testo.php?riferimento=1Cor+16&amp;versioni[]=Martini</v>
      </c>
      <c r="D150" t="str">
        <f t="shared" si="15"/>
        <v>https://www.laparola.net/testo.php?riferimento=1Cor+16&amp;versioni[]=Ricciotti</v>
      </c>
      <c r="E150" t="str">
        <f t="shared" si="16"/>
        <v>https://www.laparola.net/testo.php?riferimento=1Cor+16&amp;versioni[]=Diodati</v>
      </c>
      <c r="F150" t="str">
        <f t="shared" si="17"/>
        <v>https://www.laparola.net/testo.php?riferimento=1Cor+16&amp;versioni[]=Nuova+Diodati</v>
      </c>
      <c r="G150" t="str">
        <f t="shared" si="18"/>
        <v>https://www.laparola.net/testo.php?riferimento=1Cor+16&amp;versioni[]=Riveduta</v>
      </c>
      <c r="H150" t="str">
        <f t="shared" si="19"/>
        <v>https://www.laparola.net/testo.php?riferimento=1Cor+16&amp;versioni[]=Nuova+Riveduta</v>
      </c>
      <c r="I150" t="str">
        <f t="shared" si="20"/>
        <v>https://www.laparola.net/testo.php?riferimento=1Cor+16&amp;versioni[]=Riveduta+2020</v>
      </c>
    </row>
    <row r="151" spans="1:9" x14ac:dyDescent="0.25">
      <c r="A151" t="s">
        <v>16</v>
      </c>
      <c r="B151">
        <v>1</v>
      </c>
      <c r="C151" t="str">
        <f t="shared" si="14"/>
        <v>https://www.laparola.net/testo.php?riferimento=2Cor+1&amp;versioni[]=Martini</v>
      </c>
      <c r="D151" t="str">
        <f t="shared" si="15"/>
        <v>https://www.laparola.net/testo.php?riferimento=2Cor+1&amp;versioni[]=Ricciotti</v>
      </c>
      <c r="E151" t="str">
        <f t="shared" si="16"/>
        <v>https://www.laparola.net/testo.php?riferimento=2Cor+1&amp;versioni[]=Diodati</v>
      </c>
      <c r="F151" t="str">
        <f t="shared" si="17"/>
        <v>https://www.laparola.net/testo.php?riferimento=2Cor+1&amp;versioni[]=Nuova+Diodati</v>
      </c>
      <c r="G151" t="str">
        <f t="shared" si="18"/>
        <v>https://www.laparola.net/testo.php?riferimento=2Cor+1&amp;versioni[]=Riveduta</v>
      </c>
      <c r="H151" t="str">
        <f t="shared" si="19"/>
        <v>https://www.laparola.net/testo.php?riferimento=2Cor+1&amp;versioni[]=Nuova+Riveduta</v>
      </c>
      <c r="I151" t="str">
        <f t="shared" si="20"/>
        <v>https://www.laparola.net/testo.php?riferimento=2Cor+1&amp;versioni[]=Riveduta+2020</v>
      </c>
    </row>
    <row r="152" spans="1:9" x14ac:dyDescent="0.25">
      <c r="A152" t="s">
        <v>16</v>
      </c>
      <c r="B152">
        <v>2</v>
      </c>
      <c r="C152" t="str">
        <f t="shared" si="14"/>
        <v>https://www.laparola.net/testo.php?riferimento=2Cor+2&amp;versioni[]=Martini</v>
      </c>
      <c r="D152" t="str">
        <f t="shared" si="15"/>
        <v>https://www.laparola.net/testo.php?riferimento=2Cor+2&amp;versioni[]=Ricciotti</v>
      </c>
      <c r="E152" t="str">
        <f t="shared" si="16"/>
        <v>https://www.laparola.net/testo.php?riferimento=2Cor+2&amp;versioni[]=Diodati</v>
      </c>
      <c r="F152" t="str">
        <f t="shared" si="17"/>
        <v>https://www.laparola.net/testo.php?riferimento=2Cor+2&amp;versioni[]=Nuova+Diodati</v>
      </c>
      <c r="G152" t="str">
        <f t="shared" si="18"/>
        <v>https://www.laparola.net/testo.php?riferimento=2Cor+2&amp;versioni[]=Riveduta</v>
      </c>
      <c r="H152" t="str">
        <f t="shared" si="19"/>
        <v>https://www.laparola.net/testo.php?riferimento=2Cor+2&amp;versioni[]=Nuova+Riveduta</v>
      </c>
      <c r="I152" t="str">
        <f t="shared" si="20"/>
        <v>https://www.laparola.net/testo.php?riferimento=2Cor+2&amp;versioni[]=Riveduta+2020</v>
      </c>
    </row>
    <row r="153" spans="1:9" x14ac:dyDescent="0.25">
      <c r="A153" t="s">
        <v>16</v>
      </c>
      <c r="B153">
        <v>3</v>
      </c>
      <c r="C153" t="str">
        <f t="shared" si="14"/>
        <v>https://www.laparola.net/testo.php?riferimento=2Cor+3&amp;versioni[]=Martini</v>
      </c>
      <c r="D153" t="str">
        <f t="shared" si="15"/>
        <v>https://www.laparola.net/testo.php?riferimento=2Cor+3&amp;versioni[]=Ricciotti</v>
      </c>
      <c r="E153" t="str">
        <f t="shared" si="16"/>
        <v>https://www.laparola.net/testo.php?riferimento=2Cor+3&amp;versioni[]=Diodati</v>
      </c>
      <c r="F153" t="str">
        <f t="shared" si="17"/>
        <v>https://www.laparola.net/testo.php?riferimento=2Cor+3&amp;versioni[]=Nuova+Diodati</v>
      </c>
      <c r="G153" t="str">
        <f t="shared" si="18"/>
        <v>https://www.laparola.net/testo.php?riferimento=2Cor+3&amp;versioni[]=Riveduta</v>
      </c>
      <c r="H153" t="str">
        <f t="shared" si="19"/>
        <v>https://www.laparola.net/testo.php?riferimento=2Cor+3&amp;versioni[]=Nuova+Riveduta</v>
      </c>
      <c r="I153" t="str">
        <f t="shared" si="20"/>
        <v>https://www.laparola.net/testo.php?riferimento=2Cor+3&amp;versioni[]=Riveduta+2020</v>
      </c>
    </row>
    <row r="154" spans="1:9" x14ac:dyDescent="0.25">
      <c r="A154" t="s">
        <v>16</v>
      </c>
      <c r="B154">
        <v>4</v>
      </c>
      <c r="C154" t="str">
        <f t="shared" si="14"/>
        <v>https://www.laparola.net/testo.php?riferimento=2Cor+4&amp;versioni[]=Martini</v>
      </c>
      <c r="D154" t="str">
        <f t="shared" si="15"/>
        <v>https://www.laparola.net/testo.php?riferimento=2Cor+4&amp;versioni[]=Ricciotti</v>
      </c>
      <c r="E154" t="str">
        <f t="shared" si="16"/>
        <v>https://www.laparola.net/testo.php?riferimento=2Cor+4&amp;versioni[]=Diodati</v>
      </c>
      <c r="F154" t="str">
        <f t="shared" si="17"/>
        <v>https://www.laparola.net/testo.php?riferimento=2Cor+4&amp;versioni[]=Nuova+Diodati</v>
      </c>
      <c r="G154" t="str">
        <f t="shared" si="18"/>
        <v>https://www.laparola.net/testo.php?riferimento=2Cor+4&amp;versioni[]=Riveduta</v>
      </c>
      <c r="H154" t="str">
        <f t="shared" si="19"/>
        <v>https://www.laparola.net/testo.php?riferimento=2Cor+4&amp;versioni[]=Nuova+Riveduta</v>
      </c>
      <c r="I154" t="str">
        <f t="shared" si="20"/>
        <v>https://www.laparola.net/testo.php?riferimento=2Cor+4&amp;versioni[]=Riveduta+2020</v>
      </c>
    </row>
    <row r="155" spans="1:9" x14ac:dyDescent="0.25">
      <c r="A155" t="s">
        <v>16</v>
      </c>
      <c r="B155">
        <v>5</v>
      </c>
      <c r="C155" t="str">
        <f t="shared" si="14"/>
        <v>https://www.laparola.net/testo.php?riferimento=2Cor+5&amp;versioni[]=Martini</v>
      </c>
      <c r="D155" t="str">
        <f t="shared" si="15"/>
        <v>https://www.laparola.net/testo.php?riferimento=2Cor+5&amp;versioni[]=Ricciotti</v>
      </c>
      <c r="E155" t="str">
        <f t="shared" si="16"/>
        <v>https://www.laparola.net/testo.php?riferimento=2Cor+5&amp;versioni[]=Diodati</v>
      </c>
      <c r="F155" t="str">
        <f t="shared" si="17"/>
        <v>https://www.laparola.net/testo.php?riferimento=2Cor+5&amp;versioni[]=Nuova+Diodati</v>
      </c>
      <c r="G155" t="str">
        <f t="shared" si="18"/>
        <v>https://www.laparola.net/testo.php?riferimento=2Cor+5&amp;versioni[]=Riveduta</v>
      </c>
      <c r="H155" t="str">
        <f t="shared" si="19"/>
        <v>https://www.laparola.net/testo.php?riferimento=2Cor+5&amp;versioni[]=Nuova+Riveduta</v>
      </c>
      <c r="I155" t="str">
        <f t="shared" si="20"/>
        <v>https://www.laparola.net/testo.php?riferimento=2Cor+5&amp;versioni[]=Riveduta+2020</v>
      </c>
    </row>
    <row r="156" spans="1:9" x14ac:dyDescent="0.25">
      <c r="A156" t="s">
        <v>16</v>
      </c>
      <c r="B156">
        <v>6</v>
      </c>
      <c r="C156" t="str">
        <f t="shared" si="14"/>
        <v>https://www.laparola.net/testo.php?riferimento=2Cor+6&amp;versioni[]=Martini</v>
      </c>
      <c r="D156" t="str">
        <f t="shared" si="15"/>
        <v>https://www.laparola.net/testo.php?riferimento=2Cor+6&amp;versioni[]=Ricciotti</v>
      </c>
      <c r="E156" t="str">
        <f t="shared" si="16"/>
        <v>https://www.laparola.net/testo.php?riferimento=2Cor+6&amp;versioni[]=Diodati</v>
      </c>
      <c r="F156" t="str">
        <f t="shared" si="17"/>
        <v>https://www.laparola.net/testo.php?riferimento=2Cor+6&amp;versioni[]=Nuova+Diodati</v>
      </c>
      <c r="G156" t="str">
        <f t="shared" si="18"/>
        <v>https://www.laparola.net/testo.php?riferimento=2Cor+6&amp;versioni[]=Riveduta</v>
      </c>
      <c r="H156" t="str">
        <f t="shared" si="19"/>
        <v>https://www.laparola.net/testo.php?riferimento=2Cor+6&amp;versioni[]=Nuova+Riveduta</v>
      </c>
      <c r="I156" t="str">
        <f t="shared" si="20"/>
        <v>https://www.laparola.net/testo.php?riferimento=2Cor+6&amp;versioni[]=Riveduta+2020</v>
      </c>
    </row>
    <row r="157" spans="1:9" x14ac:dyDescent="0.25">
      <c r="A157" t="s">
        <v>16</v>
      </c>
      <c r="B157">
        <v>7</v>
      </c>
      <c r="C157" t="str">
        <f t="shared" si="14"/>
        <v>https://www.laparola.net/testo.php?riferimento=2Cor+7&amp;versioni[]=Martini</v>
      </c>
      <c r="D157" t="str">
        <f t="shared" si="15"/>
        <v>https://www.laparola.net/testo.php?riferimento=2Cor+7&amp;versioni[]=Ricciotti</v>
      </c>
      <c r="E157" t="str">
        <f t="shared" si="16"/>
        <v>https://www.laparola.net/testo.php?riferimento=2Cor+7&amp;versioni[]=Diodati</v>
      </c>
      <c r="F157" t="str">
        <f t="shared" si="17"/>
        <v>https://www.laparola.net/testo.php?riferimento=2Cor+7&amp;versioni[]=Nuova+Diodati</v>
      </c>
      <c r="G157" t="str">
        <f t="shared" si="18"/>
        <v>https://www.laparola.net/testo.php?riferimento=2Cor+7&amp;versioni[]=Riveduta</v>
      </c>
      <c r="H157" t="str">
        <f t="shared" si="19"/>
        <v>https://www.laparola.net/testo.php?riferimento=2Cor+7&amp;versioni[]=Nuova+Riveduta</v>
      </c>
      <c r="I157" t="str">
        <f t="shared" si="20"/>
        <v>https://www.laparola.net/testo.php?riferimento=2Cor+7&amp;versioni[]=Riveduta+2020</v>
      </c>
    </row>
    <row r="158" spans="1:9" x14ac:dyDescent="0.25">
      <c r="A158" t="s">
        <v>16</v>
      </c>
      <c r="B158">
        <v>8</v>
      </c>
      <c r="C158" t="str">
        <f t="shared" si="14"/>
        <v>https://www.laparola.net/testo.php?riferimento=2Cor+8&amp;versioni[]=Martini</v>
      </c>
      <c r="D158" t="str">
        <f t="shared" si="15"/>
        <v>https://www.laparola.net/testo.php?riferimento=2Cor+8&amp;versioni[]=Ricciotti</v>
      </c>
      <c r="E158" t="str">
        <f t="shared" si="16"/>
        <v>https://www.laparola.net/testo.php?riferimento=2Cor+8&amp;versioni[]=Diodati</v>
      </c>
      <c r="F158" t="str">
        <f t="shared" si="17"/>
        <v>https://www.laparola.net/testo.php?riferimento=2Cor+8&amp;versioni[]=Nuova+Diodati</v>
      </c>
      <c r="G158" t="str">
        <f t="shared" si="18"/>
        <v>https://www.laparola.net/testo.php?riferimento=2Cor+8&amp;versioni[]=Riveduta</v>
      </c>
      <c r="H158" t="str">
        <f t="shared" si="19"/>
        <v>https://www.laparola.net/testo.php?riferimento=2Cor+8&amp;versioni[]=Nuova+Riveduta</v>
      </c>
      <c r="I158" t="str">
        <f t="shared" si="20"/>
        <v>https://www.laparola.net/testo.php?riferimento=2Cor+8&amp;versioni[]=Riveduta+2020</v>
      </c>
    </row>
    <row r="159" spans="1:9" x14ac:dyDescent="0.25">
      <c r="A159" t="s">
        <v>16</v>
      </c>
      <c r="B159">
        <v>9</v>
      </c>
      <c r="C159" t="str">
        <f t="shared" si="14"/>
        <v>https://www.laparola.net/testo.php?riferimento=2Cor+9&amp;versioni[]=Martini</v>
      </c>
      <c r="D159" t="str">
        <f t="shared" si="15"/>
        <v>https://www.laparola.net/testo.php?riferimento=2Cor+9&amp;versioni[]=Ricciotti</v>
      </c>
      <c r="E159" t="str">
        <f t="shared" si="16"/>
        <v>https://www.laparola.net/testo.php?riferimento=2Cor+9&amp;versioni[]=Diodati</v>
      </c>
      <c r="F159" t="str">
        <f t="shared" si="17"/>
        <v>https://www.laparola.net/testo.php?riferimento=2Cor+9&amp;versioni[]=Nuova+Diodati</v>
      </c>
      <c r="G159" t="str">
        <f t="shared" si="18"/>
        <v>https://www.laparola.net/testo.php?riferimento=2Cor+9&amp;versioni[]=Riveduta</v>
      </c>
      <c r="H159" t="str">
        <f t="shared" si="19"/>
        <v>https://www.laparola.net/testo.php?riferimento=2Cor+9&amp;versioni[]=Nuova+Riveduta</v>
      </c>
      <c r="I159" t="str">
        <f t="shared" si="20"/>
        <v>https://www.laparola.net/testo.php?riferimento=2Cor+9&amp;versioni[]=Riveduta+2020</v>
      </c>
    </row>
    <row r="160" spans="1:9" x14ac:dyDescent="0.25">
      <c r="A160" t="s">
        <v>16</v>
      </c>
      <c r="B160">
        <v>10</v>
      </c>
      <c r="C160" t="str">
        <f t="shared" si="14"/>
        <v>https://www.laparola.net/testo.php?riferimento=2Cor+10&amp;versioni[]=Martini</v>
      </c>
      <c r="D160" t="str">
        <f t="shared" si="15"/>
        <v>https://www.laparola.net/testo.php?riferimento=2Cor+10&amp;versioni[]=Ricciotti</v>
      </c>
      <c r="E160" t="str">
        <f t="shared" si="16"/>
        <v>https://www.laparola.net/testo.php?riferimento=2Cor+10&amp;versioni[]=Diodati</v>
      </c>
      <c r="F160" t="str">
        <f t="shared" si="17"/>
        <v>https://www.laparola.net/testo.php?riferimento=2Cor+10&amp;versioni[]=Nuova+Diodati</v>
      </c>
      <c r="G160" t="str">
        <f t="shared" si="18"/>
        <v>https://www.laparola.net/testo.php?riferimento=2Cor+10&amp;versioni[]=Riveduta</v>
      </c>
      <c r="H160" t="str">
        <f t="shared" si="19"/>
        <v>https://www.laparola.net/testo.php?riferimento=2Cor+10&amp;versioni[]=Nuova+Riveduta</v>
      </c>
      <c r="I160" t="str">
        <f t="shared" si="20"/>
        <v>https://www.laparola.net/testo.php?riferimento=2Cor+10&amp;versioni[]=Riveduta+2020</v>
      </c>
    </row>
    <row r="161" spans="1:9" x14ac:dyDescent="0.25">
      <c r="A161" t="s">
        <v>16</v>
      </c>
      <c r="B161">
        <v>11</v>
      </c>
      <c r="C161" t="str">
        <f t="shared" si="14"/>
        <v>https://www.laparola.net/testo.php?riferimento=2Cor+11&amp;versioni[]=Martini</v>
      </c>
      <c r="D161" t="str">
        <f t="shared" si="15"/>
        <v>https://www.laparola.net/testo.php?riferimento=2Cor+11&amp;versioni[]=Ricciotti</v>
      </c>
      <c r="E161" t="str">
        <f t="shared" si="16"/>
        <v>https://www.laparola.net/testo.php?riferimento=2Cor+11&amp;versioni[]=Diodati</v>
      </c>
      <c r="F161" t="str">
        <f t="shared" si="17"/>
        <v>https://www.laparola.net/testo.php?riferimento=2Cor+11&amp;versioni[]=Nuova+Diodati</v>
      </c>
      <c r="G161" t="str">
        <f t="shared" si="18"/>
        <v>https://www.laparola.net/testo.php?riferimento=2Cor+11&amp;versioni[]=Riveduta</v>
      </c>
      <c r="H161" t="str">
        <f t="shared" si="19"/>
        <v>https://www.laparola.net/testo.php?riferimento=2Cor+11&amp;versioni[]=Nuova+Riveduta</v>
      </c>
      <c r="I161" t="str">
        <f t="shared" si="20"/>
        <v>https://www.laparola.net/testo.php?riferimento=2Cor+11&amp;versioni[]=Riveduta+2020</v>
      </c>
    </row>
    <row r="162" spans="1:9" x14ac:dyDescent="0.25">
      <c r="A162" t="s">
        <v>16</v>
      </c>
      <c r="B162">
        <v>12</v>
      </c>
      <c r="C162" t="str">
        <f t="shared" si="14"/>
        <v>https://www.laparola.net/testo.php?riferimento=2Cor+12&amp;versioni[]=Martini</v>
      </c>
      <c r="D162" t="str">
        <f t="shared" si="15"/>
        <v>https://www.laparola.net/testo.php?riferimento=2Cor+12&amp;versioni[]=Ricciotti</v>
      </c>
      <c r="E162" t="str">
        <f t="shared" si="16"/>
        <v>https://www.laparola.net/testo.php?riferimento=2Cor+12&amp;versioni[]=Diodati</v>
      </c>
      <c r="F162" t="str">
        <f t="shared" si="17"/>
        <v>https://www.laparola.net/testo.php?riferimento=2Cor+12&amp;versioni[]=Nuova+Diodati</v>
      </c>
      <c r="G162" t="str">
        <f t="shared" si="18"/>
        <v>https://www.laparola.net/testo.php?riferimento=2Cor+12&amp;versioni[]=Riveduta</v>
      </c>
      <c r="H162" t="str">
        <f t="shared" si="19"/>
        <v>https://www.laparola.net/testo.php?riferimento=2Cor+12&amp;versioni[]=Nuova+Riveduta</v>
      </c>
      <c r="I162" t="str">
        <f t="shared" si="20"/>
        <v>https://www.laparola.net/testo.php?riferimento=2Cor+12&amp;versioni[]=Riveduta+2020</v>
      </c>
    </row>
    <row r="163" spans="1:9" x14ac:dyDescent="0.25">
      <c r="A163" t="s">
        <v>16</v>
      </c>
      <c r="B163">
        <v>13</v>
      </c>
      <c r="C163" t="str">
        <f t="shared" si="14"/>
        <v>https://www.laparola.net/testo.php?riferimento=2Cor+13&amp;versioni[]=Martini</v>
      </c>
      <c r="D163" t="str">
        <f t="shared" si="15"/>
        <v>https://www.laparola.net/testo.php?riferimento=2Cor+13&amp;versioni[]=Ricciotti</v>
      </c>
      <c r="E163" t="str">
        <f t="shared" si="16"/>
        <v>https://www.laparola.net/testo.php?riferimento=2Cor+13&amp;versioni[]=Diodati</v>
      </c>
      <c r="F163" t="str">
        <f t="shared" si="17"/>
        <v>https://www.laparola.net/testo.php?riferimento=2Cor+13&amp;versioni[]=Nuova+Diodati</v>
      </c>
      <c r="G163" t="str">
        <f t="shared" si="18"/>
        <v>https://www.laparola.net/testo.php?riferimento=2Cor+13&amp;versioni[]=Riveduta</v>
      </c>
      <c r="H163" t="str">
        <f t="shared" si="19"/>
        <v>https://www.laparola.net/testo.php?riferimento=2Cor+13&amp;versioni[]=Nuova+Riveduta</v>
      </c>
      <c r="I163" t="str">
        <f t="shared" si="20"/>
        <v>https://www.laparola.net/testo.php?riferimento=2Cor+13&amp;versioni[]=Riveduta+2020</v>
      </c>
    </row>
    <row r="164" spans="1:9" x14ac:dyDescent="0.25">
      <c r="A164" t="s">
        <v>18</v>
      </c>
      <c r="B164">
        <v>1</v>
      </c>
      <c r="C164" t="str">
        <f t="shared" si="14"/>
        <v>https://www.laparola.net/testo.php?riferimento=Gal+1&amp;versioni[]=Martini</v>
      </c>
      <c r="D164" t="str">
        <f t="shared" si="15"/>
        <v>https://www.laparola.net/testo.php?riferimento=Gal+1&amp;versioni[]=Ricciotti</v>
      </c>
      <c r="E164" t="str">
        <f t="shared" si="16"/>
        <v>https://www.laparola.net/testo.php?riferimento=Gal+1&amp;versioni[]=Diodati</v>
      </c>
      <c r="F164" t="str">
        <f t="shared" si="17"/>
        <v>https://www.laparola.net/testo.php?riferimento=Gal+1&amp;versioni[]=Nuova+Diodati</v>
      </c>
      <c r="G164" t="str">
        <f t="shared" si="18"/>
        <v>https://www.laparola.net/testo.php?riferimento=Gal+1&amp;versioni[]=Riveduta</v>
      </c>
      <c r="H164" t="str">
        <f t="shared" si="19"/>
        <v>https://www.laparola.net/testo.php?riferimento=Gal+1&amp;versioni[]=Nuova+Riveduta</v>
      </c>
      <c r="I164" t="str">
        <f t="shared" si="20"/>
        <v>https://www.laparola.net/testo.php?riferimento=Gal+1&amp;versioni[]=Riveduta+2020</v>
      </c>
    </row>
    <row r="165" spans="1:9" x14ac:dyDescent="0.25">
      <c r="A165" t="s">
        <v>18</v>
      </c>
      <c r="B165">
        <v>2</v>
      </c>
      <c r="C165" t="str">
        <f t="shared" si="14"/>
        <v>https://www.laparola.net/testo.php?riferimento=Gal+2&amp;versioni[]=Martini</v>
      </c>
      <c r="D165" t="str">
        <f t="shared" si="15"/>
        <v>https://www.laparola.net/testo.php?riferimento=Gal+2&amp;versioni[]=Ricciotti</v>
      </c>
      <c r="E165" t="str">
        <f t="shared" si="16"/>
        <v>https://www.laparola.net/testo.php?riferimento=Gal+2&amp;versioni[]=Diodati</v>
      </c>
      <c r="F165" t="str">
        <f t="shared" si="17"/>
        <v>https://www.laparola.net/testo.php?riferimento=Gal+2&amp;versioni[]=Nuova+Diodati</v>
      </c>
      <c r="G165" t="str">
        <f t="shared" si="18"/>
        <v>https://www.laparola.net/testo.php?riferimento=Gal+2&amp;versioni[]=Riveduta</v>
      </c>
      <c r="H165" t="str">
        <f t="shared" si="19"/>
        <v>https://www.laparola.net/testo.php?riferimento=Gal+2&amp;versioni[]=Nuova+Riveduta</v>
      </c>
      <c r="I165" t="str">
        <f t="shared" si="20"/>
        <v>https://www.laparola.net/testo.php?riferimento=Gal+2&amp;versioni[]=Riveduta+2020</v>
      </c>
    </row>
    <row r="166" spans="1:9" x14ac:dyDescent="0.25">
      <c r="A166" t="s">
        <v>18</v>
      </c>
      <c r="B166">
        <v>3</v>
      </c>
      <c r="C166" t="str">
        <f t="shared" si="14"/>
        <v>https://www.laparola.net/testo.php?riferimento=Gal+3&amp;versioni[]=Martini</v>
      </c>
      <c r="D166" t="str">
        <f t="shared" si="15"/>
        <v>https://www.laparola.net/testo.php?riferimento=Gal+3&amp;versioni[]=Ricciotti</v>
      </c>
      <c r="E166" t="str">
        <f t="shared" si="16"/>
        <v>https://www.laparola.net/testo.php?riferimento=Gal+3&amp;versioni[]=Diodati</v>
      </c>
      <c r="F166" t="str">
        <f t="shared" si="17"/>
        <v>https://www.laparola.net/testo.php?riferimento=Gal+3&amp;versioni[]=Nuova+Diodati</v>
      </c>
      <c r="G166" t="str">
        <f t="shared" si="18"/>
        <v>https://www.laparola.net/testo.php?riferimento=Gal+3&amp;versioni[]=Riveduta</v>
      </c>
      <c r="H166" t="str">
        <f t="shared" si="19"/>
        <v>https://www.laparola.net/testo.php?riferimento=Gal+3&amp;versioni[]=Nuova+Riveduta</v>
      </c>
      <c r="I166" t="str">
        <f t="shared" si="20"/>
        <v>https://www.laparola.net/testo.php?riferimento=Gal+3&amp;versioni[]=Riveduta+2020</v>
      </c>
    </row>
    <row r="167" spans="1:9" x14ac:dyDescent="0.25">
      <c r="A167" t="s">
        <v>18</v>
      </c>
      <c r="B167">
        <v>4</v>
      </c>
      <c r="C167" t="str">
        <f t="shared" si="14"/>
        <v>https://www.laparola.net/testo.php?riferimento=Gal+4&amp;versioni[]=Martini</v>
      </c>
      <c r="D167" t="str">
        <f t="shared" si="15"/>
        <v>https://www.laparola.net/testo.php?riferimento=Gal+4&amp;versioni[]=Ricciotti</v>
      </c>
      <c r="E167" t="str">
        <f t="shared" si="16"/>
        <v>https://www.laparola.net/testo.php?riferimento=Gal+4&amp;versioni[]=Diodati</v>
      </c>
      <c r="F167" t="str">
        <f t="shared" si="17"/>
        <v>https://www.laparola.net/testo.php?riferimento=Gal+4&amp;versioni[]=Nuova+Diodati</v>
      </c>
      <c r="G167" t="str">
        <f t="shared" si="18"/>
        <v>https://www.laparola.net/testo.php?riferimento=Gal+4&amp;versioni[]=Riveduta</v>
      </c>
      <c r="H167" t="str">
        <f t="shared" si="19"/>
        <v>https://www.laparola.net/testo.php?riferimento=Gal+4&amp;versioni[]=Nuova+Riveduta</v>
      </c>
      <c r="I167" t="str">
        <f t="shared" si="20"/>
        <v>https://www.laparola.net/testo.php?riferimento=Gal+4&amp;versioni[]=Riveduta+2020</v>
      </c>
    </row>
    <row r="168" spans="1:9" x14ac:dyDescent="0.25">
      <c r="A168" t="s">
        <v>18</v>
      </c>
      <c r="B168">
        <v>5</v>
      </c>
      <c r="C168" t="str">
        <f t="shared" si="14"/>
        <v>https://www.laparola.net/testo.php?riferimento=Gal+5&amp;versioni[]=Martini</v>
      </c>
      <c r="D168" t="str">
        <f t="shared" si="15"/>
        <v>https://www.laparola.net/testo.php?riferimento=Gal+5&amp;versioni[]=Ricciotti</v>
      </c>
      <c r="E168" t="str">
        <f t="shared" si="16"/>
        <v>https://www.laparola.net/testo.php?riferimento=Gal+5&amp;versioni[]=Diodati</v>
      </c>
      <c r="F168" t="str">
        <f t="shared" si="17"/>
        <v>https://www.laparola.net/testo.php?riferimento=Gal+5&amp;versioni[]=Nuova+Diodati</v>
      </c>
      <c r="G168" t="str">
        <f t="shared" si="18"/>
        <v>https://www.laparola.net/testo.php?riferimento=Gal+5&amp;versioni[]=Riveduta</v>
      </c>
      <c r="H168" t="str">
        <f t="shared" si="19"/>
        <v>https://www.laparola.net/testo.php?riferimento=Gal+5&amp;versioni[]=Nuova+Riveduta</v>
      </c>
      <c r="I168" t="str">
        <f t="shared" si="20"/>
        <v>https://www.laparola.net/testo.php?riferimento=Gal+5&amp;versioni[]=Riveduta+2020</v>
      </c>
    </row>
    <row r="169" spans="1:9" x14ac:dyDescent="0.25">
      <c r="A169" t="s">
        <v>18</v>
      </c>
      <c r="B169">
        <v>6</v>
      </c>
      <c r="C169" t="str">
        <f t="shared" si="14"/>
        <v>https://www.laparola.net/testo.php?riferimento=Gal+6&amp;versioni[]=Martini</v>
      </c>
      <c r="D169" t="str">
        <f t="shared" si="15"/>
        <v>https://www.laparola.net/testo.php?riferimento=Gal+6&amp;versioni[]=Ricciotti</v>
      </c>
      <c r="E169" t="str">
        <f t="shared" si="16"/>
        <v>https://www.laparola.net/testo.php?riferimento=Gal+6&amp;versioni[]=Diodati</v>
      </c>
      <c r="F169" t="str">
        <f t="shared" si="17"/>
        <v>https://www.laparola.net/testo.php?riferimento=Gal+6&amp;versioni[]=Nuova+Diodati</v>
      </c>
      <c r="G169" t="str">
        <f t="shared" si="18"/>
        <v>https://www.laparola.net/testo.php?riferimento=Gal+6&amp;versioni[]=Riveduta</v>
      </c>
      <c r="H169" t="str">
        <f t="shared" si="19"/>
        <v>https://www.laparola.net/testo.php?riferimento=Gal+6&amp;versioni[]=Nuova+Riveduta</v>
      </c>
      <c r="I169" t="str">
        <f t="shared" si="20"/>
        <v>https://www.laparola.net/testo.php?riferimento=Gal+6&amp;versioni[]=Riveduta+2020</v>
      </c>
    </row>
    <row r="170" spans="1:9" x14ac:dyDescent="0.25">
      <c r="A170" t="s">
        <v>19</v>
      </c>
      <c r="B170">
        <v>1</v>
      </c>
      <c r="C170" t="str">
        <f t="shared" si="14"/>
        <v>https://www.laparola.net/testo.php?riferimento=Ef+1&amp;versioni[]=Martini</v>
      </c>
      <c r="D170" t="str">
        <f t="shared" si="15"/>
        <v>https://www.laparola.net/testo.php?riferimento=Ef+1&amp;versioni[]=Ricciotti</v>
      </c>
      <c r="E170" t="str">
        <f t="shared" si="16"/>
        <v>https://www.laparola.net/testo.php?riferimento=Ef+1&amp;versioni[]=Diodati</v>
      </c>
      <c r="F170" t="str">
        <f t="shared" si="17"/>
        <v>https://www.laparola.net/testo.php?riferimento=Ef+1&amp;versioni[]=Nuova+Diodati</v>
      </c>
      <c r="G170" t="str">
        <f t="shared" si="18"/>
        <v>https://www.laparola.net/testo.php?riferimento=Ef+1&amp;versioni[]=Riveduta</v>
      </c>
      <c r="H170" t="str">
        <f t="shared" si="19"/>
        <v>https://www.laparola.net/testo.php?riferimento=Ef+1&amp;versioni[]=Nuova+Riveduta</v>
      </c>
      <c r="I170" t="str">
        <f t="shared" si="20"/>
        <v>https://www.laparola.net/testo.php?riferimento=Ef+1&amp;versioni[]=Riveduta+2020</v>
      </c>
    </row>
    <row r="171" spans="1:9" x14ac:dyDescent="0.25">
      <c r="A171" t="s">
        <v>19</v>
      </c>
      <c r="B171">
        <v>2</v>
      </c>
      <c r="C171" t="str">
        <f t="shared" si="14"/>
        <v>https://www.laparola.net/testo.php?riferimento=Ef+2&amp;versioni[]=Martini</v>
      </c>
      <c r="D171" t="str">
        <f t="shared" si="15"/>
        <v>https://www.laparola.net/testo.php?riferimento=Ef+2&amp;versioni[]=Ricciotti</v>
      </c>
      <c r="E171" t="str">
        <f t="shared" si="16"/>
        <v>https://www.laparola.net/testo.php?riferimento=Ef+2&amp;versioni[]=Diodati</v>
      </c>
      <c r="F171" t="str">
        <f t="shared" si="17"/>
        <v>https://www.laparola.net/testo.php?riferimento=Ef+2&amp;versioni[]=Nuova+Diodati</v>
      </c>
      <c r="G171" t="str">
        <f t="shared" si="18"/>
        <v>https://www.laparola.net/testo.php?riferimento=Ef+2&amp;versioni[]=Riveduta</v>
      </c>
      <c r="H171" t="str">
        <f t="shared" si="19"/>
        <v>https://www.laparola.net/testo.php?riferimento=Ef+2&amp;versioni[]=Nuova+Riveduta</v>
      </c>
      <c r="I171" t="str">
        <f t="shared" si="20"/>
        <v>https://www.laparola.net/testo.php?riferimento=Ef+2&amp;versioni[]=Riveduta+2020</v>
      </c>
    </row>
    <row r="172" spans="1:9" x14ac:dyDescent="0.25">
      <c r="A172" t="s">
        <v>19</v>
      </c>
      <c r="B172">
        <v>3</v>
      </c>
      <c r="C172" t="str">
        <f t="shared" si="14"/>
        <v>https://www.laparola.net/testo.php?riferimento=Ef+3&amp;versioni[]=Martini</v>
      </c>
      <c r="D172" t="str">
        <f t="shared" si="15"/>
        <v>https://www.laparola.net/testo.php?riferimento=Ef+3&amp;versioni[]=Ricciotti</v>
      </c>
      <c r="E172" t="str">
        <f t="shared" si="16"/>
        <v>https://www.laparola.net/testo.php?riferimento=Ef+3&amp;versioni[]=Diodati</v>
      </c>
      <c r="F172" t="str">
        <f t="shared" si="17"/>
        <v>https://www.laparola.net/testo.php?riferimento=Ef+3&amp;versioni[]=Nuova+Diodati</v>
      </c>
      <c r="G172" t="str">
        <f t="shared" si="18"/>
        <v>https://www.laparola.net/testo.php?riferimento=Ef+3&amp;versioni[]=Riveduta</v>
      </c>
      <c r="H172" t="str">
        <f t="shared" si="19"/>
        <v>https://www.laparola.net/testo.php?riferimento=Ef+3&amp;versioni[]=Nuova+Riveduta</v>
      </c>
      <c r="I172" t="str">
        <f t="shared" si="20"/>
        <v>https://www.laparola.net/testo.php?riferimento=Ef+3&amp;versioni[]=Riveduta+2020</v>
      </c>
    </row>
    <row r="173" spans="1:9" x14ac:dyDescent="0.25">
      <c r="A173" t="s">
        <v>19</v>
      </c>
      <c r="B173">
        <v>4</v>
      </c>
      <c r="C173" t="str">
        <f t="shared" si="14"/>
        <v>https://www.laparola.net/testo.php?riferimento=Ef+4&amp;versioni[]=Martini</v>
      </c>
      <c r="D173" t="str">
        <f t="shared" si="15"/>
        <v>https://www.laparola.net/testo.php?riferimento=Ef+4&amp;versioni[]=Ricciotti</v>
      </c>
      <c r="E173" t="str">
        <f t="shared" si="16"/>
        <v>https://www.laparola.net/testo.php?riferimento=Ef+4&amp;versioni[]=Diodati</v>
      </c>
      <c r="F173" t="str">
        <f t="shared" si="17"/>
        <v>https://www.laparola.net/testo.php?riferimento=Ef+4&amp;versioni[]=Nuova+Diodati</v>
      </c>
      <c r="G173" t="str">
        <f t="shared" si="18"/>
        <v>https://www.laparola.net/testo.php?riferimento=Ef+4&amp;versioni[]=Riveduta</v>
      </c>
      <c r="H173" t="str">
        <f t="shared" si="19"/>
        <v>https://www.laparola.net/testo.php?riferimento=Ef+4&amp;versioni[]=Nuova+Riveduta</v>
      </c>
      <c r="I173" t="str">
        <f t="shared" si="20"/>
        <v>https://www.laparola.net/testo.php?riferimento=Ef+4&amp;versioni[]=Riveduta+2020</v>
      </c>
    </row>
    <row r="174" spans="1:9" x14ac:dyDescent="0.25">
      <c r="A174" t="s">
        <v>19</v>
      </c>
      <c r="B174">
        <v>5</v>
      </c>
      <c r="C174" t="str">
        <f t="shared" si="14"/>
        <v>https://www.laparola.net/testo.php?riferimento=Ef+5&amp;versioni[]=Martini</v>
      </c>
      <c r="D174" t="str">
        <f t="shared" si="15"/>
        <v>https://www.laparola.net/testo.php?riferimento=Ef+5&amp;versioni[]=Ricciotti</v>
      </c>
      <c r="E174" t="str">
        <f t="shared" si="16"/>
        <v>https://www.laparola.net/testo.php?riferimento=Ef+5&amp;versioni[]=Diodati</v>
      </c>
      <c r="F174" t="str">
        <f t="shared" si="17"/>
        <v>https://www.laparola.net/testo.php?riferimento=Ef+5&amp;versioni[]=Nuova+Diodati</v>
      </c>
      <c r="G174" t="str">
        <f t="shared" si="18"/>
        <v>https://www.laparola.net/testo.php?riferimento=Ef+5&amp;versioni[]=Riveduta</v>
      </c>
      <c r="H174" t="str">
        <f t="shared" si="19"/>
        <v>https://www.laparola.net/testo.php?riferimento=Ef+5&amp;versioni[]=Nuova+Riveduta</v>
      </c>
      <c r="I174" t="str">
        <f t="shared" si="20"/>
        <v>https://www.laparola.net/testo.php?riferimento=Ef+5&amp;versioni[]=Riveduta+2020</v>
      </c>
    </row>
    <row r="175" spans="1:9" x14ac:dyDescent="0.25">
      <c r="A175" t="s">
        <v>19</v>
      </c>
      <c r="B175">
        <v>6</v>
      </c>
      <c r="C175" t="str">
        <f t="shared" si="14"/>
        <v>https://www.laparola.net/testo.php?riferimento=Ef+6&amp;versioni[]=Martini</v>
      </c>
      <c r="D175" t="str">
        <f t="shared" si="15"/>
        <v>https://www.laparola.net/testo.php?riferimento=Ef+6&amp;versioni[]=Ricciotti</v>
      </c>
      <c r="E175" t="str">
        <f t="shared" si="16"/>
        <v>https://www.laparola.net/testo.php?riferimento=Ef+6&amp;versioni[]=Diodati</v>
      </c>
      <c r="F175" t="str">
        <f t="shared" si="17"/>
        <v>https://www.laparola.net/testo.php?riferimento=Ef+6&amp;versioni[]=Nuova+Diodati</v>
      </c>
      <c r="G175" t="str">
        <f t="shared" si="18"/>
        <v>https://www.laparola.net/testo.php?riferimento=Ef+6&amp;versioni[]=Riveduta</v>
      </c>
      <c r="H175" t="str">
        <f t="shared" si="19"/>
        <v>https://www.laparola.net/testo.php?riferimento=Ef+6&amp;versioni[]=Nuova+Riveduta</v>
      </c>
      <c r="I175" t="str">
        <f t="shared" si="20"/>
        <v>https://www.laparola.net/testo.php?riferimento=Ef+6&amp;versioni[]=Riveduta+2020</v>
      </c>
    </row>
    <row r="176" spans="1:9" x14ac:dyDescent="0.25">
      <c r="A176" s="4" t="s">
        <v>22</v>
      </c>
      <c r="B176" s="4">
        <v>1</v>
      </c>
      <c r="C176" s="4" t="str">
        <f t="shared" si="14"/>
        <v>https://www.laparola.net/testo.php?riferimento=Fil+1&amp;versioni[]=Martini</v>
      </c>
      <c r="D176" s="4" t="str">
        <f t="shared" si="15"/>
        <v>https://www.laparola.net/testo.php?riferimento=Fil+1&amp;versioni[]=Ricciotti</v>
      </c>
      <c r="E176" s="4" t="str">
        <f t="shared" si="16"/>
        <v>https://www.laparola.net/testo.php?riferimento=Fil+1&amp;versioni[]=Diodati</v>
      </c>
      <c r="F176" s="4" t="str">
        <f t="shared" si="17"/>
        <v>https://www.laparola.net/testo.php?riferimento=Fil+1&amp;versioni[]=Nuova+Diodati</v>
      </c>
      <c r="G176" s="4" t="str">
        <f t="shared" si="18"/>
        <v>https://www.laparola.net/testo.php?riferimento=Fil+1&amp;versioni[]=Riveduta</v>
      </c>
      <c r="H176" s="4" t="str">
        <f t="shared" si="19"/>
        <v>https://www.laparola.net/testo.php?riferimento=Fil+1&amp;versioni[]=Nuova+Riveduta</v>
      </c>
      <c r="I176" s="4" t="str">
        <f t="shared" si="20"/>
        <v>https://www.laparola.net/testo.php?riferimento=Fil+1&amp;versioni[]=Riveduta+2020</v>
      </c>
    </row>
    <row r="177" spans="1:9" x14ac:dyDescent="0.25">
      <c r="A177" s="4" t="s">
        <v>22</v>
      </c>
      <c r="B177" s="4">
        <v>2</v>
      </c>
      <c r="C177" s="4" t="str">
        <f t="shared" si="14"/>
        <v>https://www.laparola.net/testo.php?riferimento=Fil+2&amp;versioni[]=Martini</v>
      </c>
      <c r="D177" s="4" t="str">
        <f t="shared" si="15"/>
        <v>https://www.laparola.net/testo.php?riferimento=Fil+2&amp;versioni[]=Ricciotti</v>
      </c>
      <c r="E177" s="4" t="str">
        <f t="shared" si="16"/>
        <v>https://www.laparola.net/testo.php?riferimento=Fil+2&amp;versioni[]=Diodati</v>
      </c>
      <c r="F177" s="4" t="str">
        <f t="shared" si="17"/>
        <v>https://www.laparola.net/testo.php?riferimento=Fil+2&amp;versioni[]=Nuova+Diodati</v>
      </c>
      <c r="G177" s="4" t="str">
        <f t="shared" si="18"/>
        <v>https://www.laparola.net/testo.php?riferimento=Fil+2&amp;versioni[]=Riveduta</v>
      </c>
      <c r="H177" s="4" t="str">
        <f t="shared" si="19"/>
        <v>https://www.laparola.net/testo.php?riferimento=Fil+2&amp;versioni[]=Nuova+Riveduta</v>
      </c>
      <c r="I177" s="4" t="str">
        <f t="shared" si="20"/>
        <v>https://www.laparola.net/testo.php?riferimento=Fil+2&amp;versioni[]=Riveduta+2020</v>
      </c>
    </row>
    <row r="178" spans="1:9" x14ac:dyDescent="0.25">
      <c r="A178" s="4" t="s">
        <v>22</v>
      </c>
      <c r="B178" s="4">
        <v>3</v>
      </c>
      <c r="C178" s="4" t="str">
        <f t="shared" si="14"/>
        <v>https://www.laparola.net/testo.php?riferimento=Fil+3&amp;versioni[]=Martini</v>
      </c>
      <c r="D178" s="4" t="str">
        <f t="shared" si="15"/>
        <v>https://www.laparola.net/testo.php?riferimento=Fil+3&amp;versioni[]=Ricciotti</v>
      </c>
      <c r="E178" s="4" t="str">
        <f t="shared" si="16"/>
        <v>https://www.laparola.net/testo.php?riferimento=Fil+3&amp;versioni[]=Diodati</v>
      </c>
      <c r="F178" s="4" t="str">
        <f t="shared" si="17"/>
        <v>https://www.laparola.net/testo.php?riferimento=Fil+3&amp;versioni[]=Nuova+Diodati</v>
      </c>
      <c r="G178" s="4" t="str">
        <f t="shared" si="18"/>
        <v>https://www.laparola.net/testo.php?riferimento=Fil+3&amp;versioni[]=Riveduta</v>
      </c>
      <c r="H178" s="4" t="str">
        <f t="shared" si="19"/>
        <v>https://www.laparola.net/testo.php?riferimento=Fil+3&amp;versioni[]=Nuova+Riveduta</v>
      </c>
      <c r="I178" s="4" t="str">
        <f t="shared" si="20"/>
        <v>https://www.laparola.net/testo.php?riferimento=Fil+3&amp;versioni[]=Riveduta+2020</v>
      </c>
    </row>
    <row r="179" spans="1:9" x14ac:dyDescent="0.25">
      <c r="A179" s="4" t="s">
        <v>22</v>
      </c>
      <c r="B179" s="4">
        <v>4</v>
      </c>
      <c r="C179" s="4" t="str">
        <f t="shared" si="14"/>
        <v>https://www.laparola.net/testo.php?riferimento=Fil+4&amp;versioni[]=Martini</v>
      </c>
      <c r="D179" s="4" t="str">
        <f t="shared" si="15"/>
        <v>https://www.laparola.net/testo.php?riferimento=Fil+4&amp;versioni[]=Ricciotti</v>
      </c>
      <c r="E179" s="4" t="str">
        <f t="shared" si="16"/>
        <v>https://www.laparola.net/testo.php?riferimento=Fil+4&amp;versioni[]=Diodati</v>
      </c>
      <c r="F179" s="4" t="str">
        <f t="shared" si="17"/>
        <v>https://www.laparola.net/testo.php?riferimento=Fil+4&amp;versioni[]=Nuova+Diodati</v>
      </c>
      <c r="G179" s="4" t="str">
        <f t="shared" si="18"/>
        <v>https://www.laparola.net/testo.php?riferimento=Fil+4&amp;versioni[]=Riveduta</v>
      </c>
      <c r="H179" s="4" t="str">
        <f t="shared" si="19"/>
        <v>https://www.laparola.net/testo.php?riferimento=Fil+4&amp;versioni[]=Nuova+Riveduta</v>
      </c>
      <c r="I179" s="4" t="str">
        <f t="shared" si="20"/>
        <v>https://www.laparola.net/testo.php?riferimento=Fil+4&amp;versioni[]=Riveduta+2020</v>
      </c>
    </row>
    <row r="180" spans="1:9" x14ac:dyDescent="0.25">
      <c r="A180" s="4" t="s">
        <v>23</v>
      </c>
      <c r="B180" s="4">
        <v>1</v>
      </c>
      <c r="C180" s="4" t="str">
        <f t="shared" si="14"/>
        <v>https://www.laparola.net/testo.php?riferimento=Col+1&amp;versioni[]=Martini</v>
      </c>
      <c r="D180" s="4" t="str">
        <f t="shared" si="15"/>
        <v>https://www.laparola.net/testo.php?riferimento=Col+1&amp;versioni[]=Ricciotti</v>
      </c>
      <c r="E180" s="4" t="str">
        <f t="shared" si="16"/>
        <v>https://www.laparola.net/testo.php?riferimento=Col+1&amp;versioni[]=Diodati</v>
      </c>
      <c r="F180" s="4" t="str">
        <f t="shared" si="17"/>
        <v>https://www.laparola.net/testo.php?riferimento=Col+1&amp;versioni[]=Nuova+Diodati</v>
      </c>
      <c r="G180" s="4" t="str">
        <f t="shared" si="18"/>
        <v>https://www.laparola.net/testo.php?riferimento=Col+1&amp;versioni[]=Riveduta</v>
      </c>
      <c r="H180" s="4" t="str">
        <f t="shared" si="19"/>
        <v>https://www.laparola.net/testo.php?riferimento=Col+1&amp;versioni[]=Nuova+Riveduta</v>
      </c>
      <c r="I180" s="4" t="str">
        <f t="shared" si="20"/>
        <v>https://www.laparola.net/testo.php?riferimento=Col+1&amp;versioni[]=Riveduta+2020</v>
      </c>
    </row>
    <row r="181" spans="1:9" x14ac:dyDescent="0.25">
      <c r="A181" s="4" t="s">
        <v>23</v>
      </c>
      <c r="B181" s="4">
        <v>2</v>
      </c>
      <c r="C181" s="4" t="str">
        <f t="shared" si="14"/>
        <v>https://www.laparola.net/testo.php?riferimento=Col+2&amp;versioni[]=Martini</v>
      </c>
      <c r="D181" s="4" t="str">
        <f t="shared" si="15"/>
        <v>https://www.laparola.net/testo.php?riferimento=Col+2&amp;versioni[]=Ricciotti</v>
      </c>
      <c r="E181" s="4" t="str">
        <f t="shared" si="16"/>
        <v>https://www.laparola.net/testo.php?riferimento=Col+2&amp;versioni[]=Diodati</v>
      </c>
      <c r="F181" s="4" t="str">
        <f t="shared" si="17"/>
        <v>https://www.laparola.net/testo.php?riferimento=Col+2&amp;versioni[]=Nuova+Diodati</v>
      </c>
      <c r="G181" s="4" t="str">
        <f t="shared" si="18"/>
        <v>https://www.laparola.net/testo.php?riferimento=Col+2&amp;versioni[]=Riveduta</v>
      </c>
      <c r="H181" s="4" t="str">
        <f t="shared" si="19"/>
        <v>https://www.laparola.net/testo.php?riferimento=Col+2&amp;versioni[]=Nuova+Riveduta</v>
      </c>
      <c r="I181" s="4" t="str">
        <f t="shared" si="20"/>
        <v>https://www.laparola.net/testo.php?riferimento=Col+2&amp;versioni[]=Riveduta+2020</v>
      </c>
    </row>
    <row r="182" spans="1:9" x14ac:dyDescent="0.25">
      <c r="A182" s="4" t="s">
        <v>23</v>
      </c>
      <c r="B182" s="4">
        <v>3</v>
      </c>
      <c r="C182" s="4" t="str">
        <f t="shared" si="14"/>
        <v>https://www.laparola.net/testo.php?riferimento=Col+3&amp;versioni[]=Martini</v>
      </c>
      <c r="D182" s="4" t="str">
        <f t="shared" si="15"/>
        <v>https://www.laparola.net/testo.php?riferimento=Col+3&amp;versioni[]=Ricciotti</v>
      </c>
      <c r="E182" s="4" t="str">
        <f t="shared" si="16"/>
        <v>https://www.laparola.net/testo.php?riferimento=Col+3&amp;versioni[]=Diodati</v>
      </c>
      <c r="F182" s="4" t="str">
        <f t="shared" si="17"/>
        <v>https://www.laparola.net/testo.php?riferimento=Col+3&amp;versioni[]=Nuova+Diodati</v>
      </c>
      <c r="G182" s="4" t="str">
        <f t="shared" si="18"/>
        <v>https://www.laparola.net/testo.php?riferimento=Col+3&amp;versioni[]=Riveduta</v>
      </c>
      <c r="H182" s="4" t="str">
        <f t="shared" si="19"/>
        <v>https://www.laparola.net/testo.php?riferimento=Col+3&amp;versioni[]=Nuova+Riveduta</v>
      </c>
      <c r="I182" s="4" t="str">
        <f t="shared" si="20"/>
        <v>https://www.laparola.net/testo.php?riferimento=Col+3&amp;versioni[]=Riveduta+2020</v>
      </c>
    </row>
    <row r="183" spans="1:9" x14ac:dyDescent="0.25">
      <c r="A183" s="4" t="s">
        <v>23</v>
      </c>
      <c r="B183" s="4">
        <v>4</v>
      </c>
      <c r="C183" s="4" t="str">
        <f t="shared" si="14"/>
        <v>https://www.laparola.net/testo.php?riferimento=Col+4&amp;versioni[]=Martini</v>
      </c>
      <c r="D183" s="4" t="str">
        <f t="shared" si="15"/>
        <v>https://www.laparola.net/testo.php?riferimento=Col+4&amp;versioni[]=Ricciotti</v>
      </c>
      <c r="E183" s="4" t="str">
        <f t="shared" si="16"/>
        <v>https://www.laparola.net/testo.php?riferimento=Col+4&amp;versioni[]=Diodati</v>
      </c>
      <c r="F183" s="4" t="str">
        <f t="shared" si="17"/>
        <v>https://www.laparola.net/testo.php?riferimento=Col+4&amp;versioni[]=Nuova+Diodati</v>
      </c>
      <c r="G183" s="4" t="str">
        <f t="shared" si="18"/>
        <v>https://www.laparola.net/testo.php?riferimento=Col+4&amp;versioni[]=Riveduta</v>
      </c>
      <c r="H183" s="4" t="str">
        <f t="shared" si="19"/>
        <v>https://www.laparola.net/testo.php?riferimento=Col+4&amp;versioni[]=Nuova+Riveduta</v>
      </c>
      <c r="I183" s="4" t="str">
        <f t="shared" si="20"/>
        <v>https://www.laparola.net/testo.php?riferimento=Col+4&amp;versioni[]=Riveduta+2020</v>
      </c>
    </row>
    <row r="184" spans="1:9" x14ac:dyDescent="0.25">
      <c r="A184" s="4" t="s">
        <v>26</v>
      </c>
      <c r="B184" s="4">
        <v>1</v>
      </c>
      <c r="C184" s="4" t="str">
        <f t="shared" si="14"/>
        <v>https://www.laparola.net/testo.php?riferimento=1Ts+1&amp;versioni[]=Martini</v>
      </c>
      <c r="D184" s="4" t="str">
        <f t="shared" si="15"/>
        <v>https://www.laparola.net/testo.php?riferimento=1Ts+1&amp;versioni[]=Ricciotti</v>
      </c>
      <c r="E184" s="4" t="str">
        <f t="shared" si="16"/>
        <v>https://www.laparola.net/testo.php?riferimento=1Ts+1&amp;versioni[]=Diodati</v>
      </c>
      <c r="F184" s="4" t="str">
        <f t="shared" si="17"/>
        <v>https://www.laparola.net/testo.php?riferimento=1Ts+1&amp;versioni[]=Nuova+Diodati</v>
      </c>
      <c r="G184" s="4" t="str">
        <f t="shared" si="18"/>
        <v>https://www.laparola.net/testo.php?riferimento=1Ts+1&amp;versioni[]=Riveduta</v>
      </c>
      <c r="H184" s="4" t="str">
        <f t="shared" si="19"/>
        <v>https://www.laparola.net/testo.php?riferimento=1Ts+1&amp;versioni[]=Nuova+Riveduta</v>
      </c>
      <c r="I184" s="4" t="str">
        <f t="shared" si="20"/>
        <v>https://www.laparola.net/testo.php?riferimento=1Ts+1&amp;versioni[]=Riveduta+2020</v>
      </c>
    </row>
    <row r="185" spans="1:9" x14ac:dyDescent="0.25">
      <c r="A185" s="4" t="s">
        <v>26</v>
      </c>
      <c r="B185" s="4">
        <v>2</v>
      </c>
      <c r="C185" s="4" t="str">
        <f t="shared" si="14"/>
        <v>https://www.laparola.net/testo.php?riferimento=1Ts+2&amp;versioni[]=Martini</v>
      </c>
      <c r="D185" s="4" t="str">
        <f t="shared" si="15"/>
        <v>https://www.laparola.net/testo.php?riferimento=1Ts+2&amp;versioni[]=Ricciotti</v>
      </c>
      <c r="E185" s="4" t="str">
        <f t="shared" si="16"/>
        <v>https://www.laparola.net/testo.php?riferimento=1Ts+2&amp;versioni[]=Diodati</v>
      </c>
      <c r="F185" s="4" t="str">
        <f t="shared" si="17"/>
        <v>https://www.laparola.net/testo.php?riferimento=1Ts+2&amp;versioni[]=Nuova+Diodati</v>
      </c>
      <c r="G185" s="4" t="str">
        <f t="shared" si="18"/>
        <v>https://www.laparola.net/testo.php?riferimento=1Ts+2&amp;versioni[]=Riveduta</v>
      </c>
      <c r="H185" s="4" t="str">
        <f t="shared" si="19"/>
        <v>https://www.laparola.net/testo.php?riferimento=1Ts+2&amp;versioni[]=Nuova+Riveduta</v>
      </c>
      <c r="I185" s="4" t="str">
        <f t="shared" si="20"/>
        <v>https://www.laparola.net/testo.php?riferimento=1Ts+2&amp;versioni[]=Riveduta+2020</v>
      </c>
    </row>
    <row r="186" spans="1:9" x14ac:dyDescent="0.25">
      <c r="A186" s="4" t="s">
        <v>26</v>
      </c>
      <c r="B186" s="4">
        <v>3</v>
      </c>
      <c r="C186" s="4" t="str">
        <f t="shared" si="14"/>
        <v>https://www.laparola.net/testo.php?riferimento=1Ts+3&amp;versioni[]=Martini</v>
      </c>
      <c r="D186" s="4" t="str">
        <f t="shared" si="15"/>
        <v>https://www.laparola.net/testo.php?riferimento=1Ts+3&amp;versioni[]=Ricciotti</v>
      </c>
      <c r="E186" s="4" t="str">
        <f t="shared" si="16"/>
        <v>https://www.laparola.net/testo.php?riferimento=1Ts+3&amp;versioni[]=Diodati</v>
      </c>
      <c r="F186" s="4" t="str">
        <f t="shared" si="17"/>
        <v>https://www.laparola.net/testo.php?riferimento=1Ts+3&amp;versioni[]=Nuova+Diodati</v>
      </c>
      <c r="G186" s="4" t="str">
        <f t="shared" si="18"/>
        <v>https://www.laparola.net/testo.php?riferimento=1Ts+3&amp;versioni[]=Riveduta</v>
      </c>
      <c r="H186" s="4" t="str">
        <f t="shared" si="19"/>
        <v>https://www.laparola.net/testo.php?riferimento=1Ts+3&amp;versioni[]=Nuova+Riveduta</v>
      </c>
      <c r="I186" s="4" t="str">
        <f t="shared" si="20"/>
        <v>https://www.laparola.net/testo.php?riferimento=1Ts+3&amp;versioni[]=Riveduta+2020</v>
      </c>
    </row>
    <row r="187" spans="1:9" x14ac:dyDescent="0.25">
      <c r="A187" s="4" t="s">
        <v>26</v>
      </c>
      <c r="B187" s="4">
        <v>4</v>
      </c>
      <c r="C187" s="4" t="str">
        <f t="shared" si="14"/>
        <v>https://www.laparola.net/testo.php?riferimento=1Ts+4&amp;versioni[]=Martini</v>
      </c>
      <c r="D187" s="4" t="str">
        <f t="shared" si="15"/>
        <v>https://www.laparola.net/testo.php?riferimento=1Ts+4&amp;versioni[]=Ricciotti</v>
      </c>
      <c r="E187" s="4" t="str">
        <f t="shared" si="16"/>
        <v>https://www.laparola.net/testo.php?riferimento=1Ts+4&amp;versioni[]=Diodati</v>
      </c>
      <c r="F187" s="4" t="str">
        <f t="shared" si="17"/>
        <v>https://www.laparola.net/testo.php?riferimento=1Ts+4&amp;versioni[]=Nuova+Diodati</v>
      </c>
      <c r="G187" s="4" t="str">
        <f t="shared" si="18"/>
        <v>https://www.laparola.net/testo.php?riferimento=1Ts+4&amp;versioni[]=Riveduta</v>
      </c>
      <c r="H187" s="4" t="str">
        <f t="shared" si="19"/>
        <v>https://www.laparola.net/testo.php?riferimento=1Ts+4&amp;versioni[]=Nuova+Riveduta</v>
      </c>
      <c r="I187" s="4" t="str">
        <f t="shared" si="20"/>
        <v>https://www.laparola.net/testo.php?riferimento=1Ts+4&amp;versioni[]=Riveduta+2020</v>
      </c>
    </row>
    <row r="188" spans="1:9" x14ac:dyDescent="0.25">
      <c r="A188" s="4" t="s">
        <v>26</v>
      </c>
      <c r="B188" s="4">
        <v>5</v>
      </c>
      <c r="C188" s="4" t="str">
        <f t="shared" si="14"/>
        <v>https://www.laparola.net/testo.php?riferimento=1Ts+5&amp;versioni[]=Martini</v>
      </c>
      <c r="D188" s="4" t="str">
        <f t="shared" si="15"/>
        <v>https://www.laparola.net/testo.php?riferimento=1Ts+5&amp;versioni[]=Ricciotti</v>
      </c>
      <c r="E188" s="4" t="str">
        <f t="shared" si="16"/>
        <v>https://www.laparola.net/testo.php?riferimento=1Ts+5&amp;versioni[]=Diodati</v>
      </c>
      <c r="F188" s="4" t="str">
        <f t="shared" si="17"/>
        <v>https://www.laparola.net/testo.php?riferimento=1Ts+5&amp;versioni[]=Nuova+Diodati</v>
      </c>
      <c r="G188" s="4" t="str">
        <f t="shared" si="18"/>
        <v>https://www.laparola.net/testo.php?riferimento=1Ts+5&amp;versioni[]=Riveduta</v>
      </c>
      <c r="H188" s="4" t="str">
        <f t="shared" si="19"/>
        <v>https://www.laparola.net/testo.php?riferimento=1Ts+5&amp;versioni[]=Nuova+Riveduta</v>
      </c>
      <c r="I188" s="4" t="str">
        <f t="shared" si="20"/>
        <v>https://www.laparola.net/testo.php?riferimento=1Ts+5&amp;versioni[]=Riveduta+2020</v>
      </c>
    </row>
    <row r="189" spans="1:9" x14ac:dyDescent="0.25">
      <c r="A189" s="4" t="s">
        <v>28</v>
      </c>
      <c r="B189" s="4">
        <v>1</v>
      </c>
      <c r="C189" s="4" t="str">
        <f t="shared" si="14"/>
        <v>https://www.laparola.net/testo.php?riferimento=2Ts+1&amp;versioni[]=Martini</v>
      </c>
      <c r="D189" s="4" t="str">
        <f t="shared" si="15"/>
        <v>https://www.laparola.net/testo.php?riferimento=2Ts+1&amp;versioni[]=Ricciotti</v>
      </c>
      <c r="E189" s="4" t="str">
        <f t="shared" si="16"/>
        <v>https://www.laparola.net/testo.php?riferimento=2Ts+1&amp;versioni[]=Diodati</v>
      </c>
      <c r="F189" s="4" t="str">
        <f t="shared" si="17"/>
        <v>https://www.laparola.net/testo.php?riferimento=2Ts+1&amp;versioni[]=Nuova+Diodati</v>
      </c>
      <c r="G189" s="4" t="str">
        <f t="shared" si="18"/>
        <v>https://www.laparola.net/testo.php?riferimento=2Ts+1&amp;versioni[]=Riveduta</v>
      </c>
      <c r="H189" s="4" t="str">
        <f t="shared" si="19"/>
        <v>https://www.laparola.net/testo.php?riferimento=2Ts+1&amp;versioni[]=Nuova+Riveduta</v>
      </c>
      <c r="I189" s="4" t="str">
        <f t="shared" si="20"/>
        <v>https://www.laparola.net/testo.php?riferimento=2Ts+1&amp;versioni[]=Riveduta+2020</v>
      </c>
    </row>
    <row r="190" spans="1:9" x14ac:dyDescent="0.25">
      <c r="A190" s="4" t="s">
        <v>28</v>
      </c>
      <c r="B190" s="4">
        <v>2</v>
      </c>
      <c r="C190" s="4" t="str">
        <f t="shared" si="14"/>
        <v>https://www.laparola.net/testo.php?riferimento=2Ts+2&amp;versioni[]=Martini</v>
      </c>
      <c r="D190" s="4" t="str">
        <f t="shared" si="15"/>
        <v>https://www.laparola.net/testo.php?riferimento=2Ts+2&amp;versioni[]=Ricciotti</v>
      </c>
      <c r="E190" s="4" t="str">
        <f t="shared" si="16"/>
        <v>https://www.laparola.net/testo.php?riferimento=2Ts+2&amp;versioni[]=Diodati</v>
      </c>
      <c r="F190" s="4" t="str">
        <f t="shared" si="17"/>
        <v>https://www.laparola.net/testo.php?riferimento=2Ts+2&amp;versioni[]=Nuova+Diodati</v>
      </c>
      <c r="G190" s="4" t="str">
        <f t="shared" si="18"/>
        <v>https://www.laparola.net/testo.php?riferimento=2Ts+2&amp;versioni[]=Riveduta</v>
      </c>
      <c r="H190" s="4" t="str">
        <f t="shared" si="19"/>
        <v>https://www.laparola.net/testo.php?riferimento=2Ts+2&amp;versioni[]=Nuova+Riveduta</v>
      </c>
      <c r="I190" s="4" t="str">
        <f t="shared" si="20"/>
        <v>https://www.laparola.net/testo.php?riferimento=2Ts+2&amp;versioni[]=Riveduta+2020</v>
      </c>
    </row>
    <row r="191" spans="1:9" x14ac:dyDescent="0.25">
      <c r="A191" s="4" t="s">
        <v>28</v>
      </c>
      <c r="B191" s="4">
        <v>3</v>
      </c>
      <c r="C191" s="4" t="str">
        <f t="shared" si="14"/>
        <v>https://www.laparola.net/testo.php?riferimento=2Ts+3&amp;versioni[]=Martini</v>
      </c>
      <c r="D191" s="4" t="str">
        <f t="shared" si="15"/>
        <v>https://www.laparola.net/testo.php?riferimento=2Ts+3&amp;versioni[]=Ricciotti</v>
      </c>
      <c r="E191" s="4" t="str">
        <f t="shared" si="16"/>
        <v>https://www.laparola.net/testo.php?riferimento=2Ts+3&amp;versioni[]=Diodati</v>
      </c>
      <c r="F191" s="4" t="str">
        <f t="shared" si="17"/>
        <v>https://www.laparola.net/testo.php?riferimento=2Ts+3&amp;versioni[]=Nuova+Diodati</v>
      </c>
      <c r="G191" s="4" t="str">
        <f t="shared" si="18"/>
        <v>https://www.laparola.net/testo.php?riferimento=2Ts+3&amp;versioni[]=Riveduta</v>
      </c>
      <c r="H191" s="4" t="str">
        <f t="shared" si="19"/>
        <v>https://www.laparola.net/testo.php?riferimento=2Ts+3&amp;versioni[]=Nuova+Riveduta</v>
      </c>
      <c r="I191" s="4" t="str">
        <f t="shared" si="20"/>
        <v>https://www.laparola.net/testo.php?riferimento=2Ts+3&amp;versioni[]=Riveduta+2020</v>
      </c>
    </row>
    <row r="192" spans="1:9" x14ac:dyDescent="0.25">
      <c r="A192" t="s">
        <v>30</v>
      </c>
      <c r="B192">
        <v>1</v>
      </c>
      <c r="C192" t="str">
        <f t="shared" si="14"/>
        <v>https://www.laparola.net/testo.php?riferimento=1Tm+1&amp;versioni[]=Martini</v>
      </c>
      <c r="D192" t="str">
        <f t="shared" si="15"/>
        <v>https://www.laparola.net/testo.php?riferimento=1Tm+1&amp;versioni[]=Ricciotti</v>
      </c>
      <c r="E192" t="str">
        <f t="shared" si="16"/>
        <v>https://www.laparola.net/testo.php?riferimento=1Tm+1&amp;versioni[]=Diodati</v>
      </c>
      <c r="F192" t="str">
        <f t="shared" si="17"/>
        <v>https://www.laparola.net/testo.php?riferimento=1Tm+1&amp;versioni[]=Nuova+Diodati</v>
      </c>
      <c r="G192" t="str">
        <f t="shared" si="18"/>
        <v>https://www.laparola.net/testo.php?riferimento=1Tm+1&amp;versioni[]=Riveduta</v>
      </c>
      <c r="H192" t="str">
        <f t="shared" si="19"/>
        <v>https://www.laparola.net/testo.php?riferimento=1Tm+1&amp;versioni[]=Nuova+Riveduta</v>
      </c>
      <c r="I192" t="str">
        <f t="shared" si="20"/>
        <v>https://www.laparola.net/testo.php?riferimento=1Tm+1&amp;versioni[]=Riveduta+2020</v>
      </c>
    </row>
    <row r="193" spans="1:9" x14ac:dyDescent="0.25">
      <c r="A193" t="s">
        <v>30</v>
      </c>
      <c r="B193">
        <v>2</v>
      </c>
      <c r="C193" t="str">
        <f t="shared" si="14"/>
        <v>https://www.laparola.net/testo.php?riferimento=1Tm+2&amp;versioni[]=Martini</v>
      </c>
      <c r="D193" t="str">
        <f t="shared" si="15"/>
        <v>https://www.laparola.net/testo.php?riferimento=1Tm+2&amp;versioni[]=Ricciotti</v>
      </c>
      <c r="E193" t="str">
        <f t="shared" si="16"/>
        <v>https://www.laparola.net/testo.php?riferimento=1Tm+2&amp;versioni[]=Diodati</v>
      </c>
      <c r="F193" t="str">
        <f t="shared" si="17"/>
        <v>https://www.laparola.net/testo.php?riferimento=1Tm+2&amp;versioni[]=Nuova+Diodati</v>
      </c>
      <c r="G193" t="str">
        <f t="shared" si="18"/>
        <v>https://www.laparola.net/testo.php?riferimento=1Tm+2&amp;versioni[]=Riveduta</v>
      </c>
      <c r="H193" t="str">
        <f t="shared" si="19"/>
        <v>https://www.laparola.net/testo.php?riferimento=1Tm+2&amp;versioni[]=Nuova+Riveduta</v>
      </c>
      <c r="I193" t="str">
        <f t="shared" si="20"/>
        <v>https://www.laparola.net/testo.php?riferimento=1Tm+2&amp;versioni[]=Riveduta+2020</v>
      </c>
    </row>
    <row r="194" spans="1:9" x14ac:dyDescent="0.25">
      <c r="A194" t="s">
        <v>30</v>
      </c>
      <c r="B194">
        <v>3</v>
      </c>
      <c r="C194" t="str">
        <f t="shared" ref="C194:C261" si="21">"https://www.laparola.net/testo.php?riferimento="&amp;CONCATENATE($A194)&amp;"+"&amp;$B194&amp;"&amp;versioni[]="&amp;$C$1&amp;""</f>
        <v>https://www.laparola.net/testo.php?riferimento=1Tm+3&amp;versioni[]=Martini</v>
      </c>
      <c r="D194" t="str">
        <f t="shared" ref="D194:D261" si="22">"https://www.laparola.net/testo.php?riferimento="&amp;CONCATENATE($A194)&amp;"+"&amp;$B194&amp;"&amp;versioni[]="&amp;$D$1&amp;""</f>
        <v>https://www.laparola.net/testo.php?riferimento=1Tm+3&amp;versioni[]=Ricciotti</v>
      </c>
      <c r="E194" t="str">
        <f t="shared" ref="E194:E261" si="23">"https://www.laparola.net/testo.php?riferimento="&amp;CONCATENATE($A194)&amp;"+"&amp;$B194&amp;"&amp;versioni[]="&amp;$E$1&amp;""</f>
        <v>https://www.laparola.net/testo.php?riferimento=1Tm+3&amp;versioni[]=Diodati</v>
      </c>
      <c r="F194" t="str">
        <f t="shared" ref="F194:F261" si="24">"https://www.laparola.net/testo.php?riferimento="&amp;CONCATENATE($A194)&amp;"+"&amp;$B194&amp;"&amp;versioni[]="&amp;$F$1&amp;""</f>
        <v>https://www.laparola.net/testo.php?riferimento=1Tm+3&amp;versioni[]=Nuova+Diodati</v>
      </c>
      <c r="G194" t="str">
        <f t="shared" ref="G194:G261" si="25">"https://www.laparola.net/testo.php?riferimento="&amp;CONCATENATE($A194)&amp;"+"&amp;$B194&amp;"&amp;versioni[]="&amp;$G$1&amp;""</f>
        <v>https://www.laparola.net/testo.php?riferimento=1Tm+3&amp;versioni[]=Riveduta</v>
      </c>
      <c r="H194" t="str">
        <f t="shared" ref="H194:H261" si="26">"https://www.laparola.net/testo.php?riferimento="&amp;CONCATENATE($A194)&amp;"+"&amp;$B194&amp;"&amp;versioni[]="&amp;$H$1&amp;""</f>
        <v>https://www.laparola.net/testo.php?riferimento=1Tm+3&amp;versioni[]=Nuova+Riveduta</v>
      </c>
      <c r="I194" t="str">
        <f t="shared" ref="I194:I261" si="27">"https://www.laparola.net/testo.php?riferimento="&amp;CONCATENATE($A194)&amp;"+"&amp;$B194&amp;"&amp;versioni[]="&amp;$I$1&amp;""</f>
        <v>https://www.laparola.net/testo.php?riferimento=1Tm+3&amp;versioni[]=Riveduta+2020</v>
      </c>
    </row>
    <row r="195" spans="1:9" x14ac:dyDescent="0.25">
      <c r="A195" t="s">
        <v>30</v>
      </c>
      <c r="B195">
        <v>4</v>
      </c>
      <c r="C195" t="str">
        <f t="shared" si="21"/>
        <v>https://www.laparola.net/testo.php?riferimento=1Tm+4&amp;versioni[]=Martini</v>
      </c>
      <c r="D195" t="str">
        <f t="shared" si="22"/>
        <v>https://www.laparola.net/testo.php?riferimento=1Tm+4&amp;versioni[]=Ricciotti</v>
      </c>
      <c r="E195" t="str">
        <f t="shared" si="23"/>
        <v>https://www.laparola.net/testo.php?riferimento=1Tm+4&amp;versioni[]=Diodati</v>
      </c>
      <c r="F195" t="str">
        <f t="shared" si="24"/>
        <v>https://www.laparola.net/testo.php?riferimento=1Tm+4&amp;versioni[]=Nuova+Diodati</v>
      </c>
      <c r="G195" t="str">
        <f t="shared" si="25"/>
        <v>https://www.laparola.net/testo.php?riferimento=1Tm+4&amp;versioni[]=Riveduta</v>
      </c>
      <c r="H195" t="str">
        <f t="shared" si="26"/>
        <v>https://www.laparola.net/testo.php?riferimento=1Tm+4&amp;versioni[]=Nuova+Riveduta</v>
      </c>
      <c r="I195" t="str">
        <f t="shared" si="27"/>
        <v>https://www.laparola.net/testo.php?riferimento=1Tm+4&amp;versioni[]=Riveduta+2020</v>
      </c>
    </row>
    <row r="196" spans="1:9" x14ac:dyDescent="0.25">
      <c r="A196" t="s">
        <v>30</v>
      </c>
      <c r="B196">
        <v>5</v>
      </c>
      <c r="C196" t="str">
        <f t="shared" si="21"/>
        <v>https://www.laparola.net/testo.php?riferimento=1Tm+5&amp;versioni[]=Martini</v>
      </c>
      <c r="D196" t="str">
        <f t="shared" si="22"/>
        <v>https://www.laparola.net/testo.php?riferimento=1Tm+5&amp;versioni[]=Ricciotti</v>
      </c>
      <c r="E196" t="str">
        <f t="shared" si="23"/>
        <v>https://www.laparola.net/testo.php?riferimento=1Tm+5&amp;versioni[]=Diodati</v>
      </c>
      <c r="F196" t="str">
        <f t="shared" si="24"/>
        <v>https://www.laparola.net/testo.php?riferimento=1Tm+5&amp;versioni[]=Nuova+Diodati</v>
      </c>
      <c r="G196" t="str">
        <f t="shared" si="25"/>
        <v>https://www.laparola.net/testo.php?riferimento=1Tm+5&amp;versioni[]=Riveduta</v>
      </c>
      <c r="H196" t="str">
        <f t="shared" si="26"/>
        <v>https://www.laparola.net/testo.php?riferimento=1Tm+5&amp;versioni[]=Nuova+Riveduta</v>
      </c>
      <c r="I196" t="str">
        <f t="shared" si="27"/>
        <v>https://www.laparola.net/testo.php?riferimento=1Tm+5&amp;versioni[]=Riveduta+2020</v>
      </c>
    </row>
    <row r="197" spans="1:9" x14ac:dyDescent="0.25">
      <c r="A197" t="s">
        <v>30</v>
      </c>
      <c r="B197">
        <v>6</v>
      </c>
      <c r="C197" t="str">
        <f t="shared" si="21"/>
        <v>https://www.laparola.net/testo.php?riferimento=1Tm+6&amp;versioni[]=Martini</v>
      </c>
      <c r="D197" t="str">
        <f t="shared" si="22"/>
        <v>https://www.laparola.net/testo.php?riferimento=1Tm+6&amp;versioni[]=Ricciotti</v>
      </c>
      <c r="E197" t="str">
        <f t="shared" si="23"/>
        <v>https://www.laparola.net/testo.php?riferimento=1Tm+6&amp;versioni[]=Diodati</v>
      </c>
      <c r="F197" t="str">
        <f t="shared" si="24"/>
        <v>https://www.laparola.net/testo.php?riferimento=1Tm+6&amp;versioni[]=Nuova+Diodati</v>
      </c>
      <c r="G197" t="str">
        <f t="shared" si="25"/>
        <v>https://www.laparola.net/testo.php?riferimento=1Tm+6&amp;versioni[]=Riveduta</v>
      </c>
      <c r="H197" t="str">
        <f t="shared" si="26"/>
        <v>https://www.laparola.net/testo.php?riferimento=1Tm+6&amp;versioni[]=Nuova+Riveduta</v>
      </c>
      <c r="I197" t="str">
        <f t="shared" si="27"/>
        <v>https://www.laparola.net/testo.php?riferimento=1Tm+6&amp;versioni[]=Riveduta+2020</v>
      </c>
    </row>
    <row r="198" spans="1:9" x14ac:dyDescent="0.25">
      <c r="A198" t="s">
        <v>32</v>
      </c>
      <c r="B198">
        <v>1</v>
      </c>
      <c r="C198" t="str">
        <f t="shared" si="21"/>
        <v>https://www.laparola.net/testo.php?riferimento=2Tm+1&amp;versioni[]=Martini</v>
      </c>
      <c r="D198" t="str">
        <f t="shared" si="22"/>
        <v>https://www.laparola.net/testo.php?riferimento=2Tm+1&amp;versioni[]=Ricciotti</v>
      </c>
      <c r="E198" t="str">
        <f t="shared" si="23"/>
        <v>https://www.laparola.net/testo.php?riferimento=2Tm+1&amp;versioni[]=Diodati</v>
      </c>
      <c r="F198" t="str">
        <f t="shared" si="24"/>
        <v>https://www.laparola.net/testo.php?riferimento=2Tm+1&amp;versioni[]=Nuova+Diodati</v>
      </c>
      <c r="G198" t="str">
        <f t="shared" si="25"/>
        <v>https://www.laparola.net/testo.php?riferimento=2Tm+1&amp;versioni[]=Riveduta</v>
      </c>
      <c r="H198" t="str">
        <f t="shared" si="26"/>
        <v>https://www.laparola.net/testo.php?riferimento=2Tm+1&amp;versioni[]=Nuova+Riveduta</v>
      </c>
      <c r="I198" t="str">
        <f t="shared" si="27"/>
        <v>https://www.laparola.net/testo.php?riferimento=2Tm+1&amp;versioni[]=Riveduta+2020</v>
      </c>
    </row>
    <row r="199" spans="1:9" x14ac:dyDescent="0.25">
      <c r="A199" t="s">
        <v>32</v>
      </c>
      <c r="B199">
        <v>2</v>
      </c>
      <c r="C199" t="str">
        <f t="shared" si="21"/>
        <v>https://www.laparola.net/testo.php?riferimento=2Tm+2&amp;versioni[]=Martini</v>
      </c>
      <c r="D199" t="str">
        <f t="shared" si="22"/>
        <v>https://www.laparola.net/testo.php?riferimento=2Tm+2&amp;versioni[]=Ricciotti</v>
      </c>
      <c r="E199" t="str">
        <f t="shared" si="23"/>
        <v>https://www.laparola.net/testo.php?riferimento=2Tm+2&amp;versioni[]=Diodati</v>
      </c>
      <c r="F199" t="str">
        <f t="shared" si="24"/>
        <v>https://www.laparola.net/testo.php?riferimento=2Tm+2&amp;versioni[]=Nuova+Diodati</v>
      </c>
      <c r="G199" t="str">
        <f t="shared" si="25"/>
        <v>https://www.laparola.net/testo.php?riferimento=2Tm+2&amp;versioni[]=Riveduta</v>
      </c>
      <c r="H199" t="str">
        <f t="shared" si="26"/>
        <v>https://www.laparola.net/testo.php?riferimento=2Tm+2&amp;versioni[]=Nuova+Riveduta</v>
      </c>
      <c r="I199" t="str">
        <f t="shared" si="27"/>
        <v>https://www.laparola.net/testo.php?riferimento=2Tm+2&amp;versioni[]=Riveduta+2020</v>
      </c>
    </row>
    <row r="200" spans="1:9" x14ac:dyDescent="0.25">
      <c r="A200" t="s">
        <v>32</v>
      </c>
      <c r="B200">
        <v>3</v>
      </c>
      <c r="C200" t="str">
        <f t="shared" si="21"/>
        <v>https://www.laparola.net/testo.php?riferimento=2Tm+3&amp;versioni[]=Martini</v>
      </c>
      <c r="D200" t="str">
        <f t="shared" si="22"/>
        <v>https://www.laparola.net/testo.php?riferimento=2Tm+3&amp;versioni[]=Ricciotti</v>
      </c>
      <c r="E200" t="str">
        <f t="shared" si="23"/>
        <v>https://www.laparola.net/testo.php?riferimento=2Tm+3&amp;versioni[]=Diodati</v>
      </c>
      <c r="F200" t="str">
        <f t="shared" si="24"/>
        <v>https://www.laparola.net/testo.php?riferimento=2Tm+3&amp;versioni[]=Nuova+Diodati</v>
      </c>
      <c r="G200" t="str">
        <f t="shared" si="25"/>
        <v>https://www.laparola.net/testo.php?riferimento=2Tm+3&amp;versioni[]=Riveduta</v>
      </c>
      <c r="H200" t="str">
        <f t="shared" si="26"/>
        <v>https://www.laparola.net/testo.php?riferimento=2Tm+3&amp;versioni[]=Nuova+Riveduta</v>
      </c>
      <c r="I200" t="str">
        <f t="shared" si="27"/>
        <v>https://www.laparola.net/testo.php?riferimento=2Tm+3&amp;versioni[]=Riveduta+2020</v>
      </c>
    </row>
    <row r="201" spans="1:9" x14ac:dyDescent="0.25">
      <c r="A201" t="s">
        <v>32</v>
      </c>
      <c r="B201">
        <v>4</v>
      </c>
      <c r="C201" t="str">
        <f t="shared" si="21"/>
        <v>https://www.laparola.net/testo.php?riferimento=2Tm+4&amp;versioni[]=Martini</v>
      </c>
      <c r="D201" t="str">
        <f t="shared" si="22"/>
        <v>https://www.laparola.net/testo.php?riferimento=2Tm+4&amp;versioni[]=Ricciotti</v>
      </c>
      <c r="E201" t="str">
        <f t="shared" si="23"/>
        <v>https://www.laparola.net/testo.php?riferimento=2Tm+4&amp;versioni[]=Diodati</v>
      </c>
      <c r="F201" t="str">
        <f t="shared" si="24"/>
        <v>https://www.laparola.net/testo.php?riferimento=2Tm+4&amp;versioni[]=Nuova+Diodati</v>
      </c>
      <c r="G201" t="str">
        <f t="shared" si="25"/>
        <v>https://www.laparola.net/testo.php?riferimento=2Tm+4&amp;versioni[]=Riveduta</v>
      </c>
      <c r="H201" t="str">
        <f t="shared" si="26"/>
        <v>https://www.laparola.net/testo.php?riferimento=2Tm+4&amp;versioni[]=Nuova+Riveduta</v>
      </c>
      <c r="I201" t="str">
        <f t="shared" si="27"/>
        <v>https://www.laparola.net/testo.php?riferimento=2Tm+4&amp;versioni[]=Riveduta+2020</v>
      </c>
    </row>
    <row r="202" spans="1:9" x14ac:dyDescent="0.25">
      <c r="A202" t="s">
        <v>34</v>
      </c>
      <c r="B202">
        <v>1</v>
      </c>
      <c r="C202" t="str">
        <f t="shared" si="21"/>
        <v>https://www.laparola.net/testo.php?riferimento=Tt+1&amp;versioni[]=Martini</v>
      </c>
      <c r="D202" t="str">
        <f t="shared" si="22"/>
        <v>https://www.laparola.net/testo.php?riferimento=Tt+1&amp;versioni[]=Ricciotti</v>
      </c>
      <c r="E202" t="str">
        <f t="shared" si="23"/>
        <v>https://www.laparola.net/testo.php?riferimento=Tt+1&amp;versioni[]=Diodati</v>
      </c>
      <c r="F202" t="str">
        <f t="shared" si="24"/>
        <v>https://www.laparola.net/testo.php?riferimento=Tt+1&amp;versioni[]=Nuova+Diodati</v>
      </c>
      <c r="G202" t="str">
        <f t="shared" si="25"/>
        <v>https://www.laparola.net/testo.php?riferimento=Tt+1&amp;versioni[]=Riveduta</v>
      </c>
      <c r="H202" t="str">
        <f t="shared" si="26"/>
        <v>https://www.laparola.net/testo.php?riferimento=Tt+1&amp;versioni[]=Nuova+Riveduta</v>
      </c>
      <c r="I202" t="str">
        <f t="shared" si="27"/>
        <v>https://www.laparola.net/testo.php?riferimento=Tt+1&amp;versioni[]=Riveduta+2020</v>
      </c>
    </row>
    <row r="203" spans="1:9" x14ac:dyDescent="0.25">
      <c r="A203" t="s">
        <v>34</v>
      </c>
      <c r="B203">
        <v>2</v>
      </c>
      <c r="C203" t="str">
        <f t="shared" si="21"/>
        <v>https://www.laparola.net/testo.php?riferimento=Tt+2&amp;versioni[]=Martini</v>
      </c>
      <c r="D203" t="str">
        <f t="shared" si="22"/>
        <v>https://www.laparola.net/testo.php?riferimento=Tt+2&amp;versioni[]=Ricciotti</v>
      </c>
      <c r="E203" t="str">
        <f t="shared" si="23"/>
        <v>https://www.laparola.net/testo.php?riferimento=Tt+2&amp;versioni[]=Diodati</v>
      </c>
      <c r="F203" t="str">
        <f t="shared" si="24"/>
        <v>https://www.laparola.net/testo.php?riferimento=Tt+2&amp;versioni[]=Nuova+Diodati</v>
      </c>
      <c r="G203" t="str">
        <f t="shared" si="25"/>
        <v>https://www.laparola.net/testo.php?riferimento=Tt+2&amp;versioni[]=Riveduta</v>
      </c>
      <c r="H203" t="str">
        <f t="shared" si="26"/>
        <v>https://www.laparola.net/testo.php?riferimento=Tt+2&amp;versioni[]=Nuova+Riveduta</v>
      </c>
      <c r="I203" t="str">
        <f t="shared" si="27"/>
        <v>https://www.laparola.net/testo.php?riferimento=Tt+2&amp;versioni[]=Riveduta+2020</v>
      </c>
    </row>
    <row r="204" spans="1:9" x14ac:dyDescent="0.25">
      <c r="A204" t="s">
        <v>34</v>
      </c>
      <c r="B204">
        <v>3</v>
      </c>
      <c r="C204" t="str">
        <f t="shared" si="21"/>
        <v>https://www.laparola.net/testo.php?riferimento=Tt+3&amp;versioni[]=Martini</v>
      </c>
      <c r="D204" t="str">
        <f t="shared" si="22"/>
        <v>https://www.laparola.net/testo.php?riferimento=Tt+3&amp;versioni[]=Ricciotti</v>
      </c>
      <c r="E204" t="str">
        <f t="shared" si="23"/>
        <v>https://www.laparola.net/testo.php?riferimento=Tt+3&amp;versioni[]=Diodati</v>
      </c>
      <c r="F204" t="str">
        <f t="shared" si="24"/>
        <v>https://www.laparola.net/testo.php?riferimento=Tt+3&amp;versioni[]=Nuova+Diodati</v>
      </c>
      <c r="G204" t="str">
        <f t="shared" si="25"/>
        <v>https://www.laparola.net/testo.php?riferimento=Tt+3&amp;versioni[]=Riveduta</v>
      </c>
      <c r="H204" t="str">
        <f t="shared" si="26"/>
        <v>https://www.laparola.net/testo.php?riferimento=Tt+3&amp;versioni[]=Nuova+Riveduta</v>
      </c>
      <c r="I204" t="str">
        <f t="shared" si="27"/>
        <v>https://www.laparola.net/testo.php?riferimento=Tt+3&amp;versioni[]=Riveduta+2020</v>
      </c>
    </row>
    <row r="205" spans="1:9" x14ac:dyDescent="0.25">
      <c r="A205" s="4" t="s">
        <v>36</v>
      </c>
      <c r="B205" s="4"/>
      <c r="C205" s="4" t="str">
        <f t="shared" si="21"/>
        <v>https://www.laparola.net/testo.php?riferimento=Fm+&amp;versioni[]=Martini</v>
      </c>
      <c r="D205" s="4" t="str">
        <f t="shared" si="22"/>
        <v>https://www.laparola.net/testo.php?riferimento=Fm+&amp;versioni[]=Ricciotti</v>
      </c>
      <c r="E205" s="4" t="str">
        <f t="shared" si="23"/>
        <v>https://www.laparola.net/testo.php?riferimento=Fm+&amp;versioni[]=Diodati</v>
      </c>
      <c r="F205" s="4" t="str">
        <f t="shared" si="24"/>
        <v>https://www.laparola.net/testo.php?riferimento=Fm+&amp;versioni[]=Nuova+Diodati</v>
      </c>
      <c r="G205" s="4" t="str">
        <f t="shared" si="25"/>
        <v>https://www.laparola.net/testo.php?riferimento=Fm+&amp;versioni[]=Riveduta</v>
      </c>
      <c r="H205" s="4" t="str">
        <f t="shared" si="26"/>
        <v>https://www.laparola.net/testo.php?riferimento=Fm+&amp;versioni[]=Nuova+Riveduta</v>
      </c>
      <c r="I205" s="4" t="str">
        <f t="shared" si="27"/>
        <v>https://www.laparola.net/testo.php?riferimento=Fm+&amp;versioni[]=Riveduta+2020</v>
      </c>
    </row>
    <row r="206" spans="1:9" x14ac:dyDescent="0.25">
      <c r="A206" t="s">
        <v>37</v>
      </c>
      <c r="B206">
        <v>1</v>
      </c>
      <c r="C206" t="str">
        <f t="shared" si="21"/>
        <v>https://www.laparola.net/testo.php?riferimento=Eb+1&amp;versioni[]=Martini</v>
      </c>
      <c r="D206" t="str">
        <f t="shared" si="22"/>
        <v>https://www.laparola.net/testo.php?riferimento=Eb+1&amp;versioni[]=Ricciotti</v>
      </c>
      <c r="E206" t="str">
        <f t="shared" si="23"/>
        <v>https://www.laparola.net/testo.php?riferimento=Eb+1&amp;versioni[]=Diodati</v>
      </c>
      <c r="F206" t="str">
        <f t="shared" si="24"/>
        <v>https://www.laparola.net/testo.php?riferimento=Eb+1&amp;versioni[]=Nuova+Diodati</v>
      </c>
      <c r="G206" t="str">
        <f t="shared" si="25"/>
        <v>https://www.laparola.net/testo.php?riferimento=Eb+1&amp;versioni[]=Riveduta</v>
      </c>
      <c r="H206" t="str">
        <f t="shared" si="26"/>
        <v>https://www.laparola.net/testo.php?riferimento=Eb+1&amp;versioni[]=Nuova+Riveduta</v>
      </c>
      <c r="I206" t="str">
        <f t="shared" si="27"/>
        <v>https://www.laparola.net/testo.php?riferimento=Eb+1&amp;versioni[]=Riveduta+2020</v>
      </c>
    </row>
    <row r="207" spans="1:9" x14ac:dyDescent="0.25">
      <c r="A207" t="s">
        <v>37</v>
      </c>
      <c r="B207">
        <v>2</v>
      </c>
      <c r="C207" t="str">
        <f t="shared" si="21"/>
        <v>https://www.laparola.net/testo.php?riferimento=Eb+2&amp;versioni[]=Martini</v>
      </c>
      <c r="D207" t="str">
        <f t="shared" si="22"/>
        <v>https://www.laparola.net/testo.php?riferimento=Eb+2&amp;versioni[]=Ricciotti</v>
      </c>
      <c r="E207" t="str">
        <f t="shared" si="23"/>
        <v>https://www.laparola.net/testo.php?riferimento=Eb+2&amp;versioni[]=Diodati</v>
      </c>
      <c r="F207" t="str">
        <f t="shared" si="24"/>
        <v>https://www.laparola.net/testo.php?riferimento=Eb+2&amp;versioni[]=Nuova+Diodati</v>
      </c>
      <c r="G207" t="str">
        <f t="shared" si="25"/>
        <v>https://www.laparola.net/testo.php?riferimento=Eb+2&amp;versioni[]=Riveduta</v>
      </c>
      <c r="H207" t="str">
        <f t="shared" si="26"/>
        <v>https://www.laparola.net/testo.php?riferimento=Eb+2&amp;versioni[]=Nuova+Riveduta</v>
      </c>
      <c r="I207" t="str">
        <f t="shared" si="27"/>
        <v>https://www.laparola.net/testo.php?riferimento=Eb+2&amp;versioni[]=Riveduta+2020</v>
      </c>
    </row>
    <row r="208" spans="1:9" x14ac:dyDescent="0.25">
      <c r="A208" t="s">
        <v>37</v>
      </c>
      <c r="B208">
        <v>3</v>
      </c>
      <c r="C208" t="str">
        <f t="shared" si="21"/>
        <v>https://www.laparola.net/testo.php?riferimento=Eb+3&amp;versioni[]=Martini</v>
      </c>
      <c r="D208" t="str">
        <f t="shared" si="22"/>
        <v>https://www.laparola.net/testo.php?riferimento=Eb+3&amp;versioni[]=Ricciotti</v>
      </c>
      <c r="E208" t="str">
        <f t="shared" si="23"/>
        <v>https://www.laparola.net/testo.php?riferimento=Eb+3&amp;versioni[]=Diodati</v>
      </c>
      <c r="F208" t="str">
        <f t="shared" si="24"/>
        <v>https://www.laparola.net/testo.php?riferimento=Eb+3&amp;versioni[]=Nuova+Diodati</v>
      </c>
      <c r="G208" t="str">
        <f t="shared" si="25"/>
        <v>https://www.laparola.net/testo.php?riferimento=Eb+3&amp;versioni[]=Riveduta</v>
      </c>
      <c r="H208" t="str">
        <f t="shared" si="26"/>
        <v>https://www.laparola.net/testo.php?riferimento=Eb+3&amp;versioni[]=Nuova+Riveduta</v>
      </c>
      <c r="I208" t="str">
        <f t="shared" si="27"/>
        <v>https://www.laparola.net/testo.php?riferimento=Eb+3&amp;versioni[]=Riveduta+2020</v>
      </c>
    </row>
    <row r="209" spans="1:9" x14ac:dyDescent="0.25">
      <c r="A209" t="s">
        <v>37</v>
      </c>
      <c r="B209">
        <v>4</v>
      </c>
      <c r="C209" t="str">
        <f t="shared" si="21"/>
        <v>https://www.laparola.net/testo.php?riferimento=Eb+4&amp;versioni[]=Martini</v>
      </c>
      <c r="D209" t="str">
        <f t="shared" si="22"/>
        <v>https://www.laparola.net/testo.php?riferimento=Eb+4&amp;versioni[]=Ricciotti</v>
      </c>
      <c r="E209" t="str">
        <f t="shared" si="23"/>
        <v>https://www.laparola.net/testo.php?riferimento=Eb+4&amp;versioni[]=Diodati</v>
      </c>
      <c r="F209" t="str">
        <f t="shared" si="24"/>
        <v>https://www.laparola.net/testo.php?riferimento=Eb+4&amp;versioni[]=Nuova+Diodati</v>
      </c>
      <c r="G209" t="str">
        <f t="shared" si="25"/>
        <v>https://www.laparola.net/testo.php?riferimento=Eb+4&amp;versioni[]=Riveduta</v>
      </c>
      <c r="H209" t="str">
        <f t="shared" si="26"/>
        <v>https://www.laparola.net/testo.php?riferimento=Eb+4&amp;versioni[]=Nuova+Riveduta</v>
      </c>
      <c r="I209" t="str">
        <f t="shared" si="27"/>
        <v>https://www.laparola.net/testo.php?riferimento=Eb+4&amp;versioni[]=Riveduta+2020</v>
      </c>
    </row>
    <row r="210" spans="1:9" x14ac:dyDescent="0.25">
      <c r="A210" t="s">
        <v>37</v>
      </c>
      <c r="B210">
        <v>5</v>
      </c>
      <c r="C210" t="str">
        <f t="shared" si="21"/>
        <v>https://www.laparola.net/testo.php?riferimento=Eb+5&amp;versioni[]=Martini</v>
      </c>
      <c r="D210" t="str">
        <f t="shared" si="22"/>
        <v>https://www.laparola.net/testo.php?riferimento=Eb+5&amp;versioni[]=Ricciotti</v>
      </c>
      <c r="E210" t="str">
        <f t="shared" si="23"/>
        <v>https://www.laparola.net/testo.php?riferimento=Eb+5&amp;versioni[]=Diodati</v>
      </c>
      <c r="F210" t="str">
        <f t="shared" si="24"/>
        <v>https://www.laparola.net/testo.php?riferimento=Eb+5&amp;versioni[]=Nuova+Diodati</v>
      </c>
      <c r="G210" t="str">
        <f t="shared" si="25"/>
        <v>https://www.laparola.net/testo.php?riferimento=Eb+5&amp;versioni[]=Riveduta</v>
      </c>
      <c r="H210" t="str">
        <f t="shared" si="26"/>
        <v>https://www.laparola.net/testo.php?riferimento=Eb+5&amp;versioni[]=Nuova+Riveduta</v>
      </c>
      <c r="I210" t="str">
        <f t="shared" si="27"/>
        <v>https://www.laparola.net/testo.php?riferimento=Eb+5&amp;versioni[]=Riveduta+2020</v>
      </c>
    </row>
    <row r="211" spans="1:9" x14ac:dyDescent="0.25">
      <c r="A211" t="s">
        <v>37</v>
      </c>
      <c r="B211">
        <v>6</v>
      </c>
      <c r="C211" t="str">
        <f t="shared" si="21"/>
        <v>https://www.laparola.net/testo.php?riferimento=Eb+6&amp;versioni[]=Martini</v>
      </c>
      <c r="D211" t="str">
        <f t="shared" si="22"/>
        <v>https://www.laparola.net/testo.php?riferimento=Eb+6&amp;versioni[]=Ricciotti</v>
      </c>
      <c r="E211" t="str">
        <f t="shared" si="23"/>
        <v>https://www.laparola.net/testo.php?riferimento=Eb+6&amp;versioni[]=Diodati</v>
      </c>
      <c r="F211" t="str">
        <f t="shared" si="24"/>
        <v>https://www.laparola.net/testo.php?riferimento=Eb+6&amp;versioni[]=Nuova+Diodati</v>
      </c>
      <c r="G211" t="str">
        <f t="shared" si="25"/>
        <v>https://www.laparola.net/testo.php?riferimento=Eb+6&amp;versioni[]=Riveduta</v>
      </c>
      <c r="H211" t="str">
        <f t="shared" si="26"/>
        <v>https://www.laparola.net/testo.php?riferimento=Eb+6&amp;versioni[]=Nuova+Riveduta</v>
      </c>
      <c r="I211" t="str">
        <f t="shared" si="27"/>
        <v>https://www.laparola.net/testo.php?riferimento=Eb+6&amp;versioni[]=Riveduta+2020</v>
      </c>
    </row>
    <row r="212" spans="1:9" x14ac:dyDescent="0.25">
      <c r="A212" t="s">
        <v>37</v>
      </c>
      <c r="B212">
        <v>7</v>
      </c>
      <c r="C212" t="str">
        <f t="shared" si="21"/>
        <v>https://www.laparola.net/testo.php?riferimento=Eb+7&amp;versioni[]=Martini</v>
      </c>
      <c r="D212" t="str">
        <f t="shared" si="22"/>
        <v>https://www.laparola.net/testo.php?riferimento=Eb+7&amp;versioni[]=Ricciotti</v>
      </c>
      <c r="E212" t="str">
        <f t="shared" si="23"/>
        <v>https://www.laparola.net/testo.php?riferimento=Eb+7&amp;versioni[]=Diodati</v>
      </c>
      <c r="F212" t="str">
        <f t="shared" si="24"/>
        <v>https://www.laparola.net/testo.php?riferimento=Eb+7&amp;versioni[]=Nuova+Diodati</v>
      </c>
      <c r="G212" t="str">
        <f t="shared" si="25"/>
        <v>https://www.laparola.net/testo.php?riferimento=Eb+7&amp;versioni[]=Riveduta</v>
      </c>
      <c r="H212" t="str">
        <f t="shared" si="26"/>
        <v>https://www.laparola.net/testo.php?riferimento=Eb+7&amp;versioni[]=Nuova+Riveduta</v>
      </c>
      <c r="I212" t="str">
        <f t="shared" si="27"/>
        <v>https://www.laparola.net/testo.php?riferimento=Eb+7&amp;versioni[]=Riveduta+2020</v>
      </c>
    </row>
    <row r="213" spans="1:9" x14ac:dyDescent="0.25">
      <c r="A213" t="s">
        <v>37</v>
      </c>
      <c r="B213">
        <v>8</v>
      </c>
      <c r="C213" t="str">
        <f t="shared" si="21"/>
        <v>https://www.laparola.net/testo.php?riferimento=Eb+8&amp;versioni[]=Martini</v>
      </c>
      <c r="D213" t="str">
        <f t="shared" si="22"/>
        <v>https://www.laparola.net/testo.php?riferimento=Eb+8&amp;versioni[]=Ricciotti</v>
      </c>
      <c r="E213" t="str">
        <f t="shared" si="23"/>
        <v>https://www.laparola.net/testo.php?riferimento=Eb+8&amp;versioni[]=Diodati</v>
      </c>
      <c r="F213" t="str">
        <f t="shared" si="24"/>
        <v>https://www.laparola.net/testo.php?riferimento=Eb+8&amp;versioni[]=Nuova+Diodati</v>
      </c>
      <c r="G213" t="str">
        <f t="shared" si="25"/>
        <v>https://www.laparola.net/testo.php?riferimento=Eb+8&amp;versioni[]=Riveduta</v>
      </c>
      <c r="H213" t="str">
        <f t="shared" si="26"/>
        <v>https://www.laparola.net/testo.php?riferimento=Eb+8&amp;versioni[]=Nuova+Riveduta</v>
      </c>
      <c r="I213" t="str">
        <f t="shared" si="27"/>
        <v>https://www.laparola.net/testo.php?riferimento=Eb+8&amp;versioni[]=Riveduta+2020</v>
      </c>
    </row>
    <row r="214" spans="1:9" x14ac:dyDescent="0.25">
      <c r="A214" t="s">
        <v>37</v>
      </c>
      <c r="B214">
        <v>9</v>
      </c>
      <c r="C214" t="str">
        <f t="shared" si="21"/>
        <v>https://www.laparola.net/testo.php?riferimento=Eb+9&amp;versioni[]=Martini</v>
      </c>
      <c r="D214" t="str">
        <f t="shared" si="22"/>
        <v>https://www.laparola.net/testo.php?riferimento=Eb+9&amp;versioni[]=Ricciotti</v>
      </c>
      <c r="E214" t="str">
        <f t="shared" si="23"/>
        <v>https://www.laparola.net/testo.php?riferimento=Eb+9&amp;versioni[]=Diodati</v>
      </c>
      <c r="F214" t="str">
        <f t="shared" si="24"/>
        <v>https://www.laparola.net/testo.php?riferimento=Eb+9&amp;versioni[]=Nuova+Diodati</v>
      </c>
      <c r="G214" t="str">
        <f t="shared" si="25"/>
        <v>https://www.laparola.net/testo.php?riferimento=Eb+9&amp;versioni[]=Riveduta</v>
      </c>
      <c r="H214" t="str">
        <f t="shared" si="26"/>
        <v>https://www.laparola.net/testo.php?riferimento=Eb+9&amp;versioni[]=Nuova+Riveduta</v>
      </c>
      <c r="I214" t="str">
        <f t="shared" si="27"/>
        <v>https://www.laparola.net/testo.php?riferimento=Eb+9&amp;versioni[]=Riveduta+2020</v>
      </c>
    </row>
    <row r="215" spans="1:9" x14ac:dyDescent="0.25">
      <c r="A215" t="s">
        <v>37</v>
      </c>
      <c r="B215">
        <v>10</v>
      </c>
      <c r="C215" t="str">
        <f t="shared" si="21"/>
        <v>https://www.laparola.net/testo.php?riferimento=Eb+10&amp;versioni[]=Martini</v>
      </c>
      <c r="D215" t="str">
        <f t="shared" si="22"/>
        <v>https://www.laparola.net/testo.php?riferimento=Eb+10&amp;versioni[]=Ricciotti</v>
      </c>
      <c r="E215" t="str">
        <f t="shared" si="23"/>
        <v>https://www.laparola.net/testo.php?riferimento=Eb+10&amp;versioni[]=Diodati</v>
      </c>
      <c r="F215" t="str">
        <f t="shared" si="24"/>
        <v>https://www.laparola.net/testo.php?riferimento=Eb+10&amp;versioni[]=Nuova+Diodati</v>
      </c>
      <c r="G215" t="str">
        <f t="shared" si="25"/>
        <v>https://www.laparola.net/testo.php?riferimento=Eb+10&amp;versioni[]=Riveduta</v>
      </c>
      <c r="H215" t="str">
        <f t="shared" si="26"/>
        <v>https://www.laparola.net/testo.php?riferimento=Eb+10&amp;versioni[]=Nuova+Riveduta</v>
      </c>
      <c r="I215" t="str">
        <f t="shared" si="27"/>
        <v>https://www.laparola.net/testo.php?riferimento=Eb+10&amp;versioni[]=Riveduta+2020</v>
      </c>
    </row>
    <row r="216" spans="1:9" x14ac:dyDescent="0.25">
      <c r="A216" t="s">
        <v>37</v>
      </c>
      <c r="B216">
        <v>11</v>
      </c>
      <c r="C216" t="str">
        <f t="shared" si="21"/>
        <v>https://www.laparola.net/testo.php?riferimento=Eb+11&amp;versioni[]=Martini</v>
      </c>
      <c r="D216" t="str">
        <f t="shared" si="22"/>
        <v>https://www.laparola.net/testo.php?riferimento=Eb+11&amp;versioni[]=Ricciotti</v>
      </c>
      <c r="E216" t="str">
        <f t="shared" si="23"/>
        <v>https://www.laparola.net/testo.php?riferimento=Eb+11&amp;versioni[]=Diodati</v>
      </c>
      <c r="F216" t="str">
        <f t="shared" si="24"/>
        <v>https://www.laparola.net/testo.php?riferimento=Eb+11&amp;versioni[]=Nuova+Diodati</v>
      </c>
      <c r="G216" t="str">
        <f t="shared" si="25"/>
        <v>https://www.laparola.net/testo.php?riferimento=Eb+11&amp;versioni[]=Riveduta</v>
      </c>
      <c r="H216" t="str">
        <f t="shared" si="26"/>
        <v>https://www.laparola.net/testo.php?riferimento=Eb+11&amp;versioni[]=Nuova+Riveduta</v>
      </c>
      <c r="I216" t="str">
        <f t="shared" si="27"/>
        <v>https://www.laparola.net/testo.php?riferimento=Eb+11&amp;versioni[]=Riveduta+2020</v>
      </c>
    </row>
    <row r="217" spans="1:9" x14ac:dyDescent="0.25">
      <c r="A217" t="s">
        <v>37</v>
      </c>
      <c r="B217">
        <v>12</v>
      </c>
      <c r="C217" t="str">
        <f t="shared" si="21"/>
        <v>https://www.laparola.net/testo.php?riferimento=Eb+12&amp;versioni[]=Martini</v>
      </c>
      <c r="D217" t="str">
        <f t="shared" si="22"/>
        <v>https://www.laparola.net/testo.php?riferimento=Eb+12&amp;versioni[]=Ricciotti</v>
      </c>
      <c r="E217" t="str">
        <f t="shared" si="23"/>
        <v>https://www.laparola.net/testo.php?riferimento=Eb+12&amp;versioni[]=Diodati</v>
      </c>
      <c r="F217" t="str">
        <f t="shared" si="24"/>
        <v>https://www.laparola.net/testo.php?riferimento=Eb+12&amp;versioni[]=Nuova+Diodati</v>
      </c>
      <c r="G217" t="str">
        <f t="shared" si="25"/>
        <v>https://www.laparola.net/testo.php?riferimento=Eb+12&amp;versioni[]=Riveduta</v>
      </c>
      <c r="H217" t="str">
        <f t="shared" si="26"/>
        <v>https://www.laparola.net/testo.php?riferimento=Eb+12&amp;versioni[]=Nuova+Riveduta</v>
      </c>
      <c r="I217" t="str">
        <f t="shared" si="27"/>
        <v>https://www.laparola.net/testo.php?riferimento=Eb+12&amp;versioni[]=Riveduta+2020</v>
      </c>
    </row>
    <row r="218" spans="1:9" x14ac:dyDescent="0.25">
      <c r="A218" t="s">
        <v>37</v>
      </c>
      <c r="B218">
        <v>13</v>
      </c>
      <c r="C218" t="str">
        <f t="shared" si="21"/>
        <v>https://www.laparola.net/testo.php?riferimento=Eb+13&amp;versioni[]=Martini</v>
      </c>
      <c r="D218" t="str">
        <f t="shared" si="22"/>
        <v>https://www.laparola.net/testo.php?riferimento=Eb+13&amp;versioni[]=Ricciotti</v>
      </c>
      <c r="E218" t="str">
        <f t="shared" si="23"/>
        <v>https://www.laparola.net/testo.php?riferimento=Eb+13&amp;versioni[]=Diodati</v>
      </c>
      <c r="F218" t="str">
        <f t="shared" si="24"/>
        <v>https://www.laparola.net/testo.php?riferimento=Eb+13&amp;versioni[]=Nuova+Diodati</v>
      </c>
      <c r="G218" t="str">
        <f t="shared" si="25"/>
        <v>https://www.laparola.net/testo.php?riferimento=Eb+13&amp;versioni[]=Riveduta</v>
      </c>
      <c r="H218" t="str">
        <f t="shared" si="26"/>
        <v>https://www.laparola.net/testo.php?riferimento=Eb+13&amp;versioni[]=Nuova+Riveduta</v>
      </c>
      <c r="I218" t="str">
        <f t="shared" si="27"/>
        <v>https://www.laparola.net/testo.php?riferimento=Eb+13&amp;versioni[]=Riveduta+2020</v>
      </c>
    </row>
    <row r="219" spans="1:9" x14ac:dyDescent="0.25">
      <c r="A219" s="4" t="s">
        <v>39</v>
      </c>
      <c r="B219" s="4">
        <v>1</v>
      </c>
      <c r="C219" s="4" t="str">
        <f t="shared" si="21"/>
        <v>https://www.laparola.net/testo.php?riferimento=Gc+1&amp;versioni[]=Martini</v>
      </c>
      <c r="D219" s="4" t="str">
        <f t="shared" si="22"/>
        <v>https://www.laparola.net/testo.php?riferimento=Gc+1&amp;versioni[]=Ricciotti</v>
      </c>
      <c r="E219" s="4" t="str">
        <f t="shared" si="23"/>
        <v>https://www.laparola.net/testo.php?riferimento=Gc+1&amp;versioni[]=Diodati</v>
      </c>
      <c r="F219" s="4" t="str">
        <f t="shared" si="24"/>
        <v>https://www.laparola.net/testo.php?riferimento=Gc+1&amp;versioni[]=Nuova+Diodati</v>
      </c>
      <c r="G219" s="4" t="str">
        <f t="shared" si="25"/>
        <v>https://www.laparola.net/testo.php?riferimento=Gc+1&amp;versioni[]=Riveduta</v>
      </c>
      <c r="H219" s="4" t="str">
        <f t="shared" si="26"/>
        <v>https://www.laparola.net/testo.php?riferimento=Gc+1&amp;versioni[]=Nuova+Riveduta</v>
      </c>
      <c r="I219" s="4" t="str">
        <f t="shared" si="27"/>
        <v>https://www.laparola.net/testo.php?riferimento=Gc+1&amp;versioni[]=Riveduta+2020</v>
      </c>
    </row>
    <row r="220" spans="1:9" x14ac:dyDescent="0.25">
      <c r="A220" s="4" t="s">
        <v>39</v>
      </c>
      <c r="B220" s="4">
        <v>2</v>
      </c>
      <c r="C220" s="4" t="str">
        <f t="shared" si="21"/>
        <v>https://www.laparola.net/testo.php?riferimento=Gc+2&amp;versioni[]=Martini</v>
      </c>
      <c r="D220" s="4" t="str">
        <f t="shared" si="22"/>
        <v>https://www.laparola.net/testo.php?riferimento=Gc+2&amp;versioni[]=Ricciotti</v>
      </c>
      <c r="E220" s="4" t="str">
        <f t="shared" si="23"/>
        <v>https://www.laparola.net/testo.php?riferimento=Gc+2&amp;versioni[]=Diodati</v>
      </c>
      <c r="F220" s="4" t="str">
        <f t="shared" si="24"/>
        <v>https://www.laparola.net/testo.php?riferimento=Gc+2&amp;versioni[]=Nuova+Diodati</v>
      </c>
      <c r="G220" s="4" t="str">
        <f t="shared" si="25"/>
        <v>https://www.laparola.net/testo.php?riferimento=Gc+2&amp;versioni[]=Riveduta</v>
      </c>
      <c r="H220" s="4" t="str">
        <f t="shared" si="26"/>
        <v>https://www.laparola.net/testo.php?riferimento=Gc+2&amp;versioni[]=Nuova+Riveduta</v>
      </c>
      <c r="I220" s="4" t="str">
        <f t="shared" si="27"/>
        <v>https://www.laparola.net/testo.php?riferimento=Gc+2&amp;versioni[]=Riveduta+2020</v>
      </c>
    </row>
    <row r="221" spans="1:9" x14ac:dyDescent="0.25">
      <c r="A221" s="4" t="s">
        <v>39</v>
      </c>
      <c r="B221" s="4">
        <v>3</v>
      </c>
      <c r="C221" s="4" t="str">
        <f t="shared" si="21"/>
        <v>https://www.laparola.net/testo.php?riferimento=Gc+3&amp;versioni[]=Martini</v>
      </c>
      <c r="D221" s="4" t="str">
        <f t="shared" si="22"/>
        <v>https://www.laparola.net/testo.php?riferimento=Gc+3&amp;versioni[]=Ricciotti</v>
      </c>
      <c r="E221" s="4" t="str">
        <f t="shared" si="23"/>
        <v>https://www.laparola.net/testo.php?riferimento=Gc+3&amp;versioni[]=Diodati</v>
      </c>
      <c r="F221" s="4" t="str">
        <f t="shared" si="24"/>
        <v>https://www.laparola.net/testo.php?riferimento=Gc+3&amp;versioni[]=Nuova+Diodati</v>
      </c>
      <c r="G221" s="4" t="str">
        <f t="shared" si="25"/>
        <v>https://www.laparola.net/testo.php?riferimento=Gc+3&amp;versioni[]=Riveduta</v>
      </c>
      <c r="H221" s="4" t="str">
        <f t="shared" si="26"/>
        <v>https://www.laparola.net/testo.php?riferimento=Gc+3&amp;versioni[]=Nuova+Riveduta</v>
      </c>
      <c r="I221" s="4" t="str">
        <f t="shared" si="27"/>
        <v>https://www.laparola.net/testo.php?riferimento=Gc+3&amp;versioni[]=Riveduta+2020</v>
      </c>
    </row>
    <row r="222" spans="1:9" x14ac:dyDescent="0.25">
      <c r="A222" s="4" t="s">
        <v>39</v>
      </c>
      <c r="B222" s="4">
        <v>4</v>
      </c>
      <c r="C222" s="4" t="str">
        <f t="shared" si="21"/>
        <v>https://www.laparola.net/testo.php?riferimento=Gc+4&amp;versioni[]=Martini</v>
      </c>
      <c r="D222" s="4" t="str">
        <f t="shared" si="22"/>
        <v>https://www.laparola.net/testo.php?riferimento=Gc+4&amp;versioni[]=Ricciotti</v>
      </c>
      <c r="E222" s="4" t="str">
        <f t="shared" si="23"/>
        <v>https://www.laparola.net/testo.php?riferimento=Gc+4&amp;versioni[]=Diodati</v>
      </c>
      <c r="F222" s="4" t="str">
        <f t="shared" si="24"/>
        <v>https://www.laparola.net/testo.php?riferimento=Gc+4&amp;versioni[]=Nuova+Diodati</v>
      </c>
      <c r="G222" s="4" t="str">
        <f t="shared" si="25"/>
        <v>https://www.laparola.net/testo.php?riferimento=Gc+4&amp;versioni[]=Riveduta</v>
      </c>
      <c r="H222" s="4" t="str">
        <f t="shared" si="26"/>
        <v>https://www.laparola.net/testo.php?riferimento=Gc+4&amp;versioni[]=Nuova+Riveduta</v>
      </c>
      <c r="I222" s="4" t="str">
        <f t="shared" si="27"/>
        <v>https://www.laparola.net/testo.php?riferimento=Gc+4&amp;versioni[]=Riveduta+2020</v>
      </c>
    </row>
    <row r="223" spans="1:9" x14ac:dyDescent="0.25">
      <c r="A223" s="4" t="s">
        <v>39</v>
      </c>
      <c r="B223" s="4">
        <v>5</v>
      </c>
      <c r="C223" s="4" t="str">
        <f t="shared" si="21"/>
        <v>https://www.laparola.net/testo.php?riferimento=Gc+5&amp;versioni[]=Martini</v>
      </c>
      <c r="D223" s="4" t="str">
        <f t="shared" si="22"/>
        <v>https://www.laparola.net/testo.php?riferimento=Gc+5&amp;versioni[]=Ricciotti</v>
      </c>
      <c r="E223" s="4" t="str">
        <f t="shared" si="23"/>
        <v>https://www.laparola.net/testo.php?riferimento=Gc+5&amp;versioni[]=Diodati</v>
      </c>
      <c r="F223" s="4" t="str">
        <f t="shared" si="24"/>
        <v>https://www.laparola.net/testo.php?riferimento=Gc+5&amp;versioni[]=Nuova+Diodati</v>
      </c>
      <c r="G223" s="4" t="str">
        <f t="shared" si="25"/>
        <v>https://www.laparola.net/testo.php?riferimento=Gc+5&amp;versioni[]=Riveduta</v>
      </c>
      <c r="H223" s="4" t="str">
        <f t="shared" si="26"/>
        <v>https://www.laparola.net/testo.php?riferimento=Gc+5&amp;versioni[]=Nuova+Riveduta</v>
      </c>
      <c r="I223" s="4" t="str">
        <f t="shared" si="27"/>
        <v>https://www.laparola.net/testo.php?riferimento=Gc+5&amp;versioni[]=Riveduta+2020</v>
      </c>
    </row>
    <row r="224" spans="1:9" x14ac:dyDescent="0.25">
      <c r="A224" s="4" t="s">
        <v>41</v>
      </c>
      <c r="B224" s="4">
        <v>1</v>
      </c>
      <c r="C224" s="4" t="str">
        <f t="shared" si="21"/>
        <v>https://www.laparola.net/testo.php?riferimento=1Pt+1&amp;versioni[]=Martini</v>
      </c>
      <c r="D224" s="4" t="str">
        <f t="shared" si="22"/>
        <v>https://www.laparola.net/testo.php?riferimento=1Pt+1&amp;versioni[]=Ricciotti</v>
      </c>
      <c r="E224" s="4" t="str">
        <f t="shared" si="23"/>
        <v>https://www.laparola.net/testo.php?riferimento=1Pt+1&amp;versioni[]=Diodati</v>
      </c>
      <c r="F224" s="4" t="str">
        <f t="shared" si="24"/>
        <v>https://www.laparola.net/testo.php?riferimento=1Pt+1&amp;versioni[]=Nuova+Diodati</v>
      </c>
      <c r="G224" s="4" t="str">
        <f t="shared" si="25"/>
        <v>https://www.laparola.net/testo.php?riferimento=1Pt+1&amp;versioni[]=Riveduta</v>
      </c>
      <c r="H224" s="4" t="str">
        <f t="shared" si="26"/>
        <v>https://www.laparola.net/testo.php?riferimento=1Pt+1&amp;versioni[]=Nuova+Riveduta</v>
      </c>
      <c r="I224" s="4" t="str">
        <f t="shared" si="27"/>
        <v>https://www.laparola.net/testo.php?riferimento=1Pt+1&amp;versioni[]=Riveduta+2020</v>
      </c>
    </row>
    <row r="225" spans="1:9" x14ac:dyDescent="0.25">
      <c r="A225" s="4" t="s">
        <v>41</v>
      </c>
      <c r="B225" s="4">
        <v>2</v>
      </c>
      <c r="C225" s="4" t="str">
        <f t="shared" si="21"/>
        <v>https://www.laparola.net/testo.php?riferimento=1Pt+2&amp;versioni[]=Martini</v>
      </c>
      <c r="D225" s="4" t="str">
        <f t="shared" si="22"/>
        <v>https://www.laparola.net/testo.php?riferimento=1Pt+2&amp;versioni[]=Ricciotti</v>
      </c>
      <c r="E225" s="4" t="str">
        <f t="shared" si="23"/>
        <v>https://www.laparola.net/testo.php?riferimento=1Pt+2&amp;versioni[]=Diodati</v>
      </c>
      <c r="F225" s="4" t="str">
        <f t="shared" si="24"/>
        <v>https://www.laparola.net/testo.php?riferimento=1Pt+2&amp;versioni[]=Nuova+Diodati</v>
      </c>
      <c r="G225" s="4" t="str">
        <f t="shared" si="25"/>
        <v>https://www.laparola.net/testo.php?riferimento=1Pt+2&amp;versioni[]=Riveduta</v>
      </c>
      <c r="H225" s="4" t="str">
        <f t="shared" si="26"/>
        <v>https://www.laparola.net/testo.php?riferimento=1Pt+2&amp;versioni[]=Nuova+Riveduta</v>
      </c>
      <c r="I225" s="4" t="str">
        <f t="shared" si="27"/>
        <v>https://www.laparola.net/testo.php?riferimento=1Pt+2&amp;versioni[]=Riveduta+2020</v>
      </c>
    </row>
    <row r="226" spans="1:9" x14ac:dyDescent="0.25">
      <c r="A226" s="4" t="s">
        <v>41</v>
      </c>
      <c r="B226" s="4">
        <v>3</v>
      </c>
      <c r="C226" s="4" t="str">
        <f t="shared" si="21"/>
        <v>https://www.laparola.net/testo.php?riferimento=1Pt+3&amp;versioni[]=Martini</v>
      </c>
      <c r="D226" s="4" t="str">
        <f t="shared" si="22"/>
        <v>https://www.laparola.net/testo.php?riferimento=1Pt+3&amp;versioni[]=Ricciotti</v>
      </c>
      <c r="E226" s="4" t="str">
        <f t="shared" si="23"/>
        <v>https://www.laparola.net/testo.php?riferimento=1Pt+3&amp;versioni[]=Diodati</v>
      </c>
      <c r="F226" s="4" t="str">
        <f t="shared" si="24"/>
        <v>https://www.laparola.net/testo.php?riferimento=1Pt+3&amp;versioni[]=Nuova+Diodati</v>
      </c>
      <c r="G226" s="4" t="str">
        <f t="shared" si="25"/>
        <v>https://www.laparola.net/testo.php?riferimento=1Pt+3&amp;versioni[]=Riveduta</v>
      </c>
      <c r="H226" s="4" t="str">
        <f t="shared" si="26"/>
        <v>https://www.laparola.net/testo.php?riferimento=1Pt+3&amp;versioni[]=Nuova+Riveduta</v>
      </c>
      <c r="I226" s="4" t="str">
        <f t="shared" si="27"/>
        <v>https://www.laparola.net/testo.php?riferimento=1Pt+3&amp;versioni[]=Riveduta+2020</v>
      </c>
    </row>
    <row r="227" spans="1:9" x14ac:dyDescent="0.25">
      <c r="A227" s="4" t="s">
        <v>41</v>
      </c>
      <c r="B227" s="4">
        <v>4</v>
      </c>
      <c r="C227" s="4" t="str">
        <f t="shared" si="21"/>
        <v>https://www.laparola.net/testo.php?riferimento=1Pt+4&amp;versioni[]=Martini</v>
      </c>
      <c r="D227" s="4" t="str">
        <f t="shared" si="22"/>
        <v>https://www.laparola.net/testo.php?riferimento=1Pt+4&amp;versioni[]=Ricciotti</v>
      </c>
      <c r="E227" s="4" t="str">
        <f t="shared" si="23"/>
        <v>https://www.laparola.net/testo.php?riferimento=1Pt+4&amp;versioni[]=Diodati</v>
      </c>
      <c r="F227" s="4" t="str">
        <f t="shared" si="24"/>
        <v>https://www.laparola.net/testo.php?riferimento=1Pt+4&amp;versioni[]=Nuova+Diodati</v>
      </c>
      <c r="G227" s="4" t="str">
        <f t="shared" si="25"/>
        <v>https://www.laparola.net/testo.php?riferimento=1Pt+4&amp;versioni[]=Riveduta</v>
      </c>
      <c r="H227" s="4" t="str">
        <f t="shared" si="26"/>
        <v>https://www.laparola.net/testo.php?riferimento=1Pt+4&amp;versioni[]=Nuova+Riveduta</v>
      </c>
      <c r="I227" s="4" t="str">
        <f t="shared" si="27"/>
        <v>https://www.laparola.net/testo.php?riferimento=1Pt+4&amp;versioni[]=Riveduta+2020</v>
      </c>
    </row>
    <row r="228" spans="1:9" x14ac:dyDescent="0.25">
      <c r="A228" s="4" t="s">
        <v>41</v>
      </c>
      <c r="B228" s="4">
        <v>5</v>
      </c>
      <c r="C228" s="4" t="str">
        <f t="shared" si="21"/>
        <v>https://www.laparola.net/testo.php?riferimento=1Pt+5&amp;versioni[]=Martini</v>
      </c>
      <c r="D228" s="4" t="str">
        <f t="shared" si="22"/>
        <v>https://www.laparola.net/testo.php?riferimento=1Pt+5&amp;versioni[]=Ricciotti</v>
      </c>
      <c r="E228" s="4" t="str">
        <f t="shared" si="23"/>
        <v>https://www.laparola.net/testo.php?riferimento=1Pt+5&amp;versioni[]=Diodati</v>
      </c>
      <c r="F228" s="4" t="str">
        <f t="shared" si="24"/>
        <v>https://www.laparola.net/testo.php?riferimento=1Pt+5&amp;versioni[]=Nuova+Diodati</v>
      </c>
      <c r="G228" s="4" t="str">
        <f t="shared" si="25"/>
        <v>https://www.laparola.net/testo.php?riferimento=1Pt+5&amp;versioni[]=Riveduta</v>
      </c>
      <c r="H228" s="4" t="str">
        <f t="shared" si="26"/>
        <v>https://www.laparola.net/testo.php?riferimento=1Pt+5&amp;versioni[]=Nuova+Riveduta</v>
      </c>
      <c r="I228" s="4" t="str">
        <f t="shared" si="27"/>
        <v>https://www.laparola.net/testo.php?riferimento=1Pt+5&amp;versioni[]=Riveduta+2020</v>
      </c>
    </row>
    <row r="229" spans="1:9" x14ac:dyDescent="0.25">
      <c r="A229" s="4" t="s">
        <v>43</v>
      </c>
      <c r="B229" s="4">
        <v>1</v>
      </c>
      <c r="C229" s="4" t="str">
        <f t="shared" si="21"/>
        <v>https://www.laparola.net/testo.php?riferimento=2Pt+1&amp;versioni[]=Martini</v>
      </c>
      <c r="D229" s="4" t="str">
        <f t="shared" si="22"/>
        <v>https://www.laparola.net/testo.php?riferimento=2Pt+1&amp;versioni[]=Ricciotti</v>
      </c>
      <c r="E229" s="4" t="str">
        <f t="shared" si="23"/>
        <v>https://www.laparola.net/testo.php?riferimento=2Pt+1&amp;versioni[]=Diodati</v>
      </c>
      <c r="F229" s="4" t="str">
        <f t="shared" si="24"/>
        <v>https://www.laparola.net/testo.php?riferimento=2Pt+1&amp;versioni[]=Nuova+Diodati</v>
      </c>
      <c r="G229" s="4" t="str">
        <f t="shared" si="25"/>
        <v>https://www.laparola.net/testo.php?riferimento=2Pt+1&amp;versioni[]=Riveduta</v>
      </c>
      <c r="H229" s="4" t="str">
        <f t="shared" si="26"/>
        <v>https://www.laparola.net/testo.php?riferimento=2Pt+1&amp;versioni[]=Nuova+Riveduta</v>
      </c>
      <c r="I229" s="4" t="str">
        <f t="shared" si="27"/>
        <v>https://www.laparola.net/testo.php?riferimento=2Pt+1&amp;versioni[]=Riveduta+2020</v>
      </c>
    </row>
    <row r="230" spans="1:9" x14ac:dyDescent="0.25">
      <c r="A230" s="4" t="s">
        <v>43</v>
      </c>
      <c r="B230" s="4">
        <v>2</v>
      </c>
      <c r="C230" s="4" t="str">
        <f t="shared" si="21"/>
        <v>https://www.laparola.net/testo.php?riferimento=2Pt+2&amp;versioni[]=Martini</v>
      </c>
      <c r="D230" s="4" t="str">
        <f t="shared" si="22"/>
        <v>https://www.laparola.net/testo.php?riferimento=2Pt+2&amp;versioni[]=Ricciotti</v>
      </c>
      <c r="E230" s="4" t="str">
        <f t="shared" si="23"/>
        <v>https://www.laparola.net/testo.php?riferimento=2Pt+2&amp;versioni[]=Diodati</v>
      </c>
      <c r="F230" s="4" t="str">
        <f t="shared" si="24"/>
        <v>https://www.laparola.net/testo.php?riferimento=2Pt+2&amp;versioni[]=Nuova+Diodati</v>
      </c>
      <c r="G230" s="4" t="str">
        <f t="shared" si="25"/>
        <v>https://www.laparola.net/testo.php?riferimento=2Pt+2&amp;versioni[]=Riveduta</v>
      </c>
      <c r="H230" s="4" t="str">
        <f t="shared" si="26"/>
        <v>https://www.laparola.net/testo.php?riferimento=2Pt+2&amp;versioni[]=Nuova+Riveduta</v>
      </c>
      <c r="I230" s="4" t="str">
        <f t="shared" si="27"/>
        <v>https://www.laparola.net/testo.php?riferimento=2Pt+2&amp;versioni[]=Riveduta+2020</v>
      </c>
    </row>
    <row r="231" spans="1:9" x14ac:dyDescent="0.25">
      <c r="A231" s="4" t="s">
        <v>43</v>
      </c>
      <c r="B231" s="4">
        <v>3</v>
      </c>
      <c r="C231" s="4" t="str">
        <f t="shared" si="21"/>
        <v>https://www.laparola.net/testo.php?riferimento=2Pt+3&amp;versioni[]=Martini</v>
      </c>
      <c r="D231" s="4" t="str">
        <f t="shared" si="22"/>
        <v>https://www.laparola.net/testo.php?riferimento=2Pt+3&amp;versioni[]=Ricciotti</v>
      </c>
      <c r="E231" s="4" t="str">
        <f t="shared" si="23"/>
        <v>https://www.laparola.net/testo.php?riferimento=2Pt+3&amp;versioni[]=Diodati</v>
      </c>
      <c r="F231" s="4" t="str">
        <f t="shared" si="24"/>
        <v>https://www.laparola.net/testo.php?riferimento=2Pt+3&amp;versioni[]=Nuova+Diodati</v>
      </c>
      <c r="G231" s="4" t="str">
        <f t="shared" si="25"/>
        <v>https://www.laparola.net/testo.php?riferimento=2Pt+3&amp;versioni[]=Riveduta</v>
      </c>
      <c r="H231" s="4" t="str">
        <f t="shared" si="26"/>
        <v>https://www.laparola.net/testo.php?riferimento=2Pt+3&amp;versioni[]=Nuova+Riveduta</v>
      </c>
      <c r="I231" s="4" t="str">
        <f t="shared" si="27"/>
        <v>https://www.laparola.net/testo.php?riferimento=2Pt+3&amp;versioni[]=Riveduta+2020</v>
      </c>
    </row>
    <row r="232" spans="1:9" x14ac:dyDescent="0.25">
      <c r="A232" s="4" t="s">
        <v>45</v>
      </c>
      <c r="B232" s="4">
        <v>1</v>
      </c>
      <c r="C232" s="4" t="str">
        <f t="shared" si="21"/>
        <v>https://www.laparola.net/testo.php?riferimento=1Gv+1&amp;versioni[]=Martini</v>
      </c>
      <c r="D232" s="4" t="str">
        <f t="shared" si="22"/>
        <v>https://www.laparola.net/testo.php?riferimento=1Gv+1&amp;versioni[]=Ricciotti</v>
      </c>
      <c r="E232" s="4" t="str">
        <f t="shared" si="23"/>
        <v>https://www.laparola.net/testo.php?riferimento=1Gv+1&amp;versioni[]=Diodati</v>
      </c>
      <c r="F232" s="4" t="str">
        <f t="shared" si="24"/>
        <v>https://www.laparola.net/testo.php?riferimento=1Gv+1&amp;versioni[]=Nuova+Diodati</v>
      </c>
      <c r="G232" s="4" t="str">
        <f t="shared" si="25"/>
        <v>https://www.laparola.net/testo.php?riferimento=1Gv+1&amp;versioni[]=Riveduta</v>
      </c>
      <c r="H232" s="4" t="str">
        <f t="shared" si="26"/>
        <v>https://www.laparola.net/testo.php?riferimento=1Gv+1&amp;versioni[]=Nuova+Riveduta</v>
      </c>
      <c r="I232" s="4" t="str">
        <f t="shared" si="27"/>
        <v>https://www.laparola.net/testo.php?riferimento=1Gv+1&amp;versioni[]=Riveduta+2020</v>
      </c>
    </row>
    <row r="233" spans="1:9" x14ac:dyDescent="0.25">
      <c r="A233" s="4" t="s">
        <v>45</v>
      </c>
      <c r="B233" s="4">
        <v>2</v>
      </c>
      <c r="C233" s="4" t="str">
        <f t="shared" si="21"/>
        <v>https://www.laparola.net/testo.php?riferimento=1Gv+2&amp;versioni[]=Martini</v>
      </c>
      <c r="D233" s="4" t="str">
        <f t="shared" si="22"/>
        <v>https://www.laparola.net/testo.php?riferimento=1Gv+2&amp;versioni[]=Ricciotti</v>
      </c>
      <c r="E233" s="4" t="str">
        <f t="shared" si="23"/>
        <v>https://www.laparola.net/testo.php?riferimento=1Gv+2&amp;versioni[]=Diodati</v>
      </c>
      <c r="F233" s="4" t="str">
        <f t="shared" si="24"/>
        <v>https://www.laparola.net/testo.php?riferimento=1Gv+2&amp;versioni[]=Nuova+Diodati</v>
      </c>
      <c r="G233" s="4" t="str">
        <f t="shared" si="25"/>
        <v>https://www.laparola.net/testo.php?riferimento=1Gv+2&amp;versioni[]=Riveduta</v>
      </c>
      <c r="H233" s="4" t="str">
        <f t="shared" si="26"/>
        <v>https://www.laparola.net/testo.php?riferimento=1Gv+2&amp;versioni[]=Nuova+Riveduta</v>
      </c>
      <c r="I233" s="4" t="str">
        <f t="shared" si="27"/>
        <v>https://www.laparola.net/testo.php?riferimento=1Gv+2&amp;versioni[]=Riveduta+2020</v>
      </c>
    </row>
    <row r="234" spans="1:9" x14ac:dyDescent="0.25">
      <c r="A234" s="4" t="s">
        <v>45</v>
      </c>
      <c r="B234" s="4">
        <v>3</v>
      </c>
      <c r="C234" s="4" t="str">
        <f t="shared" si="21"/>
        <v>https://www.laparola.net/testo.php?riferimento=1Gv+3&amp;versioni[]=Martini</v>
      </c>
      <c r="D234" s="4" t="str">
        <f t="shared" si="22"/>
        <v>https://www.laparola.net/testo.php?riferimento=1Gv+3&amp;versioni[]=Ricciotti</v>
      </c>
      <c r="E234" s="4" t="str">
        <f t="shared" si="23"/>
        <v>https://www.laparola.net/testo.php?riferimento=1Gv+3&amp;versioni[]=Diodati</v>
      </c>
      <c r="F234" s="4" t="str">
        <f t="shared" si="24"/>
        <v>https://www.laparola.net/testo.php?riferimento=1Gv+3&amp;versioni[]=Nuova+Diodati</v>
      </c>
      <c r="G234" s="4" t="str">
        <f t="shared" si="25"/>
        <v>https://www.laparola.net/testo.php?riferimento=1Gv+3&amp;versioni[]=Riveduta</v>
      </c>
      <c r="H234" s="4" t="str">
        <f t="shared" si="26"/>
        <v>https://www.laparola.net/testo.php?riferimento=1Gv+3&amp;versioni[]=Nuova+Riveduta</v>
      </c>
      <c r="I234" s="4" t="str">
        <f t="shared" si="27"/>
        <v>https://www.laparola.net/testo.php?riferimento=1Gv+3&amp;versioni[]=Riveduta+2020</v>
      </c>
    </row>
    <row r="235" spans="1:9" x14ac:dyDescent="0.25">
      <c r="A235" s="4" t="s">
        <v>45</v>
      </c>
      <c r="B235" s="4">
        <v>4</v>
      </c>
      <c r="C235" s="4" t="str">
        <f t="shared" si="21"/>
        <v>https://www.laparola.net/testo.php?riferimento=1Gv+4&amp;versioni[]=Martini</v>
      </c>
      <c r="D235" s="4" t="str">
        <f t="shared" si="22"/>
        <v>https://www.laparola.net/testo.php?riferimento=1Gv+4&amp;versioni[]=Ricciotti</v>
      </c>
      <c r="E235" s="4" t="str">
        <f t="shared" si="23"/>
        <v>https://www.laparola.net/testo.php?riferimento=1Gv+4&amp;versioni[]=Diodati</v>
      </c>
      <c r="F235" s="4" t="str">
        <f t="shared" si="24"/>
        <v>https://www.laparola.net/testo.php?riferimento=1Gv+4&amp;versioni[]=Nuova+Diodati</v>
      </c>
      <c r="G235" s="4" t="str">
        <f t="shared" si="25"/>
        <v>https://www.laparola.net/testo.php?riferimento=1Gv+4&amp;versioni[]=Riveduta</v>
      </c>
      <c r="H235" s="4" t="str">
        <f t="shared" si="26"/>
        <v>https://www.laparola.net/testo.php?riferimento=1Gv+4&amp;versioni[]=Nuova+Riveduta</v>
      </c>
      <c r="I235" s="4" t="str">
        <f t="shared" si="27"/>
        <v>https://www.laparola.net/testo.php?riferimento=1Gv+4&amp;versioni[]=Riveduta+2020</v>
      </c>
    </row>
    <row r="236" spans="1:9" x14ac:dyDescent="0.25">
      <c r="A236" s="4" t="s">
        <v>45</v>
      </c>
      <c r="B236" s="4">
        <v>5</v>
      </c>
      <c r="C236" s="4" t="str">
        <f t="shared" si="21"/>
        <v>https://www.laparola.net/testo.php?riferimento=1Gv+5&amp;versioni[]=Martini</v>
      </c>
      <c r="D236" s="4" t="str">
        <f t="shared" si="22"/>
        <v>https://www.laparola.net/testo.php?riferimento=1Gv+5&amp;versioni[]=Ricciotti</v>
      </c>
      <c r="E236" s="4" t="str">
        <f t="shared" si="23"/>
        <v>https://www.laparola.net/testo.php?riferimento=1Gv+5&amp;versioni[]=Diodati</v>
      </c>
      <c r="F236" s="4" t="str">
        <f t="shared" si="24"/>
        <v>https://www.laparola.net/testo.php?riferimento=1Gv+5&amp;versioni[]=Nuova+Diodati</v>
      </c>
      <c r="G236" s="4" t="str">
        <f t="shared" si="25"/>
        <v>https://www.laparola.net/testo.php?riferimento=1Gv+5&amp;versioni[]=Riveduta</v>
      </c>
      <c r="H236" s="4" t="str">
        <f t="shared" si="26"/>
        <v>https://www.laparola.net/testo.php?riferimento=1Gv+5&amp;versioni[]=Nuova+Riveduta</v>
      </c>
      <c r="I236" s="4" t="str">
        <f t="shared" si="27"/>
        <v>https://www.laparola.net/testo.php?riferimento=1Gv+5&amp;versioni[]=Riveduta+2020</v>
      </c>
    </row>
    <row r="237" spans="1:9" x14ac:dyDescent="0.25">
      <c r="A237" s="4" t="s">
        <v>47</v>
      </c>
      <c r="B237" s="4">
        <v>1</v>
      </c>
      <c r="C237" s="4" t="str">
        <f t="shared" si="21"/>
        <v>https://www.laparola.net/testo.php?riferimento=2Gv+1&amp;versioni[]=Martini</v>
      </c>
      <c r="D237" s="4" t="str">
        <f t="shared" si="22"/>
        <v>https://www.laparola.net/testo.php?riferimento=2Gv+1&amp;versioni[]=Ricciotti</v>
      </c>
      <c r="E237" s="4" t="str">
        <f t="shared" si="23"/>
        <v>https://www.laparola.net/testo.php?riferimento=2Gv+1&amp;versioni[]=Diodati</v>
      </c>
      <c r="F237" s="4" t="str">
        <f t="shared" si="24"/>
        <v>https://www.laparola.net/testo.php?riferimento=2Gv+1&amp;versioni[]=Nuova+Diodati</v>
      </c>
      <c r="G237" s="4" t="str">
        <f t="shared" si="25"/>
        <v>https://www.laparola.net/testo.php?riferimento=2Gv+1&amp;versioni[]=Riveduta</v>
      </c>
      <c r="H237" s="4" t="str">
        <f t="shared" si="26"/>
        <v>https://www.laparola.net/testo.php?riferimento=2Gv+1&amp;versioni[]=Nuova+Riveduta</v>
      </c>
      <c r="I237" s="4" t="str">
        <f t="shared" si="27"/>
        <v>https://www.laparola.net/testo.php?riferimento=2Gv+1&amp;versioni[]=Riveduta+2020</v>
      </c>
    </row>
    <row r="238" spans="1:9" x14ac:dyDescent="0.25">
      <c r="A238" s="4" t="s">
        <v>49</v>
      </c>
      <c r="B238" s="4">
        <v>1</v>
      </c>
      <c r="C238" s="4" t="str">
        <f t="shared" si="21"/>
        <v>https://www.laparola.net/testo.php?riferimento=3Gv+1&amp;versioni[]=Martini</v>
      </c>
      <c r="D238" s="4" t="str">
        <f t="shared" si="22"/>
        <v>https://www.laparola.net/testo.php?riferimento=3Gv+1&amp;versioni[]=Ricciotti</v>
      </c>
      <c r="E238" s="4" t="str">
        <f t="shared" si="23"/>
        <v>https://www.laparola.net/testo.php?riferimento=3Gv+1&amp;versioni[]=Diodati</v>
      </c>
      <c r="F238" s="4" t="str">
        <f t="shared" si="24"/>
        <v>https://www.laparola.net/testo.php?riferimento=3Gv+1&amp;versioni[]=Nuova+Diodati</v>
      </c>
      <c r="G238" s="4" t="str">
        <f t="shared" si="25"/>
        <v>https://www.laparola.net/testo.php?riferimento=3Gv+1&amp;versioni[]=Riveduta</v>
      </c>
      <c r="H238" s="4" t="str">
        <f t="shared" si="26"/>
        <v>https://www.laparola.net/testo.php?riferimento=3Gv+1&amp;versioni[]=Nuova+Riveduta</v>
      </c>
      <c r="I238" s="4" t="str">
        <f t="shared" si="27"/>
        <v>https://www.laparola.net/testo.php?riferimento=3Gv+1&amp;versioni[]=Riveduta+2020</v>
      </c>
    </row>
    <row r="239" spans="1:9" x14ac:dyDescent="0.25">
      <c r="A239" s="4" t="s">
        <v>53</v>
      </c>
      <c r="B239" s="4">
        <v>1</v>
      </c>
      <c r="C239" s="4" t="str">
        <f t="shared" si="21"/>
        <v>https://www.laparola.net/testo.php?riferimento=Gd+1&amp;versioni[]=Martini</v>
      </c>
      <c r="D239" s="4" t="str">
        <f t="shared" si="22"/>
        <v>https://www.laparola.net/testo.php?riferimento=Gd+1&amp;versioni[]=Ricciotti</v>
      </c>
      <c r="E239" s="4" t="str">
        <f t="shared" si="23"/>
        <v>https://www.laparola.net/testo.php?riferimento=Gd+1&amp;versioni[]=Diodati</v>
      </c>
      <c r="F239" s="4" t="str">
        <f t="shared" si="24"/>
        <v>https://www.laparola.net/testo.php?riferimento=Gd+1&amp;versioni[]=Nuova+Diodati</v>
      </c>
      <c r="G239" s="4" t="str">
        <f t="shared" si="25"/>
        <v>https://www.laparola.net/testo.php?riferimento=Gd+1&amp;versioni[]=Riveduta</v>
      </c>
      <c r="H239" s="4" t="str">
        <f t="shared" si="26"/>
        <v>https://www.laparola.net/testo.php?riferimento=Gd+1&amp;versioni[]=Nuova+Riveduta</v>
      </c>
      <c r="I239" s="4" t="str">
        <f t="shared" si="27"/>
        <v>https://www.laparola.net/testo.php?riferimento=Gd+1&amp;versioni[]=Riveduta+2020</v>
      </c>
    </row>
    <row r="240" spans="1:9" x14ac:dyDescent="0.25">
      <c r="A240" t="s">
        <v>51</v>
      </c>
      <c r="B240">
        <v>1</v>
      </c>
      <c r="C240" t="str">
        <f t="shared" si="21"/>
        <v>https://www.laparola.net/testo.php?riferimento=Ap+1&amp;versioni[]=Martini</v>
      </c>
      <c r="D240" t="str">
        <f t="shared" si="22"/>
        <v>https://www.laparola.net/testo.php?riferimento=Ap+1&amp;versioni[]=Ricciotti</v>
      </c>
      <c r="E240" t="str">
        <f t="shared" si="23"/>
        <v>https://www.laparola.net/testo.php?riferimento=Ap+1&amp;versioni[]=Diodati</v>
      </c>
      <c r="F240" t="str">
        <f t="shared" si="24"/>
        <v>https://www.laparola.net/testo.php?riferimento=Ap+1&amp;versioni[]=Nuova+Diodati</v>
      </c>
      <c r="G240" t="str">
        <f t="shared" si="25"/>
        <v>https://www.laparola.net/testo.php?riferimento=Ap+1&amp;versioni[]=Riveduta</v>
      </c>
      <c r="H240" t="str">
        <f t="shared" si="26"/>
        <v>https://www.laparola.net/testo.php?riferimento=Ap+1&amp;versioni[]=Nuova+Riveduta</v>
      </c>
      <c r="I240" t="str">
        <f t="shared" si="27"/>
        <v>https://www.laparola.net/testo.php?riferimento=Ap+1&amp;versioni[]=Riveduta+2020</v>
      </c>
    </row>
    <row r="241" spans="1:9" x14ac:dyDescent="0.25">
      <c r="A241" t="s">
        <v>51</v>
      </c>
      <c r="B241">
        <v>2</v>
      </c>
      <c r="C241" t="str">
        <f t="shared" si="21"/>
        <v>https://www.laparola.net/testo.php?riferimento=Ap+2&amp;versioni[]=Martini</v>
      </c>
      <c r="D241" t="str">
        <f t="shared" si="22"/>
        <v>https://www.laparola.net/testo.php?riferimento=Ap+2&amp;versioni[]=Ricciotti</v>
      </c>
      <c r="E241" t="str">
        <f t="shared" si="23"/>
        <v>https://www.laparola.net/testo.php?riferimento=Ap+2&amp;versioni[]=Diodati</v>
      </c>
      <c r="F241" t="str">
        <f t="shared" si="24"/>
        <v>https://www.laparola.net/testo.php?riferimento=Ap+2&amp;versioni[]=Nuova+Diodati</v>
      </c>
      <c r="G241" t="str">
        <f t="shared" si="25"/>
        <v>https://www.laparola.net/testo.php?riferimento=Ap+2&amp;versioni[]=Riveduta</v>
      </c>
      <c r="H241" t="str">
        <f t="shared" si="26"/>
        <v>https://www.laparola.net/testo.php?riferimento=Ap+2&amp;versioni[]=Nuova+Riveduta</v>
      </c>
      <c r="I241" t="str">
        <f t="shared" si="27"/>
        <v>https://www.laparola.net/testo.php?riferimento=Ap+2&amp;versioni[]=Riveduta+2020</v>
      </c>
    </row>
    <row r="242" spans="1:9" x14ac:dyDescent="0.25">
      <c r="A242" t="s">
        <v>51</v>
      </c>
      <c r="B242">
        <v>3</v>
      </c>
      <c r="C242" t="str">
        <f t="shared" si="21"/>
        <v>https://www.laparola.net/testo.php?riferimento=Ap+3&amp;versioni[]=Martini</v>
      </c>
      <c r="D242" t="str">
        <f t="shared" si="22"/>
        <v>https://www.laparola.net/testo.php?riferimento=Ap+3&amp;versioni[]=Ricciotti</v>
      </c>
      <c r="E242" t="str">
        <f t="shared" si="23"/>
        <v>https://www.laparola.net/testo.php?riferimento=Ap+3&amp;versioni[]=Diodati</v>
      </c>
      <c r="F242" t="str">
        <f t="shared" si="24"/>
        <v>https://www.laparola.net/testo.php?riferimento=Ap+3&amp;versioni[]=Nuova+Diodati</v>
      </c>
      <c r="G242" t="str">
        <f t="shared" si="25"/>
        <v>https://www.laparola.net/testo.php?riferimento=Ap+3&amp;versioni[]=Riveduta</v>
      </c>
      <c r="H242" t="str">
        <f t="shared" si="26"/>
        <v>https://www.laparola.net/testo.php?riferimento=Ap+3&amp;versioni[]=Nuova+Riveduta</v>
      </c>
      <c r="I242" t="str">
        <f t="shared" si="27"/>
        <v>https://www.laparola.net/testo.php?riferimento=Ap+3&amp;versioni[]=Riveduta+2020</v>
      </c>
    </row>
    <row r="243" spans="1:9" x14ac:dyDescent="0.25">
      <c r="A243" t="s">
        <v>51</v>
      </c>
      <c r="B243">
        <v>4</v>
      </c>
      <c r="C243" t="str">
        <f t="shared" si="21"/>
        <v>https://www.laparola.net/testo.php?riferimento=Ap+4&amp;versioni[]=Martini</v>
      </c>
      <c r="D243" t="str">
        <f t="shared" si="22"/>
        <v>https://www.laparola.net/testo.php?riferimento=Ap+4&amp;versioni[]=Ricciotti</v>
      </c>
      <c r="E243" t="str">
        <f t="shared" si="23"/>
        <v>https://www.laparola.net/testo.php?riferimento=Ap+4&amp;versioni[]=Diodati</v>
      </c>
      <c r="F243" t="str">
        <f t="shared" si="24"/>
        <v>https://www.laparola.net/testo.php?riferimento=Ap+4&amp;versioni[]=Nuova+Diodati</v>
      </c>
      <c r="G243" t="str">
        <f t="shared" si="25"/>
        <v>https://www.laparola.net/testo.php?riferimento=Ap+4&amp;versioni[]=Riveduta</v>
      </c>
      <c r="H243" t="str">
        <f t="shared" si="26"/>
        <v>https://www.laparola.net/testo.php?riferimento=Ap+4&amp;versioni[]=Nuova+Riveduta</v>
      </c>
      <c r="I243" t="str">
        <f t="shared" si="27"/>
        <v>https://www.laparola.net/testo.php?riferimento=Ap+4&amp;versioni[]=Riveduta+2020</v>
      </c>
    </row>
    <row r="244" spans="1:9" x14ac:dyDescent="0.25">
      <c r="A244" t="s">
        <v>51</v>
      </c>
      <c r="B244">
        <v>5</v>
      </c>
      <c r="C244" t="str">
        <f t="shared" si="21"/>
        <v>https://www.laparola.net/testo.php?riferimento=Ap+5&amp;versioni[]=Martini</v>
      </c>
      <c r="D244" t="str">
        <f t="shared" si="22"/>
        <v>https://www.laparola.net/testo.php?riferimento=Ap+5&amp;versioni[]=Ricciotti</v>
      </c>
      <c r="E244" t="str">
        <f t="shared" si="23"/>
        <v>https://www.laparola.net/testo.php?riferimento=Ap+5&amp;versioni[]=Diodati</v>
      </c>
      <c r="F244" t="str">
        <f t="shared" si="24"/>
        <v>https://www.laparola.net/testo.php?riferimento=Ap+5&amp;versioni[]=Nuova+Diodati</v>
      </c>
      <c r="G244" t="str">
        <f t="shared" si="25"/>
        <v>https://www.laparola.net/testo.php?riferimento=Ap+5&amp;versioni[]=Riveduta</v>
      </c>
      <c r="H244" t="str">
        <f t="shared" si="26"/>
        <v>https://www.laparola.net/testo.php?riferimento=Ap+5&amp;versioni[]=Nuova+Riveduta</v>
      </c>
      <c r="I244" t="str">
        <f t="shared" si="27"/>
        <v>https://www.laparola.net/testo.php?riferimento=Ap+5&amp;versioni[]=Riveduta+2020</v>
      </c>
    </row>
    <row r="245" spans="1:9" x14ac:dyDescent="0.25">
      <c r="A245" t="s">
        <v>51</v>
      </c>
      <c r="B245">
        <v>6</v>
      </c>
      <c r="C245" t="str">
        <f t="shared" si="21"/>
        <v>https://www.laparola.net/testo.php?riferimento=Ap+6&amp;versioni[]=Martini</v>
      </c>
      <c r="D245" t="str">
        <f t="shared" si="22"/>
        <v>https://www.laparola.net/testo.php?riferimento=Ap+6&amp;versioni[]=Ricciotti</v>
      </c>
      <c r="E245" t="str">
        <f t="shared" si="23"/>
        <v>https://www.laparola.net/testo.php?riferimento=Ap+6&amp;versioni[]=Diodati</v>
      </c>
      <c r="F245" t="str">
        <f t="shared" si="24"/>
        <v>https://www.laparola.net/testo.php?riferimento=Ap+6&amp;versioni[]=Nuova+Diodati</v>
      </c>
      <c r="G245" t="str">
        <f t="shared" si="25"/>
        <v>https://www.laparola.net/testo.php?riferimento=Ap+6&amp;versioni[]=Riveduta</v>
      </c>
      <c r="H245" t="str">
        <f t="shared" si="26"/>
        <v>https://www.laparola.net/testo.php?riferimento=Ap+6&amp;versioni[]=Nuova+Riveduta</v>
      </c>
      <c r="I245" t="str">
        <f t="shared" si="27"/>
        <v>https://www.laparola.net/testo.php?riferimento=Ap+6&amp;versioni[]=Riveduta+2020</v>
      </c>
    </row>
    <row r="246" spans="1:9" x14ac:dyDescent="0.25">
      <c r="A246" t="s">
        <v>51</v>
      </c>
      <c r="B246">
        <v>7</v>
      </c>
      <c r="C246" t="str">
        <f t="shared" si="21"/>
        <v>https://www.laparola.net/testo.php?riferimento=Ap+7&amp;versioni[]=Martini</v>
      </c>
      <c r="D246" t="str">
        <f t="shared" si="22"/>
        <v>https://www.laparola.net/testo.php?riferimento=Ap+7&amp;versioni[]=Ricciotti</v>
      </c>
      <c r="E246" t="str">
        <f t="shared" si="23"/>
        <v>https://www.laparola.net/testo.php?riferimento=Ap+7&amp;versioni[]=Diodati</v>
      </c>
      <c r="F246" t="str">
        <f t="shared" si="24"/>
        <v>https://www.laparola.net/testo.php?riferimento=Ap+7&amp;versioni[]=Nuova+Diodati</v>
      </c>
      <c r="G246" t="str">
        <f t="shared" si="25"/>
        <v>https://www.laparola.net/testo.php?riferimento=Ap+7&amp;versioni[]=Riveduta</v>
      </c>
      <c r="H246" t="str">
        <f t="shared" si="26"/>
        <v>https://www.laparola.net/testo.php?riferimento=Ap+7&amp;versioni[]=Nuova+Riveduta</v>
      </c>
      <c r="I246" t="str">
        <f t="shared" si="27"/>
        <v>https://www.laparola.net/testo.php?riferimento=Ap+7&amp;versioni[]=Riveduta+2020</v>
      </c>
    </row>
    <row r="247" spans="1:9" x14ac:dyDescent="0.25">
      <c r="A247" t="s">
        <v>51</v>
      </c>
      <c r="B247">
        <v>8</v>
      </c>
      <c r="C247" t="str">
        <f t="shared" si="21"/>
        <v>https://www.laparola.net/testo.php?riferimento=Ap+8&amp;versioni[]=Martini</v>
      </c>
      <c r="D247" t="str">
        <f t="shared" si="22"/>
        <v>https://www.laparola.net/testo.php?riferimento=Ap+8&amp;versioni[]=Ricciotti</v>
      </c>
      <c r="E247" t="str">
        <f t="shared" si="23"/>
        <v>https://www.laparola.net/testo.php?riferimento=Ap+8&amp;versioni[]=Diodati</v>
      </c>
      <c r="F247" t="str">
        <f t="shared" si="24"/>
        <v>https://www.laparola.net/testo.php?riferimento=Ap+8&amp;versioni[]=Nuova+Diodati</v>
      </c>
      <c r="G247" t="str">
        <f t="shared" si="25"/>
        <v>https://www.laparola.net/testo.php?riferimento=Ap+8&amp;versioni[]=Riveduta</v>
      </c>
      <c r="H247" t="str">
        <f t="shared" si="26"/>
        <v>https://www.laparola.net/testo.php?riferimento=Ap+8&amp;versioni[]=Nuova+Riveduta</v>
      </c>
      <c r="I247" t="str">
        <f t="shared" si="27"/>
        <v>https://www.laparola.net/testo.php?riferimento=Ap+8&amp;versioni[]=Riveduta+2020</v>
      </c>
    </row>
    <row r="248" spans="1:9" x14ac:dyDescent="0.25">
      <c r="A248" t="s">
        <v>51</v>
      </c>
      <c r="B248">
        <v>9</v>
      </c>
      <c r="C248" t="str">
        <f t="shared" si="21"/>
        <v>https://www.laparola.net/testo.php?riferimento=Ap+9&amp;versioni[]=Martini</v>
      </c>
      <c r="D248" t="str">
        <f t="shared" si="22"/>
        <v>https://www.laparola.net/testo.php?riferimento=Ap+9&amp;versioni[]=Ricciotti</v>
      </c>
      <c r="E248" t="str">
        <f t="shared" si="23"/>
        <v>https://www.laparola.net/testo.php?riferimento=Ap+9&amp;versioni[]=Diodati</v>
      </c>
      <c r="F248" t="str">
        <f t="shared" si="24"/>
        <v>https://www.laparola.net/testo.php?riferimento=Ap+9&amp;versioni[]=Nuova+Diodati</v>
      </c>
      <c r="G248" t="str">
        <f t="shared" si="25"/>
        <v>https://www.laparola.net/testo.php?riferimento=Ap+9&amp;versioni[]=Riveduta</v>
      </c>
      <c r="H248" t="str">
        <f t="shared" si="26"/>
        <v>https://www.laparola.net/testo.php?riferimento=Ap+9&amp;versioni[]=Nuova+Riveduta</v>
      </c>
      <c r="I248" t="str">
        <f t="shared" si="27"/>
        <v>https://www.laparola.net/testo.php?riferimento=Ap+9&amp;versioni[]=Riveduta+2020</v>
      </c>
    </row>
    <row r="249" spans="1:9" x14ac:dyDescent="0.25">
      <c r="A249" t="s">
        <v>51</v>
      </c>
      <c r="B249">
        <v>10</v>
      </c>
      <c r="C249" t="str">
        <f t="shared" si="21"/>
        <v>https://www.laparola.net/testo.php?riferimento=Ap+10&amp;versioni[]=Martini</v>
      </c>
      <c r="D249" t="str">
        <f t="shared" si="22"/>
        <v>https://www.laparola.net/testo.php?riferimento=Ap+10&amp;versioni[]=Ricciotti</v>
      </c>
      <c r="E249" t="str">
        <f t="shared" si="23"/>
        <v>https://www.laparola.net/testo.php?riferimento=Ap+10&amp;versioni[]=Diodati</v>
      </c>
      <c r="F249" t="str">
        <f t="shared" si="24"/>
        <v>https://www.laparola.net/testo.php?riferimento=Ap+10&amp;versioni[]=Nuova+Diodati</v>
      </c>
      <c r="G249" t="str">
        <f t="shared" si="25"/>
        <v>https://www.laparola.net/testo.php?riferimento=Ap+10&amp;versioni[]=Riveduta</v>
      </c>
      <c r="H249" t="str">
        <f t="shared" si="26"/>
        <v>https://www.laparola.net/testo.php?riferimento=Ap+10&amp;versioni[]=Nuova+Riveduta</v>
      </c>
      <c r="I249" t="str">
        <f t="shared" si="27"/>
        <v>https://www.laparola.net/testo.php?riferimento=Ap+10&amp;versioni[]=Riveduta+2020</v>
      </c>
    </row>
    <row r="250" spans="1:9" x14ac:dyDescent="0.25">
      <c r="A250" t="s">
        <v>51</v>
      </c>
      <c r="B250">
        <v>11</v>
      </c>
      <c r="C250" t="str">
        <f t="shared" si="21"/>
        <v>https://www.laparola.net/testo.php?riferimento=Ap+11&amp;versioni[]=Martini</v>
      </c>
      <c r="D250" t="str">
        <f t="shared" si="22"/>
        <v>https://www.laparola.net/testo.php?riferimento=Ap+11&amp;versioni[]=Ricciotti</v>
      </c>
      <c r="E250" t="str">
        <f t="shared" si="23"/>
        <v>https://www.laparola.net/testo.php?riferimento=Ap+11&amp;versioni[]=Diodati</v>
      </c>
      <c r="F250" t="str">
        <f t="shared" si="24"/>
        <v>https://www.laparola.net/testo.php?riferimento=Ap+11&amp;versioni[]=Nuova+Diodati</v>
      </c>
      <c r="G250" t="str">
        <f t="shared" si="25"/>
        <v>https://www.laparola.net/testo.php?riferimento=Ap+11&amp;versioni[]=Riveduta</v>
      </c>
      <c r="H250" t="str">
        <f t="shared" si="26"/>
        <v>https://www.laparola.net/testo.php?riferimento=Ap+11&amp;versioni[]=Nuova+Riveduta</v>
      </c>
      <c r="I250" t="str">
        <f t="shared" si="27"/>
        <v>https://www.laparola.net/testo.php?riferimento=Ap+11&amp;versioni[]=Riveduta+2020</v>
      </c>
    </row>
    <row r="251" spans="1:9" x14ac:dyDescent="0.25">
      <c r="A251" t="s">
        <v>51</v>
      </c>
      <c r="B251">
        <v>12</v>
      </c>
      <c r="C251" t="str">
        <f t="shared" si="21"/>
        <v>https://www.laparola.net/testo.php?riferimento=Ap+12&amp;versioni[]=Martini</v>
      </c>
      <c r="D251" t="str">
        <f t="shared" si="22"/>
        <v>https://www.laparola.net/testo.php?riferimento=Ap+12&amp;versioni[]=Ricciotti</v>
      </c>
      <c r="E251" t="str">
        <f t="shared" si="23"/>
        <v>https://www.laparola.net/testo.php?riferimento=Ap+12&amp;versioni[]=Diodati</v>
      </c>
      <c r="F251" t="str">
        <f t="shared" si="24"/>
        <v>https://www.laparola.net/testo.php?riferimento=Ap+12&amp;versioni[]=Nuova+Diodati</v>
      </c>
      <c r="G251" t="str">
        <f t="shared" si="25"/>
        <v>https://www.laparola.net/testo.php?riferimento=Ap+12&amp;versioni[]=Riveduta</v>
      </c>
      <c r="H251" t="str">
        <f t="shared" si="26"/>
        <v>https://www.laparola.net/testo.php?riferimento=Ap+12&amp;versioni[]=Nuova+Riveduta</v>
      </c>
      <c r="I251" t="str">
        <f t="shared" si="27"/>
        <v>https://www.laparola.net/testo.php?riferimento=Ap+12&amp;versioni[]=Riveduta+2020</v>
      </c>
    </row>
    <row r="252" spans="1:9" x14ac:dyDescent="0.25">
      <c r="A252" t="s">
        <v>51</v>
      </c>
      <c r="B252">
        <v>13</v>
      </c>
      <c r="C252" t="str">
        <f t="shared" si="21"/>
        <v>https://www.laparola.net/testo.php?riferimento=Ap+13&amp;versioni[]=Martini</v>
      </c>
      <c r="D252" t="str">
        <f t="shared" si="22"/>
        <v>https://www.laparola.net/testo.php?riferimento=Ap+13&amp;versioni[]=Ricciotti</v>
      </c>
      <c r="E252" t="str">
        <f t="shared" si="23"/>
        <v>https://www.laparola.net/testo.php?riferimento=Ap+13&amp;versioni[]=Diodati</v>
      </c>
      <c r="F252" t="str">
        <f t="shared" si="24"/>
        <v>https://www.laparola.net/testo.php?riferimento=Ap+13&amp;versioni[]=Nuova+Diodati</v>
      </c>
      <c r="G252" t="str">
        <f t="shared" si="25"/>
        <v>https://www.laparola.net/testo.php?riferimento=Ap+13&amp;versioni[]=Riveduta</v>
      </c>
      <c r="H252" t="str">
        <f t="shared" si="26"/>
        <v>https://www.laparola.net/testo.php?riferimento=Ap+13&amp;versioni[]=Nuova+Riveduta</v>
      </c>
      <c r="I252" t="str">
        <f t="shared" si="27"/>
        <v>https://www.laparola.net/testo.php?riferimento=Ap+13&amp;versioni[]=Riveduta+2020</v>
      </c>
    </row>
    <row r="253" spans="1:9" x14ac:dyDescent="0.25">
      <c r="A253" t="s">
        <v>51</v>
      </c>
      <c r="B253">
        <v>14</v>
      </c>
      <c r="C253" t="str">
        <f t="shared" si="21"/>
        <v>https://www.laparola.net/testo.php?riferimento=Ap+14&amp;versioni[]=Martini</v>
      </c>
      <c r="D253" t="str">
        <f t="shared" si="22"/>
        <v>https://www.laparola.net/testo.php?riferimento=Ap+14&amp;versioni[]=Ricciotti</v>
      </c>
      <c r="E253" t="str">
        <f t="shared" si="23"/>
        <v>https://www.laparola.net/testo.php?riferimento=Ap+14&amp;versioni[]=Diodati</v>
      </c>
      <c r="F253" t="str">
        <f t="shared" si="24"/>
        <v>https://www.laparola.net/testo.php?riferimento=Ap+14&amp;versioni[]=Nuova+Diodati</v>
      </c>
      <c r="G253" t="str">
        <f t="shared" si="25"/>
        <v>https://www.laparola.net/testo.php?riferimento=Ap+14&amp;versioni[]=Riveduta</v>
      </c>
      <c r="H253" t="str">
        <f t="shared" si="26"/>
        <v>https://www.laparola.net/testo.php?riferimento=Ap+14&amp;versioni[]=Nuova+Riveduta</v>
      </c>
      <c r="I253" t="str">
        <f t="shared" si="27"/>
        <v>https://www.laparola.net/testo.php?riferimento=Ap+14&amp;versioni[]=Riveduta+2020</v>
      </c>
    </row>
    <row r="254" spans="1:9" x14ac:dyDescent="0.25">
      <c r="A254" t="s">
        <v>51</v>
      </c>
      <c r="B254">
        <v>15</v>
      </c>
      <c r="C254" t="str">
        <f t="shared" si="21"/>
        <v>https://www.laparola.net/testo.php?riferimento=Ap+15&amp;versioni[]=Martini</v>
      </c>
      <c r="D254" t="str">
        <f t="shared" si="22"/>
        <v>https://www.laparola.net/testo.php?riferimento=Ap+15&amp;versioni[]=Ricciotti</v>
      </c>
      <c r="E254" t="str">
        <f t="shared" si="23"/>
        <v>https://www.laparola.net/testo.php?riferimento=Ap+15&amp;versioni[]=Diodati</v>
      </c>
      <c r="F254" t="str">
        <f t="shared" si="24"/>
        <v>https://www.laparola.net/testo.php?riferimento=Ap+15&amp;versioni[]=Nuova+Diodati</v>
      </c>
      <c r="G254" t="str">
        <f t="shared" si="25"/>
        <v>https://www.laparola.net/testo.php?riferimento=Ap+15&amp;versioni[]=Riveduta</v>
      </c>
      <c r="H254" t="str">
        <f t="shared" si="26"/>
        <v>https://www.laparola.net/testo.php?riferimento=Ap+15&amp;versioni[]=Nuova+Riveduta</v>
      </c>
      <c r="I254" t="str">
        <f t="shared" si="27"/>
        <v>https://www.laparola.net/testo.php?riferimento=Ap+15&amp;versioni[]=Riveduta+2020</v>
      </c>
    </row>
    <row r="255" spans="1:9" x14ac:dyDescent="0.25">
      <c r="A255" t="s">
        <v>51</v>
      </c>
      <c r="B255">
        <v>16</v>
      </c>
      <c r="C255" t="str">
        <f t="shared" si="21"/>
        <v>https://www.laparola.net/testo.php?riferimento=Ap+16&amp;versioni[]=Martini</v>
      </c>
      <c r="D255" t="str">
        <f t="shared" si="22"/>
        <v>https://www.laparola.net/testo.php?riferimento=Ap+16&amp;versioni[]=Ricciotti</v>
      </c>
      <c r="E255" t="str">
        <f t="shared" si="23"/>
        <v>https://www.laparola.net/testo.php?riferimento=Ap+16&amp;versioni[]=Diodati</v>
      </c>
      <c r="F255" t="str">
        <f t="shared" si="24"/>
        <v>https://www.laparola.net/testo.php?riferimento=Ap+16&amp;versioni[]=Nuova+Diodati</v>
      </c>
      <c r="G255" t="str">
        <f t="shared" si="25"/>
        <v>https://www.laparola.net/testo.php?riferimento=Ap+16&amp;versioni[]=Riveduta</v>
      </c>
      <c r="H255" t="str">
        <f t="shared" si="26"/>
        <v>https://www.laparola.net/testo.php?riferimento=Ap+16&amp;versioni[]=Nuova+Riveduta</v>
      </c>
      <c r="I255" t="str">
        <f t="shared" si="27"/>
        <v>https://www.laparola.net/testo.php?riferimento=Ap+16&amp;versioni[]=Riveduta+2020</v>
      </c>
    </row>
    <row r="256" spans="1:9" x14ac:dyDescent="0.25">
      <c r="A256" t="s">
        <v>51</v>
      </c>
      <c r="B256">
        <v>17</v>
      </c>
      <c r="C256" t="str">
        <f t="shared" si="21"/>
        <v>https://www.laparola.net/testo.php?riferimento=Ap+17&amp;versioni[]=Martini</v>
      </c>
      <c r="D256" t="str">
        <f t="shared" si="22"/>
        <v>https://www.laparola.net/testo.php?riferimento=Ap+17&amp;versioni[]=Ricciotti</v>
      </c>
      <c r="E256" t="str">
        <f t="shared" si="23"/>
        <v>https://www.laparola.net/testo.php?riferimento=Ap+17&amp;versioni[]=Diodati</v>
      </c>
      <c r="F256" t="str">
        <f t="shared" si="24"/>
        <v>https://www.laparola.net/testo.php?riferimento=Ap+17&amp;versioni[]=Nuova+Diodati</v>
      </c>
      <c r="G256" t="str">
        <f t="shared" si="25"/>
        <v>https://www.laparola.net/testo.php?riferimento=Ap+17&amp;versioni[]=Riveduta</v>
      </c>
      <c r="H256" t="str">
        <f t="shared" si="26"/>
        <v>https://www.laparola.net/testo.php?riferimento=Ap+17&amp;versioni[]=Nuova+Riveduta</v>
      </c>
      <c r="I256" t="str">
        <f t="shared" si="27"/>
        <v>https://www.laparola.net/testo.php?riferimento=Ap+17&amp;versioni[]=Riveduta+2020</v>
      </c>
    </row>
    <row r="257" spans="1:9" x14ac:dyDescent="0.25">
      <c r="A257" t="s">
        <v>51</v>
      </c>
      <c r="B257">
        <v>18</v>
      </c>
      <c r="C257" t="str">
        <f t="shared" si="21"/>
        <v>https://www.laparola.net/testo.php?riferimento=Ap+18&amp;versioni[]=Martini</v>
      </c>
      <c r="D257" t="str">
        <f t="shared" si="22"/>
        <v>https://www.laparola.net/testo.php?riferimento=Ap+18&amp;versioni[]=Ricciotti</v>
      </c>
      <c r="E257" t="str">
        <f t="shared" si="23"/>
        <v>https://www.laparola.net/testo.php?riferimento=Ap+18&amp;versioni[]=Diodati</v>
      </c>
      <c r="F257" t="str">
        <f t="shared" si="24"/>
        <v>https://www.laparola.net/testo.php?riferimento=Ap+18&amp;versioni[]=Nuova+Diodati</v>
      </c>
      <c r="G257" t="str">
        <f t="shared" si="25"/>
        <v>https://www.laparola.net/testo.php?riferimento=Ap+18&amp;versioni[]=Riveduta</v>
      </c>
      <c r="H257" t="str">
        <f t="shared" si="26"/>
        <v>https://www.laparola.net/testo.php?riferimento=Ap+18&amp;versioni[]=Nuova+Riveduta</v>
      </c>
      <c r="I257" t="str">
        <f t="shared" si="27"/>
        <v>https://www.laparola.net/testo.php?riferimento=Ap+18&amp;versioni[]=Riveduta+2020</v>
      </c>
    </row>
    <row r="258" spans="1:9" x14ac:dyDescent="0.25">
      <c r="A258" t="s">
        <v>51</v>
      </c>
      <c r="B258">
        <v>19</v>
      </c>
      <c r="C258" t="str">
        <f t="shared" si="21"/>
        <v>https://www.laparola.net/testo.php?riferimento=Ap+19&amp;versioni[]=Martini</v>
      </c>
      <c r="D258" t="str">
        <f t="shared" si="22"/>
        <v>https://www.laparola.net/testo.php?riferimento=Ap+19&amp;versioni[]=Ricciotti</v>
      </c>
      <c r="E258" t="str">
        <f t="shared" si="23"/>
        <v>https://www.laparola.net/testo.php?riferimento=Ap+19&amp;versioni[]=Diodati</v>
      </c>
      <c r="F258" t="str">
        <f t="shared" si="24"/>
        <v>https://www.laparola.net/testo.php?riferimento=Ap+19&amp;versioni[]=Nuova+Diodati</v>
      </c>
      <c r="G258" t="str">
        <f t="shared" si="25"/>
        <v>https://www.laparola.net/testo.php?riferimento=Ap+19&amp;versioni[]=Riveduta</v>
      </c>
      <c r="H258" t="str">
        <f t="shared" si="26"/>
        <v>https://www.laparola.net/testo.php?riferimento=Ap+19&amp;versioni[]=Nuova+Riveduta</v>
      </c>
      <c r="I258" t="str">
        <f t="shared" si="27"/>
        <v>https://www.laparola.net/testo.php?riferimento=Ap+19&amp;versioni[]=Riveduta+2020</v>
      </c>
    </row>
    <row r="259" spans="1:9" x14ac:dyDescent="0.25">
      <c r="A259" t="s">
        <v>51</v>
      </c>
      <c r="B259">
        <v>20</v>
      </c>
      <c r="C259" t="str">
        <f t="shared" si="21"/>
        <v>https://www.laparola.net/testo.php?riferimento=Ap+20&amp;versioni[]=Martini</v>
      </c>
      <c r="D259" t="str">
        <f t="shared" si="22"/>
        <v>https://www.laparola.net/testo.php?riferimento=Ap+20&amp;versioni[]=Ricciotti</v>
      </c>
      <c r="E259" t="str">
        <f t="shared" si="23"/>
        <v>https://www.laparola.net/testo.php?riferimento=Ap+20&amp;versioni[]=Diodati</v>
      </c>
      <c r="F259" t="str">
        <f t="shared" si="24"/>
        <v>https://www.laparola.net/testo.php?riferimento=Ap+20&amp;versioni[]=Nuova+Diodati</v>
      </c>
      <c r="G259" t="str">
        <f t="shared" si="25"/>
        <v>https://www.laparola.net/testo.php?riferimento=Ap+20&amp;versioni[]=Riveduta</v>
      </c>
      <c r="H259" t="str">
        <f t="shared" si="26"/>
        <v>https://www.laparola.net/testo.php?riferimento=Ap+20&amp;versioni[]=Nuova+Riveduta</v>
      </c>
      <c r="I259" t="str">
        <f t="shared" si="27"/>
        <v>https://www.laparola.net/testo.php?riferimento=Ap+20&amp;versioni[]=Riveduta+2020</v>
      </c>
    </row>
    <row r="260" spans="1:9" x14ac:dyDescent="0.25">
      <c r="A260" t="s">
        <v>51</v>
      </c>
      <c r="B260">
        <v>21</v>
      </c>
      <c r="C260" t="str">
        <f t="shared" si="21"/>
        <v>https://www.laparola.net/testo.php?riferimento=Ap+21&amp;versioni[]=Martini</v>
      </c>
      <c r="D260" t="str">
        <f t="shared" si="22"/>
        <v>https://www.laparola.net/testo.php?riferimento=Ap+21&amp;versioni[]=Ricciotti</v>
      </c>
      <c r="E260" t="str">
        <f t="shared" si="23"/>
        <v>https://www.laparola.net/testo.php?riferimento=Ap+21&amp;versioni[]=Diodati</v>
      </c>
      <c r="F260" t="str">
        <f t="shared" si="24"/>
        <v>https://www.laparola.net/testo.php?riferimento=Ap+21&amp;versioni[]=Nuova+Diodati</v>
      </c>
      <c r="G260" t="str">
        <f t="shared" si="25"/>
        <v>https://www.laparola.net/testo.php?riferimento=Ap+21&amp;versioni[]=Riveduta</v>
      </c>
      <c r="H260" t="str">
        <f t="shared" si="26"/>
        <v>https://www.laparola.net/testo.php?riferimento=Ap+21&amp;versioni[]=Nuova+Riveduta</v>
      </c>
      <c r="I260" t="str">
        <f t="shared" si="27"/>
        <v>https://www.laparola.net/testo.php?riferimento=Ap+21&amp;versioni[]=Riveduta+2020</v>
      </c>
    </row>
    <row r="261" spans="1:9" x14ac:dyDescent="0.25">
      <c r="A261" t="s">
        <v>51</v>
      </c>
      <c r="B261">
        <v>22</v>
      </c>
      <c r="C261" t="str">
        <f t="shared" si="21"/>
        <v>https://www.laparola.net/testo.php?riferimento=Ap+22&amp;versioni[]=Martini</v>
      </c>
      <c r="D261" t="str">
        <f t="shared" si="22"/>
        <v>https://www.laparola.net/testo.php?riferimento=Ap+22&amp;versioni[]=Ricciotti</v>
      </c>
      <c r="E261" t="str">
        <f t="shared" si="23"/>
        <v>https://www.laparola.net/testo.php?riferimento=Ap+22&amp;versioni[]=Diodati</v>
      </c>
      <c r="F261" t="str">
        <f t="shared" si="24"/>
        <v>https://www.laparola.net/testo.php?riferimento=Ap+22&amp;versioni[]=Nuova+Diodati</v>
      </c>
      <c r="G261" t="str">
        <f t="shared" si="25"/>
        <v>https://www.laparola.net/testo.php?riferimento=Ap+22&amp;versioni[]=Riveduta</v>
      </c>
      <c r="H261" t="str">
        <f t="shared" si="26"/>
        <v>https://www.laparola.net/testo.php?riferimento=Ap+22&amp;versioni[]=Nuova+Riveduta</v>
      </c>
      <c r="I261" t="str">
        <f t="shared" si="27"/>
        <v>https://www.laparola.net/testo.php?riferimento=Ap+22&amp;versioni[]=Riveduta+2020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7C724-197E-4DA6-86FA-9BB104BB002D}">
  <sheetPr codeName="Foglio8"/>
  <dimension ref="A1:K1330"/>
  <sheetViews>
    <sheetView topLeftCell="D1" workbookViewId="0">
      <pane ySplit="1" topLeftCell="A72" activePane="bottomLeft" state="frozen"/>
      <selection pane="bottomLeft" activeCell="G92" sqref="G92"/>
    </sheetView>
  </sheetViews>
  <sheetFormatPr defaultColWidth="232.7109375" defaultRowHeight="15.75" x14ac:dyDescent="0.25"/>
  <cols>
    <col min="1" max="1" width="8" style="18" bestFit="1" customWidth="1"/>
    <col min="2" max="2" width="12.28515625" style="18" customWidth="1"/>
    <col min="3" max="3" width="31" style="18" bestFit="1" customWidth="1"/>
    <col min="4" max="4" width="37.42578125" style="18" bestFit="1" customWidth="1"/>
    <col min="5" max="5" width="7.42578125" style="18" customWidth="1"/>
    <col min="6" max="6" width="6.42578125" style="19" customWidth="1"/>
    <col min="7" max="7" width="6.85546875" style="19" customWidth="1"/>
    <col min="8" max="8" width="9.85546875" style="19" customWidth="1"/>
    <col min="9" max="9" width="9" style="19" customWidth="1"/>
    <col min="10" max="10" width="13.28515625" style="19" customWidth="1"/>
    <col min="11" max="11" width="25.5703125" style="19" customWidth="1"/>
    <col min="12" max="16384" width="232.7109375" style="19"/>
  </cols>
  <sheetData>
    <row r="1" spans="1:10" s="24" customFormat="1" ht="70.5" customHeight="1" x14ac:dyDescent="0.2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888</v>
      </c>
    </row>
    <row r="2" spans="1:10" customFormat="1" ht="15" x14ac:dyDescent="0.25">
      <c r="A2" s="27">
        <v>1</v>
      </c>
      <c r="B2" s="27" t="s">
        <v>505</v>
      </c>
      <c r="C2" s="27" t="s">
        <v>508</v>
      </c>
      <c r="D2" s="27" t="s">
        <v>380</v>
      </c>
      <c r="E2" s="27" t="s">
        <v>381</v>
      </c>
      <c r="F2" s="4">
        <v>1</v>
      </c>
      <c r="G2" s="4">
        <v>31</v>
      </c>
      <c r="H2" s="4"/>
      <c r="I2" s="4"/>
      <c r="J2" s="4">
        <v>1</v>
      </c>
    </row>
    <row r="3" spans="1:10" customFormat="1" ht="15" x14ac:dyDescent="0.25">
      <c r="A3" s="27">
        <v>1</v>
      </c>
      <c r="B3" s="27" t="s">
        <v>505</v>
      </c>
      <c r="C3" s="27" t="s">
        <v>508</v>
      </c>
      <c r="D3" s="27" t="s">
        <v>380</v>
      </c>
      <c r="E3" s="27" t="s">
        <v>381</v>
      </c>
      <c r="F3" s="4">
        <v>2</v>
      </c>
      <c r="G3" s="4">
        <v>25</v>
      </c>
      <c r="H3" s="4"/>
      <c r="I3" s="4"/>
      <c r="J3" s="4">
        <v>2</v>
      </c>
    </row>
    <row r="4" spans="1:10" customFormat="1" ht="15" x14ac:dyDescent="0.25">
      <c r="A4" s="27">
        <v>1</v>
      </c>
      <c r="B4" s="27" t="s">
        <v>505</v>
      </c>
      <c r="C4" s="27" t="s">
        <v>508</v>
      </c>
      <c r="D4" s="27" t="s">
        <v>380</v>
      </c>
      <c r="E4" s="27" t="s">
        <v>381</v>
      </c>
      <c r="F4" s="4">
        <v>3</v>
      </c>
      <c r="G4" s="4">
        <v>24</v>
      </c>
      <c r="H4" s="4"/>
      <c r="I4" s="4"/>
      <c r="J4" s="4">
        <v>3</v>
      </c>
    </row>
    <row r="5" spans="1:10" customFormat="1" ht="15" x14ac:dyDescent="0.25">
      <c r="A5" s="27">
        <v>1</v>
      </c>
      <c r="B5" s="27" t="s">
        <v>505</v>
      </c>
      <c r="C5" s="27" t="s">
        <v>508</v>
      </c>
      <c r="D5" s="27" t="s">
        <v>380</v>
      </c>
      <c r="E5" s="27" t="s">
        <v>381</v>
      </c>
      <c r="F5" s="4">
        <v>4</v>
      </c>
      <c r="G5" s="4">
        <v>26</v>
      </c>
      <c r="H5" s="4"/>
      <c r="I5" s="4"/>
      <c r="J5" s="4">
        <v>4</v>
      </c>
    </row>
    <row r="6" spans="1:10" customFormat="1" ht="15" x14ac:dyDescent="0.25">
      <c r="A6" s="27">
        <v>1</v>
      </c>
      <c r="B6" s="27" t="s">
        <v>505</v>
      </c>
      <c r="C6" s="27" t="s">
        <v>508</v>
      </c>
      <c r="D6" s="27" t="s">
        <v>380</v>
      </c>
      <c r="E6" s="27" t="s">
        <v>381</v>
      </c>
      <c r="F6" s="4">
        <v>5</v>
      </c>
      <c r="G6" s="4">
        <v>32</v>
      </c>
      <c r="H6" s="4"/>
      <c r="I6" s="4"/>
      <c r="J6" s="4">
        <v>5</v>
      </c>
    </row>
    <row r="7" spans="1:10" customFormat="1" ht="15" x14ac:dyDescent="0.25">
      <c r="A7" s="27">
        <v>1</v>
      </c>
      <c r="B7" s="27" t="s">
        <v>505</v>
      </c>
      <c r="C7" s="27" t="s">
        <v>508</v>
      </c>
      <c r="D7" s="27" t="s">
        <v>380</v>
      </c>
      <c r="E7" s="27" t="s">
        <v>381</v>
      </c>
      <c r="F7" s="4">
        <v>6</v>
      </c>
      <c r="G7" s="4">
        <v>22</v>
      </c>
      <c r="H7" s="4"/>
      <c r="I7" s="4"/>
      <c r="J7" s="4">
        <v>6</v>
      </c>
    </row>
    <row r="8" spans="1:10" customFormat="1" ht="15" x14ac:dyDescent="0.25">
      <c r="A8" s="27">
        <v>1</v>
      </c>
      <c r="B8" s="27" t="s">
        <v>505</v>
      </c>
      <c r="C8" s="27" t="s">
        <v>508</v>
      </c>
      <c r="D8" s="27" t="s">
        <v>380</v>
      </c>
      <c r="E8" s="27" t="s">
        <v>381</v>
      </c>
      <c r="F8" s="4">
        <v>7</v>
      </c>
      <c r="G8" s="4">
        <v>24</v>
      </c>
      <c r="H8" s="4"/>
      <c r="I8" s="4"/>
      <c r="J8" s="4">
        <v>7</v>
      </c>
    </row>
    <row r="9" spans="1:10" customFormat="1" ht="15" x14ac:dyDescent="0.25">
      <c r="A9" s="27">
        <v>1</v>
      </c>
      <c r="B9" s="27" t="s">
        <v>505</v>
      </c>
      <c r="C9" s="27" t="s">
        <v>508</v>
      </c>
      <c r="D9" s="27" t="s">
        <v>380</v>
      </c>
      <c r="E9" s="27" t="s">
        <v>381</v>
      </c>
      <c r="F9" s="4">
        <v>8</v>
      </c>
      <c r="G9" s="4">
        <v>22</v>
      </c>
      <c r="H9" s="4"/>
      <c r="I9" s="4"/>
      <c r="J9" s="4">
        <v>8</v>
      </c>
    </row>
    <row r="10" spans="1:10" customFormat="1" ht="15" x14ac:dyDescent="0.25">
      <c r="A10" s="27">
        <v>1</v>
      </c>
      <c r="B10" s="27" t="s">
        <v>505</v>
      </c>
      <c r="C10" s="27" t="s">
        <v>508</v>
      </c>
      <c r="D10" s="27" t="s">
        <v>380</v>
      </c>
      <c r="E10" s="27" t="s">
        <v>381</v>
      </c>
      <c r="F10" s="4">
        <v>9</v>
      </c>
      <c r="G10" s="4">
        <v>29</v>
      </c>
      <c r="H10" s="4"/>
      <c r="I10" s="4"/>
      <c r="J10" s="4">
        <v>9</v>
      </c>
    </row>
    <row r="11" spans="1:10" customFormat="1" ht="15" x14ac:dyDescent="0.25">
      <c r="A11" s="27">
        <v>1</v>
      </c>
      <c r="B11" s="27" t="s">
        <v>505</v>
      </c>
      <c r="C11" s="27" t="s">
        <v>508</v>
      </c>
      <c r="D11" s="27" t="s">
        <v>380</v>
      </c>
      <c r="E11" s="27" t="s">
        <v>381</v>
      </c>
      <c r="F11" s="4">
        <v>10</v>
      </c>
      <c r="G11" s="4">
        <v>32</v>
      </c>
      <c r="H11" s="4"/>
      <c r="I11" s="4"/>
      <c r="J11" s="4">
        <v>10</v>
      </c>
    </row>
    <row r="12" spans="1:10" customFormat="1" ht="15" x14ac:dyDescent="0.25">
      <c r="A12" s="27">
        <v>1</v>
      </c>
      <c r="B12" s="27" t="s">
        <v>505</v>
      </c>
      <c r="C12" s="27" t="s">
        <v>508</v>
      </c>
      <c r="D12" s="27" t="s">
        <v>380</v>
      </c>
      <c r="E12" s="27" t="s">
        <v>381</v>
      </c>
      <c r="F12" s="4">
        <v>11</v>
      </c>
      <c r="G12" s="4">
        <v>32</v>
      </c>
      <c r="H12" s="4"/>
      <c r="I12" s="4"/>
      <c r="J12" s="4">
        <v>11</v>
      </c>
    </row>
    <row r="13" spans="1:10" customFormat="1" ht="15" x14ac:dyDescent="0.25">
      <c r="A13" s="6">
        <v>1</v>
      </c>
      <c r="B13" s="6" t="s">
        <v>505</v>
      </c>
      <c r="C13" s="6" t="s">
        <v>508</v>
      </c>
      <c r="D13" s="6" t="s">
        <v>380</v>
      </c>
      <c r="E13" s="6" t="s">
        <v>381</v>
      </c>
      <c r="F13">
        <v>12</v>
      </c>
      <c r="G13">
        <v>20</v>
      </c>
      <c r="J13">
        <v>12</v>
      </c>
    </row>
    <row r="14" spans="1:10" customFormat="1" ht="15" x14ac:dyDescent="0.25">
      <c r="A14" s="6">
        <v>1</v>
      </c>
      <c r="B14" s="6" t="s">
        <v>505</v>
      </c>
      <c r="C14" s="6" t="s">
        <v>508</v>
      </c>
      <c r="D14" s="6" t="s">
        <v>380</v>
      </c>
      <c r="E14" s="6" t="s">
        <v>381</v>
      </c>
      <c r="F14">
        <v>13</v>
      </c>
      <c r="G14">
        <v>18</v>
      </c>
      <c r="J14">
        <v>13</v>
      </c>
    </row>
    <row r="15" spans="1:10" customFormat="1" ht="15" x14ac:dyDescent="0.25">
      <c r="A15" s="6">
        <v>1</v>
      </c>
      <c r="B15" s="6" t="s">
        <v>505</v>
      </c>
      <c r="C15" s="6" t="s">
        <v>508</v>
      </c>
      <c r="D15" s="6" t="s">
        <v>380</v>
      </c>
      <c r="E15" s="6" t="s">
        <v>381</v>
      </c>
      <c r="F15">
        <v>14</v>
      </c>
      <c r="G15">
        <v>24</v>
      </c>
      <c r="J15">
        <v>14</v>
      </c>
    </row>
    <row r="16" spans="1:10" customFormat="1" ht="15" x14ac:dyDescent="0.25">
      <c r="A16" s="6">
        <v>1</v>
      </c>
      <c r="B16" s="6" t="s">
        <v>505</v>
      </c>
      <c r="C16" s="6" t="s">
        <v>508</v>
      </c>
      <c r="D16" s="6" t="s">
        <v>380</v>
      </c>
      <c r="E16" s="6" t="s">
        <v>381</v>
      </c>
      <c r="F16">
        <v>15</v>
      </c>
      <c r="G16">
        <v>21</v>
      </c>
      <c r="J16">
        <v>15</v>
      </c>
    </row>
    <row r="17" spans="1:10" customFormat="1" ht="15" x14ac:dyDescent="0.25">
      <c r="A17" s="6">
        <v>1</v>
      </c>
      <c r="B17" s="6" t="s">
        <v>505</v>
      </c>
      <c r="C17" s="6" t="s">
        <v>508</v>
      </c>
      <c r="D17" s="6" t="s">
        <v>380</v>
      </c>
      <c r="E17" s="6" t="s">
        <v>381</v>
      </c>
      <c r="F17">
        <v>16</v>
      </c>
      <c r="G17">
        <v>16</v>
      </c>
      <c r="J17">
        <v>16</v>
      </c>
    </row>
    <row r="18" spans="1:10" customFormat="1" ht="15" x14ac:dyDescent="0.25">
      <c r="A18" s="6">
        <v>1</v>
      </c>
      <c r="B18" s="6" t="s">
        <v>505</v>
      </c>
      <c r="C18" s="6" t="s">
        <v>508</v>
      </c>
      <c r="D18" s="6" t="s">
        <v>380</v>
      </c>
      <c r="E18" s="6" t="s">
        <v>381</v>
      </c>
      <c r="F18">
        <v>17</v>
      </c>
      <c r="G18">
        <v>27</v>
      </c>
      <c r="J18">
        <v>17</v>
      </c>
    </row>
    <row r="19" spans="1:10" customFormat="1" ht="15" x14ac:dyDescent="0.25">
      <c r="A19" s="6">
        <v>1</v>
      </c>
      <c r="B19" s="6" t="s">
        <v>505</v>
      </c>
      <c r="C19" s="6" t="s">
        <v>508</v>
      </c>
      <c r="D19" s="6" t="s">
        <v>380</v>
      </c>
      <c r="E19" s="6" t="s">
        <v>381</v>
      </c>
      <c r="F19">
        <v>18</v>
      </c>
      <c r="G19">
        <v>33</v>
      </c>
      <c r="J19">
        <v>18</v>
      </c>
    </row>
    <row r="20" spans="1:10" customFormat="1" ht="15" x14ac:dyDescent="0.25">
      <c r="A20" s="6">
        <v>1</v>
      </c>
      <c r="B20" s="6" t="s">
        <v>505</v>
      </c>
      <c r="C20" s="6" t="s">
        <v>508</v>
      </c>
      <c r="D20" s="6" t="s">
        <v>380</v>
      </c>
      <c r="E20" s="6" t="s">
        <v>381</v>
      </c>
      <c r="F20">
        <v>19</v>
      </c>
      <c r="G20">
        <v>38</v>
      </c>
      <c r="J20">
        <v>19</v>
      </c>
    </row>
    <row r="21" spans="1:10" customFormat="1" ht="15" x14ac:dyDescent="0.25">
      <c r="A21" s="6">
        <v>1</v>
      </c>
      <c r="B21" s="6" t="s">
        <v>505</v>
      </c>
      <c r="C21" s="6" t="s">
        <v>508</v>
      </c>
      <c r="D21" s="6" t="s">
        <v>380</v>
      </c>
      <c r="E21" s="6" t="s">
        <v>381</v>
      </c>
      <c r="F21">
        <v>20</v>
      </c>
      <c r="G21">
        <v>18</v>
      </c>
      <c r="J21">
        <v>20</v>
      </c>
    </row>
    <row r="22" spans="1:10" customFormat="1" ht="15" x14ac:dyDescent="0.25">
      <c r="A22" s="6">
        <v>1</v>
      </c>
      <c r="B22" s="6" t="s">
        <v>505</v>
      </c>
      <c r="C22" s="6" t="s">
        <v>508</v>
      </c>
      <c r="D22" s="6" t="s">
        <v>380</v>
      </c>
      <c r="E22" s="6" t="s">
        <v>381</v>
      </c>
      <c r="F22">
        <v>21</v>
      </c>
      <c r="G22">
        <v>34</v>
      </c>
      <c r="J22">
        <v>21</v>
      </c>
    </row>
    <row r="23" spans="1:10" customFormat="1" ht="15" x14ac:dyDescent="0.25">
      <c r="A23" s="6">
        <v>1</v>
      </c>
      <c r="B23" s="6" t="s">
        <v>505</v>
      </c>
      <c r="C23" s="6" t="s">
        <v>508</v>
      </c>
      <c r="D23" s="6" t="s">
        <v>380</v>
      </c>
      <c r="E23" s="6" t="s">
        <v>381</v>
      </c>
      <c r="F23">
        <v>22</v>
      </c>
      <c r="G23">
        <v>24</v>
      </c>
      <c r="J23">
        <v>22</v>
      </c>
    </row>
    <row r="24" spans="1:10" customFormat="1" ht="15" x14ac:dyDescent="0.25">
      <c r="A24" s="6">
        <v>1</v>
      </c>
      <c r="B24" s="6" t="s">
        <v>505</v>
      </c>
      <c r="C24" s="6" t="s">
        <v>508</v>
      </c>
      <c r="D24" s="6" t="s">
        <v>380</v>
      </c>
      <c r="E24" s="6" t="s">
        <v>381</v>
      </c>
      <c r="F24">
        <v>23</v>
      </c>
      <c r="G24">
        <v>20</v>
      </c>
      <c r="J24">
        <v>23</v>
      </c>
    </row>
    <row r="25" spans="1:10" customFormat="1" ht="15" x14ac:dyDescent="0.25">
      <c r="A25" s="6">
        <v>1</v>
      </c>
      <c r="B25" s="6" t="s">
        <v>505</v>
      </c>
      <c r="C25" s="6" t="s">
        <v>508</v>
      </c>
      <c r="D25" s="6" t="s">
        <v>380</v>
      </c>
      <c r="E25" s="6" t="s">
        <v>381</v>
      </c>
      <c r="F25">
        <v>24</v>
      </c>
      <c r="G25">
        <v>67</v>
      </c>
      <c r="J25">
        <v>24</v>
      </c>
    </row>
    <row r="26" spans="1:10" customFormat="1" ht="15" x14ac:dyDescent="0.25">
      <c r="A26" s="6">
        <v>1</v>
      </c>
      <c r="B26" s="6" t="s">
        <v>505</v>
      </c>
      <c r="C26" s="6" t="s">
        <v>508</v>
      </c>
      <c r="D26" s="6" t="s">
        <v>380</v>
      </c>
      <c r="E26" s="6" t="s">
        <v>381</v>
      </c>
      <c r="F26">
        <v>25</v>
      </c>
      <c r="G26">
        <v>34</v>
      </c>
      <c r="J26">
        <v>25</v>
      </c>
    </row>
    <row r="27" spans="1:10" customFormat="1" ht="15" x14ac:dyDescent="0.25">
      <c r="A27" s="6">
        <v>1</v>
      </c>
      <c r="B27" s="6" t="s">
        <v>505</v>
      </c>
      <c r="C27" s="6" t="s">
        <v>508</v>
      </c>
      <c r="D27" s="6" t="s">
        <v>380</v>
      </c>
      <c r="E27" s="6" t="s">
        <v>381</v>
      </c>
      <c r="F27">
        <v>26</v>
      </c>
      <c r="G27">
        <v>35</v>
      </c>
      <c r="J27">
        <v>26</v>
      </c>
    </row>
    <row r="28" spans="1:10" customFormat="1" ht="15" x14ac:dyDescent="0.25">
      <c r="A28" s="6">
        <v>1</v>
      </c>
      <c r="B28" s="6" t="s">
        <v>505</v>
      </c>
      <c r="C28" s="6" t="s">
        <v>508</v>
      </c>
      <c r="D28" s="6" t="s">
        <v>380</v>
      </c>
      <c r="E28" s="6" t="s">
        <v>381</v>
      </c>
      <c r="F28">
        <v>27</v>
      </c>
      <c r="G28">
        <v>46</v>
      </c>
      <c r="J28">
        <v>27</v>
      </c>
    </row>
    <row r="29" spans="1:10" customFormat="1" ht="15" x14ac:dyDescent="0.25">
      <c r="A29" s="6">
        <v>1</v>
      </c>
      <c r="B29" s="6" t="s">
        <v>505</v>
      </c>
      <c r="C29" s="6" t="s">
        <v>508</v>
      </c>
      <c r="D29" s="6" t="s">
        <v>380</v>
      </c>
      <c r="E29" s="6" t="s">
        <v>381</v>
      </c>
      <c r="F29">
        <v>28</v>
      </c>
      <c r="G29">
        <v>22</v>
      </c>
      <c r="J29">
        <v>28</v>
      </c>
    </row>
    <row r="30" spans="1:10" customFormat="1" ht="15" x14ac:dyDescent="0.25">
      <c r="A30" s="6">
        <v>1</v>
      </c>
      <c r="B30" s="6" t="s">
        <v>505</v>
      </c>
      <c r="C30" s="6" t="s">
        <v>508</v>
      </c>
      <c r="D30" s="6" t="s">
        <v>380</v>
      </c>
      <c r="E30" s="6" t="s">
        <v>381</v>
      </c>
      <c r="F30">
        <v>29</v>
      </c>
      <c r="G30">
        <v>35</v>
      </c>
      <c r="J30">
        <v>29</v>
      </c>
    </row>
    <row r="31" spans="1:10" customFormat="1" ht="15" x14ac:dyDescent="0.25">
      <c r="A31" s="6">
        <v>1</v>
      </c>
      <c r="B31" s="6" t="s">
        <v>505</v>
      </c>
      <c r="C31" s="6" t="s">
        <v>508</v>
      </c>
      <c r="D31" s="6" t="s">
        <v>380</v>
      </c>
      <c r="E31" s="6" t="s">
        <v>381</v>
      </c>
      <c r="F31">
        <v>30</v>
      </c>
      <c r="G31">
        <v>43</v>
      </c>
      <c r="J31">
        <v>30</v>
      </c>
    </row>
    <row r="32" spans="1:10" customFormat="1" ht="15" x14ac:dyDescent="0.25">
      <c r="A32" s="6">
        <v>1</v>
      </c>
      <c r="B32" s="6" t="s">
        <v>505</v>
      </c>
      <c r="C32" s="6" t="s">
        <v>508</v>
      </c>
      <c r="D32" s="6" t="s">
        <v>380</v>
      </c>
      <c r="E32" s="6" t="s">
        <v>381</v>
      </c>
      <c r="F32">
        <v>31</v>
      </c>
      <c r="G32">
        <v>54</v>
      </c>
      <c r="J32">
        <v>31</v>
      </c>
    </row>
    <row r="33" spans="1:10" customFormat="1" ht="15" x14ac:dyDescent="0.25">
      <c r="A33" s="6">
        <v>1</v>
      </c>
      <c r="B33" s="6" t="s">
        <v>505</v>
      </c>
      <c r="C33" s="6" t="s">
        <v>508</v>
      </c>
      <c r="D33" s="6" t="s">
        <v>380</v>
      </c>
      <c r="E33" s="6" t="s">
        <v>381</v>
      </c>
      <c r="F33">
        <v>32</v>
      </c>
      <c r="G33">
        <v>33</v>
      </c>
      <c r="J33">
        <v>32</v>
      </c>
    </row>
    <row r="34" spans="1:10" customFormat="1" ht="15" x14ac:dyDescent="0.25">
      <c r="A34" s="6">
        <v>1</v>
      </c>
      <c r="B34" s="6" t="s">
        <v>505</v>
      </c>
      <c r="C34" s="6" t="s">
        <v>508</v>
      </c>
      <c r="D34" s="6" t="s">
        <v>380</v>
      </c>
      <c r="E34" s="6" t="s">
        <v>381</v>
      </c>
      <c r="F34">
        <v>33</v>
      </c>
      <c r="G34">
        <v>20</v>
      </c>
      <c r="J34">
        <v>33</v>
      </c>
    </row>
    <row r="35" spans="1:10" customFormat="1" ht="15" x14ac:dyDescent="0.25">
      <c r="A35" s="6">
        <v>1</v>
      </c>
      <c r="B35" s="6" t="s">
        <v>505</v>
      </c>
      <c r="C35" s="6" t="s">
        <v>508</v>
      </c>
      <c r="D35" s="6" t="s">
        <v>380</v>
      </c>
      <c r="E35" s="6" t="s">
        <v>381</v>
      </c>
      <c r="F35">
        <v>34</v>
      </c>
      <c r="G35">
        <v>31</v>
      </c>
      <c r="J35">
        <v>34</v>
      </c>
    </row>
    <row r="36" spans="1:10" customFormat="1" ht="15" x14ac:dyDescent="0.25">
      <c r="A36" s="6">
        <v>1</v>
      </c>
      <c r="B36" s="6" t="s">
        <v>505</v>
      </c>
      <c r="C36" s="6" t="s">
        <v>508</v>
      </c>
      <c r="D36" s="6" t="s">
        <v>380</v>
      </c>
      <c r="E36" s="6" t="s">
        <v>381</v>
      </c>
      <c r="F36">
        <v>35</v>
      </c>
      <c r="G36">
        <v>29</v>
      </c>
      <c r="J36">
        <v>35</v>
      </c>
    </row>
    <row r="37" spans="1:10" customFormat="1" ht="15" x14ac:dyDescent="0.25">
      <c r="A37" s="6">
        <v>1</v>
      </c>
      <c r="B37" s="6" t="s">
        <v>505</v>
      </c>
      <c r="C37" s="6" t="s">
        <v>508</v>
      </c>
      <c r="D37" s="6" t="s">
        <v>380</v>
      </c>
      <c r="E37" s="6" t="s">
        <v>381</v>
      </c>
      <c r="F37">
        <v>36</v>
      </c>
      <c r="G37">
        <v>43</v>
      </c>
      <c r="J37">
        <v>36</v>
      </c>
    </row>
    <row r="38" spans="1:10" customFormat="1" ht="15" x14ac:dyDescent="0.25">
      <c r="A38" s="6">
        <v>1</v>
      </c>
      <c r="B38" s="6" t="s">
        <v>505</v>
      </c>
      <c r="C38" s="6" t="s">
        <v>508</v>
      </c>
      <c r="D38" s="6" t="s">
        <v>380</v>
      </c>
      <c r="E38" s="6" t="s">
        <v>381</v>
      </c>
      <c r="F38">
        <v>37</v>
      </c>
      <c r="G38">
        <v>36</v>
      </c>
      <c r="J38">
        <v>37</v>
      </c>
    </row>
    <row r="39" spans="1:10" customFormat="1" ht="15" x14ac:dyDescent="0.25">
      <c r="A39" s="6">
        <v>1</v>
      </c>
      <c r="B39" s="6" t="s">
        <v>505</v>
      </c>
      <c r="C39" s="6" t="s">
        <v>508</v>
      </c>
      <c r="D39" s="6" t="s">
        <v>380</v>
      </c>
      <c r="E39" s="6" t="s">
        <v>381</v>
      </c>
      <c r="F39">
        <v>38</v>
      </c>
      <c r="G39">
        <v>30</v>
      </c>
      <c r="J39">
        <v>38</v>
      </c>
    </row>
    <row r="40" spans="1:10" customFormat="1" ht="15" x14ac:dyDescent="0.25">
      <c r="A40" s="6">
        <v>1</v>
      </c>
      <c r="B40" s="6" t="s">
        <v>505</v>
      </c>
      <c r="C40" s="6" t="s">
        <v>508</v>
      </c>
      <c r="D40" s="6" t="s">
        <v>380</v>
      </c>
      <c r="E40" s="6" t="s">
        <v>381</v>
      </c>
      <c r="F40">
        <v>39</v>
      </c>
      <c r="G40">
        <v>23</v>
      </c>
      <c r="J40">
        <v>39</v>
      </c>
    </row>
    <row r="41" spans="1:10" customFormat="1" ht="15" x14ac:dyDescent="0.25">
      <c r="A41" s="6">
        <v>1</v>
      </c>
      <c r="B41" s="6" t="s">
        <v>505</v>
      </c>
      <c r="C41" s="6" t="s">
        <v>508</v>
      </c>
      <c r="D41" s="6" t="s">
        <v>380</v>
      </c>
      <c r="E41" s="6" t="s">
        <v>381</v>
      </c>
      <c r="F41">
        <v>40</v>
      </c>
      <c r="G41">
        <v>23</v>
      </c>
      <c r="J41">
        <v>40</v>
      </c>
    </row>
    <row r="42" spans="1:10" customFormat="1" ht="15" x14ac:dyDescent="0.25">
      <c r="A42" s="6">
        <v>1</v>
      </c>
      <c r="B42" s="6" t="s">
        <v>505</v>
      </c>
      <c r="C42" s="6" t="s">
        <v>508</v>
      </c>
      <c r="D42" s="6" t="s">
        <v>380</v>
      </c>
      <c r="E42" s="6" t="s">
        <v>381</v>
      </c>
      <c r="F42">
        <v>41</v>
      </c>
      <c r="G42">
        <v>57</v>
      </c>
      <c r="J42">
        <v>41</v>
      </c>
    </row>
    <row r="43" spans="1:10" customFormat="1" ht="15" x14ac:dyDescent="0.25">
      <c r="A43" s="6">
        <v>1</v>
      </c>
      <c r="B43" s="6" t="s">
        <v>505</v>
      </c>
      <c r="C43" s="6" t="s">
        <v>508</v>
      </c>
      <c r="D43" s="6" t="s">
        <v>380</v>
      </c>
      <c r="E43" s="6" t="s">
        <v>381</v>
      </c>
      <c r="F43">
        <v>42</v>
      </c>
      <c r="G43">
        <v>38</v>
      </c>
      <c r="J43">
        <v>42</v>
      </c>
    </row>
    <row r="44" spans="1:10" customFormat="1" ht="15" x14ac:dyDescent="0.25">
      <c r="A44" s="6">
        <v>1</v>
      </c>
      <c r="B44" s="6" t="s">
        <v>505</v>
      </c>
      <c r="C44" s="6" t="s">
        <v>508</v>
      </c>
      <c r="D44" s="6" t="s">
        <v>380</v>
      </c>
      <c r="E44" s="6" t="s">
        <v>381</v>
      </c>
      <c r="F44">
        <v>43</v>
      </c>
      <c r="G44">
        <v>34</v>
      </c>
      <c r="J44">
        <v>43</v>
      </c>
    </row>
    <row r="45" spans="1:10" customFormat="1" ht="15" x14ac:dyDescent="0.25">
      <c r="A45" s="6">
        <v>1</v>
      </c>
      <c r="B45" s="6" t="s">
        <v>505</v>
      </c>
      <c r="C45" s="6" t="s">
        <v>508</v>
      </c>
      <c r="D45" s="6" t="s">
        <v>380</v>
      </c>
      <c r="E45" s="6" t="s">
        <v>381</v>
      </c>
      <c r="F45">
        <v>44</v>
      </c>
      <c r="G45">
        <v>34</v>
      </c>
      <c r="J45">
        <v>44</v>
      </c>
    </row>
    <row r="46" spans="1:10" customFormat="1" ht="15" x14ac:dyDescent="0.25">
      <c r="A46" s="6">
        <v>1</v>
      </c>
      <c r="B46" s="6" t="s">
        <v>505</v>
      </c>
      <c r="C46" s="6" t="s">
        <v>508</v>
      </c>
      <c r="D46" s="6" t="s">
        <v>380</v>
      </c>
      <c r="E46" s="6" t="s">
        <v>381</v>
      </c>
      <c r="F46">
        <v>45</v>
      </c>
      <c r="G46">
        <v>28</v>
      </c>
      <c r="J46">
        <v>45</v>
      </c>
    </row>
    <row r="47" spans="1:10" customFormat="1" ht="15" x14ac:dyDescent="0.25">
      <c r="A47" s="6">
        <v>1</v>
      </c>
      <c r="B47" s="6" t="s">
        <v>505</v>
      </c>
      <c r="C47" s="6" t="s">
        <v>508</v>
      </c>
      <c r="D47" s="6" t="s">
        <v>380</v>
      </c>
      <c r="E47" s="6" t="s">
        <v>381</v>
      </c>
      <c r="F47">
        <v>46</v>
      </c>
      <c r="G47">
        <v>34</v>
      </c>
      <c r="J47">
        <v>46</v>
      </c>
    </row>
    <row r="48" spans="1:10" customFormat="1" ht="15" x14ac:dyDescent="0.25">
      <c r="A48" s="6">
        <v>1</v>
      </c>
      <c r="B48" s="6" t="s">
        <v>505</v>
      </c>
      <c r="C48" s="6" t="s">
        <v>508</v>
      </c>
      <c r="D48" s="6" t="s">
        <v>380</v>
      </c>
      <c r="E48" s="6" t="s">
        <v>381</v>
      </c>
      <c r="F48">
        <v>47</v>
      </c>
      <c r="G48">
        <v>31</v>
      </c>
      <c r="J48">
        <v>47</v>
      </c>
    </row>
    <row r="49" spans="1:10" customFormat="1" ht="15" x14ac:dyDescent="0.25">
      <c r="A49" s="6">
        <v>1</v>
      </c>
      <c r="B49" s="6" t="s">
        <v>505</v>
      </c>
      <c r="C49" s="6" t="s">
        <v>508</v>
      </c>
      <c r="D49" s="6" t="s">
        <v>380</v>
      </c>
      <c r="E49" s="6" t="s">
        <v>381</v>
      </c>
      <c r="F49">
        <v>48</v>
      </c>
      <c r="G49">
        <v>22</v>
      </c>
      <c r="J49">
        <v>48</v>
      </c>
    </row>
    <row r="50" spans="1:10" customFormat="1" ht="15" x14ac:dyDescent="0.25">
      <c r="A50" s="6">
        <v>1</v>
      </c>
      <c r="B50" s="6" t="s">
        <v>505</v>
      </c>
      <c r="C50" s="6" t="s">
        <v>508</v>
      </c>
      <c r="D50" s="6" t="s">
        <v>380</v>
      </c>
      <c r="E50" s="6" t="s">
        <v>381</v>
      </c>
      <c r="F50">
        <v>49</v>
      </c>
      <c r="G50">
        <v>33</v>
      </c>
      <c r="J50">
        <v>49</v>
      </c>
    </row>
    <row r="51" spans="1:10" customFormat="1" thickBot="1" x14ac:dyDescent="0.3">
      <c r="A51" s="6">
        <v>1</v>
      </c>
      <c r="B51" s="6" t="s">
        <v>505</v>
      </c>
      <c r="C51" s="6" t="s">
        <v>508</v>
      </c>
      <c r="D51" s="16" t="s">
        <v>380</v>
      </c>
      <c r="E51" s="16" t="s">
        <v>381</v>
      </c>
      <c r="F51" s="17">
        <v>50</v>
      </c>
      <c r="G51" s="17">
        <v>26</v>
      </c>
      <c r="H51" s="17">
        <v>1533</v>
      </c>
      <c r="I51" s="17">
        <v>50</v>
      </c>
      <c r="J51">
        <v>50</v>
      </c>
    </row>
    <row r="52" spans="1:10" customFormat="1" thickTop="1" x14ac:dyDescent="0.25">
      <c r="A52" s="6">
        <v>2</v>
      </c>
      <c r="B52" s="6" t="s">
        <v>505</v>
      </c>
      <c r="C52" s="6" t="s">
        <v>508</v>
      </c>
      <c r="D52" s="6" t="s">
        <v>382</v>
      </c>
      <c r="E52" s="6" t="s">
        <v>383</v>
      </c>
      <c r="F52">
        <v>1</v>
      </c>
      <c r="G52">
        <v>22</v>
      </c>
      <c r="J52">
        <v>51</v>
      </c>
    </row>
    <row r="53" spans="1:10" customFormat="1" ht="15" x14ac:dyDescent="0.25">
      <c r="A53" s="6">
        <v>2</v>
      </c>
      <c r="B53" s="6" t="s">
        <v>505</v>
      </c>
      <c r="C53" s="6" t="s">
        <v>508</v>
      </c>
      <c r="D53" s="6" t="s">
        <v>382</v>
      </c>
      <c r="E53" s="6" t="s">
        <v>383</v>
      </c>
      <c r="F53">
        <v>2</v>
      </c>
      <c r="G53">
        <v>25</v>
      </c>
      <c r="J53">
        <v>52</v>
      </c>
    </row>
    <row r="54" spans="1:10" customFormat="1" ht="15" x14ac:dyDescent="0.25">
      <c r="A54" s="6">
        <v>2</v>
      </c>
      <c r="B54" s="6" t="s">
        <v>505</v>
      </c>
      <c r="C54" s="6" t="s">
        <v>508</v>
      </c>
      <c r="D54" s="6" t="s">
        <v>382</v>
      </c>
      <c r="E54" s="6" t="s">
        <v>383</v>
      </c>
      <c r="F54">
        <v>3</v>
      </c>
      <c r="G54">
        <v>22</v>
      </c>
      <c r="J54">
        <v>53</v>
      </c>
    </row>
    <row r="55" spans="1:10" customFormat="1" ht="15" x14ac:dyDescent="0.25">
      <c r="A55" s="6">
        <v>2</v>
      </c>
      <c r="B55" s="6" t="s">
        <v>505</v>
      </c>
      <c r="C55" s="6" t="s">
        <v>508</v>
      </c>
      <c r="D55" s="6" t="s">
        <v>382</v>
      </c>
      <c r="E55" s="6" t="s">
        <v>383</v>
      </c>
      <c r="F55">
        <v>4</v>
      </c>
      <c r="G55">
        <v>31</v>
      </c>
      <c r="J55">
        <v>54</v>
      </c>
    </row>
    <row r="56" spans="1:10" customFormat="1" ht="15" x14ac:dyDescent="0.25">
      <c r="A56" s="6">
        <v>2</v>
      </c>
      <c r="B56" s="6" t="s">
        <v>505</v>
      </c>
      <c r="C56" s="6" t="s">
        <v>508</v>
      </c>
      <c r="D56" s="6" t="s">
        <v>382</v>
      </c>
      <c r="E56" s="6" t="s">
        <v>383</v>
      </c>
      <c r="F56">
        <v>5</v>
      </c>
      <c r="G56">
        <v>23</v>
      </c>
      <c r="J56">
        <v>55</v>
      </c>
    </row>
    <row r="57" spans="1:10" customFormat="1" ht="15" x14ac:dyDescent="0.25">
      <c r="A57" s="6">
        <v>2</v>
      </c>
      <c r="B57" s="6" t="s">
        <v>505</v>
      </c>
      <c r="C57" s="6" t="s">
        <v>508</v>
      </c>
      <c r="D57" s="6" t="s">
        <v>382</v>
      </c>
      <c r="E57" s="6" t="s">
        <v>383</v>
      </c>
      <c r="F57">
        <v>6</v>
      </c>
      <c r="G57">
        <v>30</v>
      </c>
      <c r="J57">
        <v>56</v>
      </c>
    </row>
    <row r="58" spans="1:10" customFormat="1" ht="15" x14ac:dyDescent="0.25">
      <c r="A58" s="6">
        <v>2</v>
      </c>
      <c r="B58" s="6" t="s">
        <v>505</v>
      </c>
      <c r="C58" s="6" t="s">
        <v>508</v>
      </c>
      <c r="D58" s="6" t="s">
        <v>382</v>
      </c>
      <c r="E58" s="6" t="s">
        <v>383</v>
      </c>
      <c r="F58">
        <v>7</v>
      </c>
      <c r="G58">
        <v>29</v>
      </c>
      <c r="J58">
        <v>57</v>
      </c>
    </row>
    <row r="59" spans="1:10" customFormat="1" ht="15" x14ac:dyDescent="0.25">
      <c r="A59" s="6">
        <v>2</v>
      </c>
      <c r="B59" s="6" t="s">
        <v>505</v>
      </c>
      <c r="C59" s="6" t="s">
        <v>508</v>
      </c>
      <c r="D59" s="6" t="s">
        <v>382</v>
      </c>
      <c r="E59" s="6" t="s">
        <v>383</v>
      </c>
      <c r="F59">
        <v>8</v>
      </c>
      <c r="G59">
        <v>28</v>
      </c>
      <c r="J59">
        <v>58</v>
      </c>
    </row>
    <row r="60" spans="1:10" customFormat="1" ht="15" x14ac:dyDescent="0.25">
      <c r="A60" s="6">
        <v>2</v>
      </c>
      <c r="B60" s="6" t="s">
        <v>505</v>
      </c>
      <c r="C60" s="6" t="s">
        <v>508</v>
      </c>
      <c r="D60" s="6" t="s">
        <v>382</v>
      </c>
      <c r="E60" s="6" t="s">
        <v>383</v>
      </c>
      <c r="F60">
        <v>9</v>
      </c>
      <c r="G60">
        <v>35</v>
      </c>
      <c r="J60">
        <v>59</v>
      </c>
    </row>
    <row r="61" spans="1:10" customFormat="1" ht="15" x14ac:dyDescent="0.25">
      <c r="A61" s="6">
        <v>2</v>
      </c>
      <c r="B61" s="6" t="s">
        <v>505</v>
      </c>
      <c r="C61" s="6" t="s">
        <v>508</v>
      </c>
      <c r="D61" s="6" t="s">
        <v>382</v>
      </c>
      <c r="E61" s="6" t="s">
        <v>383</v>
      </c>
      <c r="F61">
        <v>10</v>
      </c>
      <c r="G61">
        <v>29</v>
      </c>
      <c r="J61">
        <v>60</v>
      </c>
    </row>
    <row r="62" spans="1:10" customFormat="1" ht="15" x14ac:dyDescent="0.25">
      <c r="A62" s="6">
        <v>2</v>
      </c>
      <c r="B62" s="6" t="s">
        <v>505</v>
      </c>
      <c r="C62" s="6" t="s">
        <v>508</v>
      </c>
      <c r="D62" s="6" t="s">
        <v>382</v>
      </c>
      <c r="E62" s="6" t="s">
        <v>383</v>
      </c>
      <c r="F62">
        <v>11</v>
      </c>
      <c r="G62">
        <v>10</v>
      </c>
      <c r="J62">
        <v>61</v>
      </c>
    </row>
    <row r="63" spans="1:10" customFormat="1" ht="15" x14ac:dyDescent="0.25">
      <c r="A63" s="6">
        <v>2</v>
      </c>
      <c r="B63" s="6" t="s">
        <v>505</v>
      </c>
      <c r="C63" s="6" t="s">
        <v>508</v>
      </c>
      <c r="D63" s="6" t="s">
        <v>382</v>
      </c>
      <c r="E63" s="6" t="s">
        <v>383</v>
      </c>
      <c r="F63">
        <v>12</v>
      </c>
      <c r="G63">
        <v>51</v>
      </c>
      <c r="J63">
        <v>62</v>
      </c>
    </row>
    <row r="64" spans="1:10" customFormat="1" ht="15" x14ac:dyDescent="0.25">
      <c r="A64" s="6">
        <v>2</v>
      </c>
      <c r="B64" s="6" t="s">
        <v>505</v>
      </c>
      <c r="C64" s="6" t="s">
        <v>508</v>
      </c>
      <c r="D64" s="6" t="s">
        <v>382</v>
      </c>
      <c r="E64" s="6" t="s">
        <v>383</v>
      </c>
      <c r="F64">
        <v>13</v>
      </c>
      <c r="G64">
        <v>22</v>
      </c>
      <c r="J64">
        <v>63</v>
      </c>
    </row>
    <row r="65" spans="1:10" customFormat="1" ht="15" x14ac:dyDescent="0.25">
      <c r="A65" s="6">
        <v>2</v>
      </c>
      <c r="B65" s="6" t="s">
        <v>505</v>
      </c>
      <c r="C65" s="6" t="s">
        <v>508</v>
      </c>
      <c r="D65" s="6" t="s">
        <v>382</v>
      </c>
      <c r="E65" s="6" t="s">
        <v>383</v>
      </c>
      <c r="F65">
        <v>14</v>
      </c>
      <c r="G65">
        <v>31</v>
      </c>
      <c r="J65">
        <v>64</v>
      </c>
    </row>
    <row r="66" spans="1:10" customFormat="1" ht="15" x14ac:dyDescent="0.25">
      <c r="A66" s="6">
        <v>2</v>
      </c>
      <c r="B66" s="6" t="s">
        <v>505</v>
      </c>
      <c r="C66" s="6" t="s">
        <v>508</v>
      </c>
      <c r="D66" s="6" t="s">
        <v>382</v>
      </c>
      <c r="E66" s="6" t="s">
        <v>383</v>
      </c>
      <c r="F66">
        <v>15</v>
      </c>
      <c r="G66">
        <v>27</v>
      </c>
      <c r="J66">
        <v>65</v>
      </c>
    </row>
    <row r="67" spans="1:10" customFormat="1" ht="15" x14ac:dyDescent="0.25">
      <c r="A67" s="6">
        <v>2</v>
      </c>
      <c r="B67" s="6" t="s">
        <v>505</v>
      </c>
      <c r="C67" s="6" t="s">
        <v>508</v>
      </c>
      <c r="D67" s="6" t="s">
        <v>382</v>
      </c>
      <c r="E67" s="6" t="s">
        <v>383</v>
      </c>
      <c r="F67">
        <v>16</v>
      </c>
      <c r="G67">
        <v>36</v>
      </c>
      <c r="J67">
        <v>66</v>
      </c>
    </row>
    <row r="68" spans="1:10" customFormat="1" ht="15" x14ac:dyDescent="0.25">
      <c r="A68" s="6">
        <v>2</v>
      </c>
      <c r="B68" s="6" t="s">
        <v>505</v>
      </c>
      <c r="C68" s="6" t="s">
        <v>508</v>
      </c>
      <c r="D68" s="6" t="s">
        <v>382</v>
      </c>
      <c r="E68" s="6" t="s">
        <v>383</v>
      </c>
      <c r="F68">
        <v>17</v>
      </c>
      <c r="G68">
        <v>16</v>
      </c>
      <c r="J68">
        <v>67</v>
      </c>
    </row>
    <row r="69" spans="1:10" customFormat="1" ht="15" x14ac:dyDescent="0.25">
      <c r="A69" s="6">
        <v>2</v>
      </c>
      <c r="B69" s="6" t="s">
        <v>505</v>
      </c>
      <c r="C69" s="6" t="s">
        <v>508</v>
      </c>
      <c r="D69" s="6" t="s">
        <v>382</v>
      </c>
      <c r="E69" s="6" t="s">
        <v>383</v>
      </c>
      <c r="F69">
        <v>18</v>
      </c>
      <c r="G69">
        <v>27</v>
      </c>
      <c r="J69">
        <v>68</v>
      </c>
    </row>
    <row r="70" spans="1:10" customFormat="1" ht="15" x14ac:dyDescent="0.25">
      <c r="A70" s="6">
        <v>2</v>
      </c>
      <c r="B70" s="6" t="s">
        <v>505</v>
      </c>
      <c r="C70" s="6" t="s">
        <v>508</v>
      </c>
      <c r="D70" s="6" t="s">
        <v>382</v>
      </c>
      <c r="E70" s="6" t="s">
        <v>383</v>
      </c>
      <c r="F70">
        <v>19</v>
      </c>
      <c r="G70">
        <v>25</v>
      </c>
      <c r="J70">
        <v>69</v>
      </c>
    </row>
    <row r="71" spans="1:10" customFormat="1" ht="15" x14ac:dyDescent="0.25">
      <c r="A71" s="6">
        <v>2</v>
      </c>
      <c r="B71" s="6" t="s">
        <v>505</v>
      </c>
      <c r="C71" s="6" t="s">
        <v>508</v>
      </c>
      <c r="D71" s="6" t="s">
        <v>382</v>
      </c>
      <c r="E71" s="6" t="s">
        <v>383</v>
      </c>
      <c r="F71">
        <v>20</v>
      </c>
      <c r="G71">
        <v>26</v>
      </c>
      <c r="J71">
        <v>70</v>
      </c>
    </row>
    <row r="72" spans="1:10" customFormat="1" ht="15" x14ac:dyDescent="0.25">
      <c r="A72" s="6">
        <v>2</v>
      </c>
      <c r="B72" s="6" t="s">
        <v>505</v>
      </c>
      <c r="C72" s="6" t="s">
        <v>508</v>
      </c>
      <c r="D72" s="6" t="s">
        <v>382</v>
      </c>
      <c r="E72" s="6" t="s">
        <v>383</v>
      </c>
      <c r="F72">
        <v>21</v>
      </c>
      <c r="G72">
        <v>37</v>
      </c>
      <c r="J72">
        <v>71</v>
      </c>
    </row>
    <row r="73" spans="1:10" customFormat="1" ht="15" x14ac:dyDescent="0.25">
      <c r="A73" s="6">
        <v>2</v>
      </c>
      <c r="B73" s="6" t="s">
        <v>505</v>
      </c>
      <c r="C73" s="6" t="s">
        <v>508</v>
      </c>
      <c r="D73" s="6" t="s">
        <v>382</v>
      </c>
      <c r="E73" s="6" t="s">
        <v>383</v>
      </c>
      <c r="F73">
        <v>22</v>
      </c>
      <c r="G73">
        <v>30</v>
      </c>
      <c r="J73">
        <v>72</v>
      </c>
    </row>
    <row r="74" spans="1:10" customFormat="1" ht="15" x14ac:dyDescent="0.25">
      <c r="A74" s="6">
        <v>2</v>
      </c>
      <c r="B74" s="6" t="s">
        <v>505</v>
      </c>
      <c r="C74" s="6" t="s">
        <v>508</v>
      </c>
      <c r="D74" s="6" t="s">
        <v>382</v>
      </c>
      <c r="E74" s="6" t="s">
        <v>383</v>
      </c>
      <c r="F74">
        <v>23</v>
      </c>
      <c r="G74">
        <v>33</v>
      </c>
      <c r="J74">
        <v>73</v>
      </c>
    </row>
    <row r="75" spans="1:10" customFormat="1" ht="15" x14ac:dyDescent="0.25">
      <c r="A75" s="6">
        <v>2</v>
      </c>
      <c r="B75" s="6" t="s">
        <v>505</v>
      </c>
      <c r="C75" s="6" t="s">
        <v>508</v>
      </c>
      <c r="D75" s="6" t="s">
        <v>382</v>
      </c>
      <c r="E75" s="6" t="s">
        <v>383</v>
      </c>
      <c r="F75">
        <v>24</v>
      </c>
      <c r="G75">
        <v>18</v>
      </c>
      <c r="J75">
        <v>74</v>
      </c>
    </row>
    <row r="76" spans="1:10" customFormat="1" ht="15" x14ac:dyDescent="0.25">
      <c r="A76" s="6">
        <v>2</v>
      </c>
      <c r="B76" s="6" t="s">
        <v>505</v>
      </c>
      <c r="C76" s="6" t="s">
        <v>508</v>
      </c>
      <c r="D76" s="6" t="s">
        <v>382</v>
      </c>
      <c r="E76" s="6" t="s">
        <v>383</v>
      </c>
      <c r="F76">
        <v>25</v>
      </c>
      <c r="G76">
        <v>40</v>
      </c>
      <c r="J76">
        <v>75</v>
      </c>
    </row>
    <row r="77" spans="1:10" customFormat="1" ht="15" x14ac:dyDescent="0.25">
      <c r="A77" s="6">
        <v>2</v>
      </c>
      <c r="B77" s="6" t="s">
        <v>505</v>
      </c>
      <c r="C77" s="6" t="s">
        <v>508</v>
      </c>
      <c r="D77" s="6" t="s">
        <v>382</v>
      </c>
      <c r="E77" s="6" t="s">
        <v>383</v>
      </c>
      <c r="F77">
        <v>26</v>
      </c>
      <c r="G77">
        <v>37</v>
      </c>
      <c r="J77">
        <v>76</v>
      </c>
    </row>
    <row r="78" spans="1:10" customFormat="1" ht="15" x14ac:dyDescent="0.25">
      <c r="A78" s="6">
        <v>2</v>
      </c>
      <c r="B78" s="6" t="s">
        <v>505</v>
      </c>
      <c r="C78" s="6" t="s">
        <v>508</v>
      </c>
      <c r="D78" s="6" t="s">
        <v>382</v>
      </c>
      <c r="E78" s="6" t="s">
        <v>383</v>
      </c>
      <c r="F78">
        <v>27</v>
      </c>
      <c r="G78">
        <v>21</v>
      </c>
      <c r="J78">
        <v>77</v>
      </c>
    </row>
    <row r="79" spans="1:10" customFormat="1" ht="15" x14ac:dyDescent="0.25">
      <c r="A79" s="6">
        <v>2</v>
      </c>
      <c r="B79" s="6" t="s">
        <v>505</v>
      </c>
      <c r="C79" s="6" t="s">
        <v>508</v>
      </c>
      <c r="D79" s="6" t="s">
        <v>382</v>
      </c>
      <c r="E79" s="6" t="s">
        <v>383</v>
      </c>
      <c r="F79">
        <v>28</v>
      </c>
      <c r="G79">
        <v>43</v>
      </c>
      <c r="J79">
        <v>78</v>
      </c>
    </row>
    <row r="80" spans="1:10" customFormat="1" ht="15" x14ac:dyDescent="0.25">
      <c r="A80" s="6">
        <v>2</v>
      </c>
      <c r="B80" s="6" t="s">
        <v>505</v>
      </c>
      <c r="C80" s="6" t="s">
        <v>508</v>
      </c>
      <c r="D80" s="6" t="s">
        <v>382</v>
      </c>
      <c r="E80" s="6" t="s">
        <v>383</v>
      </c>
      <c r="F80">
        <v>29</v>
      </c>
      <c r="G80">
        <v>46</v>
      </c>
      <c r="J80">
        <v>79</v>
      </c>
    </row>
    <row r="81" spans="1:10" customFormat="1" ht="15" x14ac:dyDescent="0.25">
      <c r="A81" s="6">
        <v>2</v>
      </c>
      <c r="B81" s="6" t="s">
        <v>505</v>
      </c>
      <c r="C81" s="6" t="s">
        <v>508</v>
      </c>
      <c r="D81" s="6" t="s">
        <v>382</v>
      </c>
      <c r="E81" s="6" t="s">
        <v>383</v>
      </c>
      <c r="F81">
        <v>30</v>
      </c>
      <c r="G81">
        <v>38</v>
      </c>
      <c r="J81">
        <v>80</v>
      </c>
    </row>
    <row r="82" spans="1:10" customFormat="1" ht="15" x14ac:dyDescent="0.25">
      <c r="A82" s="6">
        <v>2</v>
      </c>
      <c r="B82" s="6" t="s">
        <v>505</v>
      </c>
      <c r="C82" s="6" t="s">
        <v>508</v>
      </c>
      <c r="D82" s="6" t="s">
        <v>382</v>
      </c>
      <c r="E82" s="6" t="s">
        <v>383</v>
      </c>
      <c r="F82">
        <v>31</v>
      </c>
      <c r="G82">
        <v>18</v>
      </c>
      <c r="J82">
        <v>81</v>
      </c>
    </row>
    <row r="83" spans="1:10" customFormat="1" ht="15" x14ac:dyDescent="0.25">
      <c r="A83" s="6">
        <v>2</v>
      </c>
      <c r="B83" s="6" t="s">
        <v>505</v>
      </c>
      <c r="C83" s="6" t="s">
        <v>508</v>
      </c>
      <c r="D83" s="6" t="s">
        <v>382</v>
      </c>
      <c r="E83" s="6" t="s">
        <v>383</v>
      </c>
      <c r="F83">
        <v>32</v>
      </c>
      <c r="G83">
        <v>35</v>
      </c>
      <c r="J83">
        <v>82</v>
      </c>
    </row>
    <row r="84" spans="1:10" customFormat="1" ht="15" x14ac:dyDescent="0.25">
      <c r="A84" s="6">
        <v>2</v>
      </c>
      <c r="B84" s="6" t="s">
        <v>505</v>
      </c>
      <c r="C84" s="6" t="s">
        <v>508</v>
      </c>
      <c r="D84" s="6" t="s">
        <v>382</v>
      </c>
      <c r="E84" s="6" t="s">
        <v>383</v>
      </c>
      <c r="F84">
        <v>33</v>
      </c>
      <c r="G84">
        <v>23</v>
      </c>
      <c r="J84">
        <v>83</v>
      </c>
    </row>
    <row r="85" spans="1:10" customFormat="1" ht="15" x14ac:dyDescent="0.25">
      <c r="A85" s="6">
        <v>2</v>
      </c>
      <c r="B85" s="6" t="s">
        <v>505</v>
      </c>
      <c r="C85" s="6" t="s">
        <v>508</v>
      </c>
      <c r="D85" s="6" t="s">
        <v>382</v>
      </c>
      <c r="E85" s="6" t="s">
        <v>383</v>
      </c>
      <c r="F85">
        <v>34</v>
      </c>
      <c r="G85">
        <v>35</v>
      </c>
      <c r="J85">
        <v>84</v>
      </c>
    </row>
    <row r="86" spans="1:10" customFormat="1" ht="15" x14ac:dyDescent="0.25">
      <c r="A86" s="6">
        <v>2</v>
      </c>
      <c r="B86" s="6" t="s">
        <v>505</v>
      </c>
      <c r="C86" s="6" t="s">
        <v>508</v>
      </c>
      <c r="D86" s="6" t="s">
        <v>382</v>
      </c>
      <c r="E86" s="6" t="s">
        <v>383</v>
      </c>
      <c r="F86">
        <v>35</v>
      </c>
      <c r="G86">
        <v>35</v>
      </c>
      <c r="J86">
        <v>85</v>
      </c>
    </row>
    <row r="87" spans="1:10" customFormat="1" ht="15" x14ac:dyDescent="0.25">
      <c r="A87" s="6">
        <v>2</v>
      </c>
      <c r="B87" s="6" t="s">
        <v>505</v>
      </c>
      <c r="C87" s="6" t="s">
        <v>508</v>
      </c>
      <c r="D87" s="6" t="s">
        <v>382</v>
      </c>
      <c r="E87" s="6" t="s">
        <v>383</v>
      </c>
      <c r="F87">
        <v>36</v>
      </c>
      <c r="G87">
        <v>38</v>
      </c>
      <c r="J87">
        <v>86</v>
      </c>
    </row>
    <row r="88" spans="1:10" customFormat="1" ht="15" x14ac:dyDescent="0.25">
      <c r="A88" s="6">
        <v>2</v>
      </c>
      <c r="B88" s="6" t="s">
        <v>505</v>
      </c>
      <c r="C88" s="6" t="s">
        <v>508</v>
      </c>
      <c r="D88" s="6" t="s">
        <v>382</v>
      </c>
      <c r="E88" s="6" t="s">
        <v>383</v>
      </c>
      <c r="F88">
        <v>37</v>
      </c>
      <c r="G88">
        <v>29</v>
      </c>
      <c r="J88">
        <v>87</v>
      </c>
    </row>
    <row r="89" spans="1:10" customFormat="1" ht="15" x14ac:dyDescent="0.25">
      <c r="A89" s="6">
        <v>2</v>
      </c>
      <c r="B89" s="6" t="s">
        <v>505</v>
      </c>
      <c r="C89" s="6" t="s">
        <v>508</v>
      </c>
      <c r="D89" s="6" t="s">
        <v>382</v>
      </c>
      <c r="E89" s="6" t="s">
        <v>383</v>
      </c>
      <c r="F89">
        <v>38</v>
      </c>
      <c r="G89">
        <v>31</v>
      </c>
      <c r="J89">
        <v>88</v>
      </c>
    </row>
    <row r="90" spans="1:10" customFormat="1" ht="15" x14ac:dyDescent="0.25">
      <c r="A90" s="6">
        <v>2</v>
      </c>
      <c r="B90" s="6" t="s">
        <v>505</v>
      </c>
      <c r="C90" s="6" t="s">
        <v>508</v>
      </c>
      <c r="D90" s="6" t="s">
        <v>382</v>
      </c>
      <c r="E90" s="6" t="s">
        <v>383</v>
      </c>
      <c r="F90">
        <v>39</v>
      </c>
      <c r="G90">
        <v>43</v>
      </c>
      <c r="J90">
        <v>89</v>
      </c>
    </row>
    <row r="91" spans="1:10" customFormat="1" thickBot="1" x14ac:dyDescent="0.3">
      <c r="A91" s="6">
        <v>2</v>
      </c>
      <c r="B91" s="6" t="s">
        <v>505</v>
      </c>
      <c r="C91" s="6" t="s">
        <v>508</v>
      </c>
      <c r="D91" s="16" t="s">
        <v>382</v>
      </c>
      <c r="E91" s="16" t="s">
        <v>383</v>
      </c>
      <c r="F91" s="17">
        <v>40</v>
      </c>
      <c r="G91" s="17">
        <v>38</v>
      </c>
      <c r="H91" s="17">
        <v>1213</v>
      </c>
      <c r="I91" s="17">
        <v>40</v>
      </c>
      <c r="J91">
        <v>90</v>
      </c>
    </row>
    <row r="92" spans="1:10" customFormat="1" thickTop="1" x14ac:dyDescent="0.25">
      <c r="A92" s="6">
        <v>3</v>
      </c>
      <c r="B92" s="6" t="s">
        <v>505</v>
      </c>
      <c r="C92" s="6" t="s">
        <v>508</v>
      </c>
      <c r="D92" s="6" t="s">
        <v>384</v>
      </c>
      <c r="E92" s="6" t="s">
        <v>385</v>
      </c>
      <c r="F92">
        <v>1</v>
      </c>
      <c r="J92">
        <v>91</v>
      </c>
    </row>
    <row r="93" spans="1:10" customFormat="1" ht="15" x14ac:dyDescent="0.25">
      <c r="A93" s="6">
        <v>3</v>
      </c>
      <c r="B93" s="6" t="s">
        <v>505</v>
      </c>
      <c r="C93" s="6" t="s">
        <v>508</v>
      </c>
      <c r="D93" s="6" t="s">
        <v>384</v>
      </c>
      <c r="E93" s="6" t="s">
        <v>385</v>
      </c>
      <c r="F93">
        <v>2</v>
      </c>
      <c r="J93">
        <v>92</v>
      </c>
    </row>
    <row r="94" spans="1:10" customFormat="1" ht="15" x14ac:dyDescent="0.25">
      <c r="A94" s="6">
        <v>3</v>
      </c>
      <c r="B94" s="6" t="s">
        <v>505</v>
      </c>
      <c r="C94" s="6" t="s">
        <v>508</v>
      </c>
      <c r="D94" s="6" t="s">
        <v>384</v>
      </c>
      <c r="E94" s="6" t="s">
        <v>385</v>
      </c>
      <c r="F94">
        <v>3</v>
      </c>
      <c r="J94">
        <v>93</v>
      </c>
    </row>
    <row r="95" spans="1:10" customFormat="1" ht="15" x14ac:dyDescent="0.25">
      <c r="A95" s="6">
        <v>3</v>
      </c>
      <c r="B95" s="6" t="s">
        <v>505</v>
      </c>
      <c r="C95" s="6" t="s">
        <v>508</v>
      </c>
      <c r="D95" s="6" t="s">
        <v>384</v>
      </c>
      <c r="E95" s="6" t="s">
        <v>385</v>
      </c>
      <c r="F95">
        <v>4</v>
      </c>
      <c r="J95">
        <v>94</v>
      </c>
    </row>
    <row r="96" spans="1:10" customFormat="1" ht="15" x14ac:dyDescent="0.25">
      <c r="A96" s="6">
        <v>3</v>
      </c>
      <c r="B96" s="6" t="s">
        <v>505</v>
      </c>
      <c r="C96" s="6" t="s">
        <v>508</v>
      </c>
      <c r="D96" s="6" t="s">
        <v>384</v>
      </c>
      <c r="E96" s="6" t="s">
        <v>385</v>
      </c>
      <c r="F96">
        <v>5</v>
      </c>
      <c r="J96">
        <v>95</v>
      </c>
    </row>
    <row r="97" spans="1:10" customFormat="1" ht="15" x14ac:dyDescent="0.25">
      <c r="A97" s="6">
        <v>3</v>
      </c>
      <c r="B97" s="6" t="s">
        <v>505</v>
      </c>
      <c r="C97" s="6" t="s">
        <v>508</v>
      </c>
      <c r="D97" s="6" t="s">
        <v>384</v>
      </c>
      <c r="E97" s="6" t="s">
        <v>385</v>
      </c>
      <c r="F97">
        <v>6</v>
      </c>
      <c r="J97">
        <v>96</v>
      </c>
    </row>
    <row r="98" spans="1:10" customFormat="1" ht="15" x14ac:dyDescent="0.25">
      <c r="A98" s="6">
        <v>3</v>
      </c>
      <c r="B98" s="6" t="s">
        <v>505</v>
      </c>
      <c r="C98" s="6" t="s">
        <v>508</v>
      </c>
      <c r="D98" s="6" t="s">
        <v>384</v>
      </c>
      <c r="E98" s="6" t="s">
        <v>385</v>
      </c>
      <c r="F98">
        <v>7</v>
      </c>
      <c r="J98">
        <v>97</v>
      </c>
    </row>
    <row r="99" spans="1:10" customFormat="1" ht="15" x14ac:dyDescent="0.25">
      <c r="A99" s="6">
        <v>3</v>
      </c>
      <c r="B99" s="6" t="s">
        <v>505</v>
      </c>
      <c r="C99" s="6" t="s">
        <v>508</v>
      </c>
      <c r="D99" s="6" t="s">
        <v>384</v>
      </c>
      <c r="E99" s="6" t="s">
        <v>385</v>
      </c>
      <c r="F99">
        <v>8</v>
      </c>
      <c r="J99">
        <v>98</v>
      </c>
    </row>
    <row r="100" spans="1:10" customFormat="1" ht="15" x14ac:dyDescent="0.25">
      <c r="A100" s="6">
        <v>3</v>
      </c>
      <c r="B100" s="6" t="s">
        <v>505</v>
      </c>
      <c r="C100" s="6" t="s">
        <v>508</v>
      </c>
      <c r="D100" s="6" t="s">
        <v>384</v>
      </c>
      <c r="E100" s="6" t="s">
        <v>385</v>
      </c>
      <c r="F100">
        <v>9</v>
      </c>
      <c r="J100">
        <v>99</v>
      </c>
    </row>
    <row r="101" spans="1:10" customFormat="1" ht="15" x14ac:dyDescent="0.25">
      <c r="A101" s="6">
        <v>3</v>
      </c>
      <c r="B101" s="6" t="s">
        <v>505</v>
      </c>
      <c r="C101" s="6" t="s">
        <v>508</v>
      </c>
      <c r="D101" s="6" t="s">
        <v>384</v>
      </c>
      <c r="E101" s="6" t="s">
        <v>385</v>
      </c>
      <c r="F101">
        <v>10</v>
      </c>
      <c r="J101">
        <v>100</v>
      </c>
    </row>
    <row r="102" spans="1:10" customFormat="1" ht="15" x14ac:dyDescent="0.25">
      <c r="A102" s="6">
        <v>3</v>
      </c>
      <c r="B102" s="6" t="s">
        <v>505</v>
      </c>
      <c r="C102" s="6" t="s">
        <v>508</v>
      </c>
      <c r="D102" s="6" t="s">
        <v>384</v>
      </c>
      <c r="E102" s="6" t="s">
        <v>385</v>
      </c>
      <c r="F102">
        <v>11</v>
      </c>
      <c r="J102">
        <v>101</v>
      </c>
    </row>
    <row r="103" spans="1:10" customFormat="1" ht="15" x14ac:dyDescent="0.25">
      <c r="A103" s="6">
        <v>3</v>
      </c>
      <c r="B103" s="6" t="s">
        <v>505</v>
      </c>
      <c r="C103" s="6" t="s">
        <v>508</v>
      </c>
      <c r="D103" s="6" t="s">
        <v>384</v>
      </c>
      <c r="E103" s="6" t="s">
        <v>385</v>
      </c>
      <c r="F103">
        <v>12</v>
      </c>
      <c r="J103">
        <v>102</v>
      </c>
    </row>
    <row r="104" spans="1:10" customFormat="1" ht="15" x14ac:dyDescent="0.25">
      <c r="A104" s="6">
        <v>3</v>
      </c>
      <c r="B104" s="6" t="s">
        <v>505</v>
      </c>
      <c r="C104" s="6" t="s">
        <v>508</v>
      </c>
      <c r="D104" s="6" t="s">
        <v>384</v>
      </c>
      <c r="E104" s="6" t="s">
        <v>385</v>
      </c>
      <c r="F104">
        <v>13</v>
      </c>
      <c r="J104">
        <v>103</v>
      </c>
    </row>
    <row r="105" spans="1:10" customFormat="1" ht="15" x14ac:dyDescent="0.25">
      <c r="A105" s="6">
        <v>3</v>
      </c>
      <c r="B105" s="6" t="s">
        <v>505</v>
      </c>
      <c r="C105" s="6" t="s">
        <v>508</v>
      </c>
      <c r="D105" s="6" t="s">
        <v>384</v>
      </c>
      <c r="E105" s="6" t="s">
        <v>385</v>
      </c>
      <c r="F105">
        <v>14</v>
      </c>
      <c r="J105">
        <v>104</v>
      </c>
    </row>
    <row r="106" spans="1:10" customFormat="1" ht="15" x14ac:dyDescent="0.25">
      <c r="A106" s="6">
        <v>3</v>
      </c>
      <c r="B106" s="6" t="s">
        <v>505</v>
      </c>
      <c r="C106" s="6" t="s">
        <v>508</v>
      </c>
      <c r="D106" s="6" t="s">
        <v>384</v>
      </c>
      <c r="E106" s="6" t="s">
        <v>385</v>
      </c>
      <c r="F106">
        <v>15</v>
      </c>
      <c r="J106">
        <v>105</v>
      </c>
    </row>
    <row r="107" spans="1:10" customFormat="1" ht="15" x14ac:dyDescent="0.25">
      <c r="A107" s="6">
        <v>3</v>
      </c>
      <c r="B107" s="6" t="s">
        <v>505</v>
      </c>
      <c r="C107" s="6" t="s">
        <v>508</v>
      </c>
      <c r="D107" s="6" t="s">
        <v>384</v>
      </c>
      <c r="E107" s="6" t="s">
        <v>385</v>
      </c>
      <c r="F107">
        <v>16</v>
      </c>
      <c r="J107">
        <v>106</v>
      </c>
    </row>
    <row r="108" spans="1:10" customFormat="1" ht="15" x14ac:dyDescent="0.25">
      <c r="A108" s="6">
        <v>3</v>
      </c>
      <c r="B108" s="6" t="s">
        <v>505</v>
      </c>
      <c r="C108" s="6" t="s">
        <v>508</v>
      </c>
      <c r="D108" s="6" t="s">
        <v>384</v>
      </c>
      <c r="E108" s="6" t="s">
        <v>385</v>
      </c>
      <c r="F108">
        <v>17</v>
      </c>
      <c r="J108">
        <v>107</v>
      </c>
    </row>
    <row r="109" spans="1:10" customFormat="1" ht="15" x14ac:dyDescent="0.25">
      <c r="A109" s="6">
        <v>3</v>
      </c>
      <c r="B109" s="6" t="s">
        <v>505</v>
      </c>
      <c r="C109" s="6" t="s">
        <v>508</v>
      </c>
      <c r="D109" s="6" t="s">
        <v>384</v>
      </c>
      <c r="E109" s="6" t="s">
        <v>385</v>
      </c>
      <c r="F109">
        <v>18</v>
      </c>
      <c r="J109">
        <v>108</v>
      </c>
    </row>
    <row r="110" spans="1:10" customFormat="1" ht="15" x14ac:dyDescent="0.25">
      <c r="A110" s="6">
        <v>3</v>
      </c>
      <c r="B110" s="6" t="s">
        <v>505</v>
      </c>
      <c r="C110" s="6" t="s">
        <v>508</v>
      </c>
      <c r="D110" s="6" t="s">
        <v>384</v>
      </c>
      <c r="E110" s="6" t="s">
        <v>385</v>
      </c>
      <c r="F110">
        <v>19</v>
      </c>
      <c r="J110">
        <v>109</v>
      </c>
    </row>
    <row r="111" spans="1:10" customFormat="1" ht="15" x14ac:dyDescent="0.25">
      <c r="A111" s="6">
        <v>3</v>
      </c>
      <c r="B111" s="6" t="s">
        <v>505</v>
      </c>
      <c r="C111" s="6" t="s">
        <v>508</v>
      </c>
      <c r="D111" s="6" t="s">
        <v>384</v>
      </c>
      <c r="E111" s="6" t="s">
        <v>385</v>
      </c>
      <c r="F111">
        <v>20</v>
      </c>
      <c r="J111">
        <v>110</v>
      </c>
    </row>
    <row r="112" spans="1:10" customFormat="1" ht="15" x14ac:dyDescent="0.25">
      <c r="A112" s="6">
        <v>3</v>
      </c>
      <c r="B112" s="6" t="s">
        <v>505</v>
      </c>
      <c r="C112" s="6" t="s">
        <v>508</v>
      </c>
      <c r="D112" s="6" t="s">
        <v>384</v>
      </c>
      <c r="E112" s="6" t="s">
        <v>385</v>
      </c>
      <c r="F112">
        <v>21</v>
      </c>
      <c r="J112">
        <v>111</v>
      </c>
    </row>
    <row r="113" spans="1:10" customFormat="1" ht="15" x14ac:dyDescent="0.25">
      <c r="A113" s="6">
        <v>3</v>
      </c>
      <c r="B113" s="6" t="s">
        <v>505</v>
      </c>
      <c r="C113" s="6" t="s">
        <v>508</v>
      </c>
      <c r="D113" s="6" t="s">
        <v>384</v>
      </c>
      <c r="E113" s="6" t="s">
        <v>385</v>
      </c>
      <c r="F113">
        <v>22</v>
      </c>
      <c r="J113">
        <v>112</v>
      </c>
    </row>
    <row r="114" spans="1:10" customFormat="1" ht="15" x14ac:dyDescent="0.25">
      <c r="A114" s="6">
        <v>3</v>
      </c>
      <c r="B114" s="6" t="s">
        <v>505</v>
      </c>
      <c r="C114" s="6" t="s">
        <v>508</v>
      </c>
      <c r="D114" s="6" t="s">
        <v>384</v>
      </c>
      <c r="E114" s="6" t="s">
        <v>385</v>
      </c>
      <c r="F114">
        <v>23</v>
      </c>
      <c r="J114">
        <v>113</v>
      </c>
    </row>
    <row r="115" spans="1:10" customFormat="1" ht="15" x14ac:dyDescent="0.25">
      <c r="A115" s="6">
        <v>3</v>
      </c>
      <c r="B115" s="6" t="s">
        <v>505</v>
      </c>
      <c r="C115" s="6" t="s">
        <v>508</v>
      </c>
      <c r="D115" s="6" t="s">
        <v>384</v>
      </c>
      <c r="E115" s="6" t="s">
        <v>385</v>
      </c>
      <c r="F115">
        <v>24</v>
      </c>
      <c r="J115">
        <v>114</v>
      </c>
    </row>
    <row r="116" spans="1:10" customFormat="1" ht="15" x14ac:dyDescent="0.25">
      <c r="A116" s="6">
        <v>3</v>
      </c>
      <c r="B116" s="6" t="s">
        <v>505</v>
      </c>
      <c r="C116" s="6" t="s">
        <v>508</v>
      </c>
      <c r="D116" s="6" t="s">
        <v>384</v>
      </c>
      <c r="E116" s="6" t="s">
        <v>385</v>
      </c>
      <c r="F116">
        <v>25</v>
      </c>
      <c r="J116">
        <v>115</v>
      </c>
    </row>
    <row r="117" spans="1:10" customFormat="1" ht="15" x14ac:dyDescent="0.25">
      <c r="A117" s="6">
        <v>3</v>
      </c>
      <c r="B117" s="6" t="s">
        <v>505</v>
      </c>
      <c r="C117" s="6" t="s">
        <v>508</v>
      </c>
      <c r="D117" s="6" t="s">
        <v>384</v>
      </c>
      <c r="E117" s="6" t="s">
        <v>385</v>
      </c>
      <c r="F117">
        <v>26</v>
      </c>
      <c r="J117">
        <v>116</v>
      </c>
    </row>
    <row r="118" spans="1:10" customFormat="1" thickBot="1" x14ac:dyDescent="0.3">
      <c r="A118" s="6">
        <v>3</v>
      </c>
      <c r="B118" s="6" t="s">
        <v>505</v>
      </c>
      <c r="C118" s="6" t="s">
        <v>508</v>
      </c>
      <c r="D118" s="16" t="s">
        <v>384</v>
      </c>
      <c r="E118" s="16" t="s">
        <v>385</v>
      </c>
      <c r="F118" s="17">
        <v>27</v>
      </c>
      <c r="G118" s="17"/>
      <c r="H118" s="17"/>
      <c r="I118" s="17">
        <v>27</v>
      </c>
      <c r="J118">
        <v>117</v>
      </c>
    </row>
    <row r="119" spans="1:10" customFormat="1" thickTop="1" x14ac:dyDescent="0.25">
      <c r="A119" s="6">
        <v>4</v>
      </c>
      <c r="B119" s="6" t="s">
        <v>505</v>
      </c>
      <c r="C119" s="6" t="s">
        <v>508</v>
      </c>
      <c r="D119" s="6" t="s">
        <v>386</v>
      </c>
      <c r="E119" s="6" t="s">
        <v>387</v>
      </c>
      <c r="F119">
        <v>1</v>
      </c>
      <c r="J119">
        <v>118</v>
      </c>
    </row>
    <row r="120" spans="1:10" customFormat="1" ht="15" x14ac:dyDescent="0.25">
      <c r="A120" s="6">
        <v>4</v>
      </c>
      <c r="B120" s="6" t="s">
        <v>505</v>
      </c>
      <c r="C120" s="6" t="s">
        <v>508</v>
      </c>
      <c r="D120" s="6" t="s">
        <v>386</v>
      </c>
      <c r="E120" s="6" t="s">
        <v>387</v>
      </c>
      <c r="F120">
        <v>2</v>
      </c>
      <c r="J120">
        <v>119</v>
      </c>
    </row>
    <row r="121" spans="1:10" customFormat="1" ht="15" x14ac:dyDescent="0.25">
      <c r="A121" s="6">
        <v>4</v>
      </c>
      <c r="B121" s="6" t="s">
        <v>505</v>
      </c>
      <c r="C121" s="6" t="s">
        <v>508</v>
      </c>
      <c r="D121" s="6" t="s">
        <v>386</v>
      </c>
      <c r="E121" s="6" t="s">
        <v>387</v>
      </c>
      <c r="F121">
        <v>3</v>
      </c>
      <c r="J121">
        <v>120</v>
      </c>
    </row>
    <row r="122" spans="1:10" customFormat="1" ht="15" x14ac:dyDescent="0.25">
      <c r="A122" s="6">
        <v>4</v>
      </c>
      <c r="B122" s="6" t="s">
        <v>505</v>
      </c>
      <c r="C122" s="6" t="s">
        <v>508</v>
      </c>
      <c r="D122" s="6" t="s">
        <v>386</v>
      </c>
      <c r="E122" s="6" t="s">
        <v>387</v>
      </c>
      <c r="F122">
        <v>4</v>
      </c>
      <c r="J122">
        <v>121</v>
      </c>
    </row>
    <row r="123" spans="1:10" customFormat="1" ht="15" x14ac:dyDescent="0.25">
      <c r="A123" s="6">
        <v>4</v>
      </c>
      <c r="B123" s="6" t="s">
        <v>505</v>
      </c>
      <c r="C123" s="6" t="s">
        <v>508</v>
      </c>
      <c r="D123" s="6" t="s">
        <v>386</v>
      </c>
      <c r="E123" s="6" t="s">
        <v>387</v>
      </c>
      <c r="F123">
        <v>5</v>
      </c>
      <c r="J123">
        <v>122</v>
      </c>
    </row>
    <row r="124" spans="1:10" customFormat="1" ht="15" x14ac:dyDescent="0.25">
      <c r="A124" s="6">
        <v>4</v>
      </c>
      <c r="B124" s="6" t="s">
        <v>505</v>
      </c>
      <c r="C124" s="6" t="s">
        <v>508</v>
      </c>
      <c r="D124" s="6" t="s">
        <v>386</v>
      </c>
      <c r="E124" s="6" t="s">
        <v>387</v>
      </c>
      <c r="F124">
        <v>6</v>
      </c>
      <c r="J124">
        <v>123</v>
      </c>
    </row>
    <row r="125" spans="1:10" customFormat="1" ht="15" x14ac:dyDescent="0.25">
      <c r="A125" s="6">
        <v>4</v>
      </c>
      <c r="B125" s="6" t="s">
        <v>505</v>
      </c>
      <c r="C125" s="6" t="s">
        <v>508</v>
      </c>
      <c r="D125" s="6" t="s">
        <v>386</v>
      </c>
      <c r="E125" s="6" t="s">
        <v>387</v>
      </c>
      <c r="F125">
        <v>7</v>
      </c>
      <c r="J125">
        <v>124</v>
      </c>
    </row>
    <row r="126" spans="1:10" customFormat="1" ht="15" x14ac:dyDescent="0.25">
      <c r="A126" s="6">
        <v>4</v>
      </c>
      <c r="B126" s="6" t="s">
        <v>505</v>
      </c>
      <c r="C126" s="6" t="s">
        <v>508</v>
      </c>
      <c r="D126" s="6" t="s">
        <v>386</v>
      </c>
      <c r="E126" s="6" t="s">
        <v>387</v>
      </c>
      <c r="F126">
        <v>8</v>
      </c>
      <c r="J126">
        <v>125</v>
      </c>
    </row>
    <row r="127" spans="1:10" customFormat="1" ht="15" x14ac:dyDescent="0.25">
      <c r="A127" s="6">
        <v>4</v>
      </c>
      <c r="B127" s="6" t="s">
        <v>505</v>
      </c>
      <c r="C127" s="6" t="s">
        <v>508</v>
      </c>
      <c r="D127" s="6" t="s">
        <v>386</v>
      </c>
      <c r="E127" s="6" t="s">
        <v>387</v>
      </c>
      <c r="F127">
        <v>9</v>
      </c>
      <c r="J127">
        <v>126</v>
      </c>
    </row>
    <row r="128" spans="1:10" customFormat="1" ht="15" x14ac:dyDescent="0.25">
      <c r="A128" s="6">
        <v>4</v>
      </c>
      <c r="B128" s="6" t="s">
        <v>505</v>
      </c>
      <c r="C128" s="6" t="s">
        <v>508</v>
      </c>
      <c r="D128" s="6" t="s">
        <v>386</v>
      </c>
      <c r="E128" s="6" t="s">
        <v>387</v>
      </c>
      <c r="F128">
        <v>10</v>
      </c>
      <c r="J128">
        <v>127</v>
      </c>
    </row>
    <row r="129" spans="1:10" customFormat="1" ht="15" x14ac:dyDescent="0.25">
      <c r="A129" s="6">
        <v>4</v>
      </c>
      <c r="B129" s="6" t="s">
        <v>505</v>
      </c>
      <c r="C129" s="6" t="s">
        <v>508</v>
      </c>
      <c r="D129" s="6" t="s">
        <v>386</v>
      </c>
      <c r="E129" s="6" t="s">
        <v>387</v>
      </c>
      <c r="F129">
        <v>11</v>
      </c>
      <c r="J129">
        <v>128</v>
      </c>
    </row>
    <row r="130" spans="1:10" customFormat="1" ht="15" x14ac:dyDescent="0.25">
      <c r="A130" s="6">
        <v>4</v>
      </c>
      <c r="B130" s="6" t="s">
        <v>505</v>
      </c>
      <c r="C130" s="6" t="s">
        <v>508</v>
      </c>
      <c r="D130" s="6" t="s">
        <v>386</v>
      </c>
      <c r="E130" s="6" t="s">
        <v>387</v>
      </c>
      <c r="F130">
        <v>12</v>
      </c>
      <c r="J130">
        <v>129</v>
      </c>
    </row>
    <row r="131" spans="1:10" customFormat="1" ht="15" x14ac:dyDescent="0.25">
      <c r="A131" s="6">
        <v>4</v>
      </c>
      <c r="B131" s="6" t="s">
        <v>505</v>
      </c>
      <c r="C131" s="6" t="s">
        <v>508</v>
      </c>
      <c r="D131" s="6" t="s">
        <v>386</v>
      </c>
      <c r="E131" s="6" t="s">
        <v>387</v>
      </c>
      <c r="F131">
        <v>13</v>
      </c>
      <c r="J131">
        <v>130</v>
      </c>
    </row>
    <row r="132" spans="1:10" customFormat="1" ht="15" x14ac:dyDescent="0.25">
      <c r="A132" s="6">
        <v>4</v>
      </c>
      <c r="B132" s="6" t="s">
        <v>505</v>
      </c>
      <c r="C132" s="6" t="s">
        <v>508</v>
      </c>
      <c r="D132" s="6" t="s">
        <v>386</v>
      </c>
      <c r="E132" s="6" t="s">
        <v>387</v>
      </c>
      <c r="F132">
        <v>14</v>
      </c>
      <c r="J132">
        <v>131</v>
      </c>
    </row>
    <row r="133" spans="1:10" customFormat="1" ht="15" x14ac:dyDescent="0.25">
      <c r="A133" s="6">
        <v>4</v>
      </c>
      <c r="B133" s="6" t="s">
        <v>505</v>
      </c>
      <c r="C133" s="6" t="s">
        <v>508</v>
      </c>
      <c r="D133" s="6" t="s">
        <v>386</v>
      </c>
      <c r="E133" s="6" t="s">
        <v>387</v>
      </c>
      <c r="F133">
        <v>15</v>
      </c>
      <c r="J133">
        <v>132</v>
      </c>
    </row>
    <row r="134" spans="1:10" customFormat="1" ht="15" x14ac:dyDescent="0.25">
      <c r="A134" s="6">
        <v>4</v>
      </c>
      <c r="B134" s="6" t="s">
        <v>505</v>
      </c>
      <c r="C134" s="6" t="s">
        <v>508</v>
      </c>
      <c r="D134" s="6" t="s">
        <v>386</v>
      </c>
      <c r="E134" s="6" t="s">
        <v>387</v>
      </c>
      <c r="F134">
        <v>16</v>
      </c>
      <c r="J134">
        <v>133</v>
      </c>
    </row>
    <row r="135" spans="1:10" customFormat="1" ht="15" x14ac:dyDescent="0.25">
      <c r="A135" s="6">
        <v>4</v>
      </c>
      <c r="B135" s="6" t="s">
        <v>505</v>
      </c>
      <c r="C135" s="6" t="s">
        <v>508</v>
      </c>
      <c r="D135" s="6" t="s">
        <v>386</v>
      </c>
      <c r="E135" s="6" t="s">
        <v>387</v>
      </c>
      <c r="F135">
        <v>17</v>
      </c>
      <c r="J135">
        <v>134</v>
      </c>
    </row>
    <row r="136" spans="1:10" customFormat="1" ht="15" x14ac:dyDescent="0.25">
      <c r="A136" s="6">
        <v>4</v>
      </c>
      <c r="B136" s="6" t="s">
        <v>505</v>
      </c>
      <c r="C136" s="6" t="s">
        <v>508</v>
      </c>
      <c r="D136" s="6" t="s">
        <v>386</v>
      </c>
      <c r="E136" s="6" t="s">
        <v>387</v>
      </c>
      <c r="F136">
        <v>18</v>
      </c>
      <c r="J136">
        <v>135</v>
      </c>
    </row>
    <row r="137" spans="1:10" customFormat="1" ht="15" x14ac:dyDescent="0.25">
      <c r="A137" s="6">
        <v>4</v>
      </c>
      <c r="B137" s="6" t="s">
        <v>505</v>
      </c>
      <c r="C137" s="6" t="s">
        <v>508</v>
      </c>
      <c r="D137" s="6" t="s">
        <v>386</v>
      </c>
      <c r="E137" s="6" t="s">
        <v>387</v>
      </c>
      <c r="F137">
        <v>19</v>
      </c>
      <c r="J137">
        <v>136</v>
      </c>
    </row>
    <row r="138" spans="1:10" customFormat="1" ht="15" x14ac:dyDescent="0.25">
      <c r="A138" s="6">
        <v>4</v>
      </c>
      <c r="B138" s="6" t="s">
        <v>505</v>
      </c>
      <c r="C138" s="6" t="s">
        <v>508</v>
      </c>
      <c r="D138" s="6" t="s">
        <v>386</v>
      </c>
      <c r="E138" s="6" t="s">
        <v>387</v>
      </c>
      <c r="F138">
        <v>20</v>
      </c>
      <c r="J138">
        <v>137</v>
      </c>
    </row>
    <row r="139" spans="1:10" customFormat="1" ht="15" x14ac:dyDescent="0.25">
      <c r="A139" s="6">
        <v>4</v>
      </c>
      <c r="B139" s="6" t="s">
        <v>505</v>
      </c>
      <c r="C139" s="6" t="s">
        <v>508</v>
      </c>
      <c r="D139" s="6" t="s">
        <v>386</v>
      </c>
      <c r="E139" s="6" t="s">
        <v>387</v>
      </c>
      <c r="F139">
        <v>21</v>
      </c>
      <c r="J139">
        <v>138</v>
      </c>
    </row>
    <row r="140" spans="1:10" customFormat="1" ht="15" x14ac:dyDescent="0.25">
      <c r="A140" s="6">
        <v>4</v>
      </c>
      <c r="B140" s="6" t="s">
        <v>505</v>
      </c>
      <c r="C140" s="6" t="s">
        <v>508</v>
      </c>
      <c r="D140" s="6" t="s">
        <v>386</v>
      </c>
      <c r="E140" s="6" t="s">
        <v>387</v>
      </c>
      <c r="F140">
        <v>22</v>
      </c>
      <c r="J140">
        <v>139</v>
      </c>
    </row>
    <row r="141" spans="1:10" customFormat="1" ht="15" x14ac:dyDescent="0.25">
      <c r="A141" s="6">
        <v>4</v>
      </c>
      <c r="B141" s="6" t="s">
        <v>505</v>
      </c>
      <c r="C141" s="6" t="s">
        <v>508</v>
      </c>
      <c r="D141" s="6" t="s">
        <v>386</v>
      </c>
      <c r="E141" s="6" t="s">
        <v>387</v>
      </c>
      <c r="F141">
        <v>23</v>
      </c>
      <c r="J141">
        <v>140</v>
      </c>
    </row>
    <row r="142" spans="1:10" customFormat="1" ht="15" x14ac:dyDescent="0.25">
      <c r="A142" s="6">
        <v>4</v>
      </c>
      <c r="B142" s="6" t="s">
        <v>505</v>
      </c>
      <c r="C142" s="6" t="s">
        <v>508</v>
      </c>
      <c r="D142" s="6" t="s">
        <v>386</v>
      </c>
      <c r="E142" s="6" t="s">
        <v>387</v>
      </c>
      <c r="F142">
        <v>24</v>
      </c>
      <c r="J142">
        <v>141</v>
      </c>
    </row>
    <row r="143" spans="1:10" customFormat="1" ht="15" x14ac:dyDescent="0.25">
      <c r="A143" s="6">
        <v>4</v>
      </c>
      <c r="B143" s="6" t="s">
        <v>505</v>
      </c>
      <c r="C143" s="6" t="s">
        <v>508</v>
      </c>
      <c r="D143" s="6" t="s">
        <v>386</v>
      </c>
      <c r="E143" s="6" t="s">
        <v>387</v>
      </c>
      <c r="F143">
        <v>25</v>
      </c>
      <c r="J143">
        <v>142</v>
      </c>
    </row>
    <row r="144" spans="1:10" customFormat="1" ht="15" x14ac:dyDescent="0.25">
      <c r="A144" s="6">
        <v>4</v>
      </c>
      <c r="B144" s="6" t="s">
        <v>505</v>
      </c>
      <c r="C144" s="6" t="s">
        <v>508</v>
      </c>
      <c r="D144" s="6" t="s">
        <v>386</v>
      </c>
      <c r="E144" s="6" t="s">
        <v>387</v>
      </c>
      <c r="F144">
        <v>26</v>
      </c>
      <c r="J144">
        <v>143</v>
      </c>
    </row>
    <row r="145" spans="1:10" customFormat="1" ht="15" x14ac:dyDescent="0.25">
      <c r="A145" s="6">
        <v>4</v>
      </c>
      <c r="B145" s="6" t="s">
        <v>505</v>
      </c>
      <c r="C145" s="6" t="s">
        <v>508</v>
      </c>
      <c r="D145" s="6" t="s">
        <v>386</v>
      </c>
      <c r="E145" s="6" t="s">
        <v>387</v>
      </c>
      <c r="F145">
        <v>27</v>
      </c>
      <c r="J145">
        <v>144</v>
      </c>
    </row>
    <row r="146" spans="1:10" customFormat="1" ht="15" x14ac:dyDescent="0.25">
      <c r="A146" s="6">
        <v>4</v>
      </c>
      <c r="B146" s="6" t="s">
        <v>505</v>
      </c>
      <c r="C146" s="6" t="s">
        <v>508</v>
      </c>
      <c r="D146" s="6" t="s">
        <v>386</v>
      </c>
      <c r="E146" s="6" t="s">
        <v>387</v>
      </c>
      <c r="F146">
        <v>28</v>
      </c>
      <c r="J146">
        <v>145</v>
      </c>
    </row>
    <row r="147" spans="1:10" customFormat="1" ht="15" x14ac:dyDescent="0.25">
      <c r="A147" s="6">
        <v>4</v>
      </c>
      <c r="B147" s="6" t="s">
        <v>505</v>
      </c>
      <c r="C147" s="6" t="s">
        <v>508</v>
      </c>
      <c r="D147" s="6" t="s">
        <v>386</v>
      </c>
      <c r="E147" s="6" t="s">
        <v>387</v>
      </c>
      <c r="F147">
        <v>29</v>
      </c>
      <c r="J147">
        <v>146</v>
      </c>
    </row>
    <row r="148" spans="1:10" customFormat="1" ht="15" x14ac:dyDescent="0.25">
      <c r="A148" s="6">
        <v>4</v>
      </c>
      <c r="B148" s="6" t="s">
        <v>505</v>
      </c>
      <c r="C148" s="6" t="s">
        <v>508</v>
      </c>
      <c r="D148" s="6" t="s">
        <v>386</v>
      </c>
      <c r="E148" s="6" t="s">
        <v>387</v>
      </c>
      <c r="F148">
        <v>30</v>
      </c>
      <c r="J148">
        <v>147</v>
      </c>
    </row>
    <row r="149" spans="1:10" customFormat="1" ht="15" x14ac:dyDescent="0.25">
      <c r="A149" s="6">
        <v>4</v>
      </c>
      <c r="B149" s="6" t="s">
        <v>505</v>
      </c>
      <c r="C149" s="6" t="s">
        <v>508</v>
      </c>
      <c r="D149" s="6" t="s">
        <v>386</v>
      </c>
      <c r="E149" s="6" t="s">
        <v>387</v>
      </c>
      <c r="F149">
        <v>31</v>
      </c>
      <c r="J149">
        <v>148</v>
      </c>
    </row>
    <row r="150" spans="1:10" customFormat="1" ht="15" x14ac:dyDescent="0.25">
      <c r="A150" s="6">
        <v>4</v>
      </c>
      <c r="B150" s="6" t="s">
        <v>505</v>
      </c>
      <c r="C150" s="6" t="s">
        <v>508</v>
      </c>
      <c r="D150" s="6" t="s">
        <v>386</v>
      </c>
      <c r="E150" s="6" t="s">
        <v>387</v>
      </c>
      <c r="F150">
        <v>32</v>
      </c>
      <c r="J150">
        <v>149</v>
      </c>
    </row>
    <row r="151" spans="1:10" customFormat="1" ht="15" x14ac:dyDescent="0.25">
      <c r="A151" s="6">
        <v>4</v>
      </c>
      <c r="B151" s="6" t="s">
        <v>505</v>
      </c>
      <c r="C151" s="6" t="s">
        <v>508</v>
      </c>
      <c r="D151" s="6" t="s">
        <v>386</v>
      </c>
      <c r="E151" s="6" t="s">
        <v>387</v>
      </c>
      <c r="F151">
        <v>33</v>
      </c>
      <c r="J151">
        <v>150</v>
      </c>
    </row>
    <row r="152" spans="1:10" customFormat="1" ht="15" x14ac:dyDescent="0.25">
      <c r="A152" s="6">
        <v>4</v>
      </c>
      <c r="B152" s="6" t="s">
        <v>505</v>
      </c>
      <c r="C152" s="6" t="s">
        <v>508</v>
      </c>
      <c r="D152" s="6" t="s">
        <v>386</v>
      </c>
      <c r="E152" s="6" t="s">
        <v>387</v>
      </c>
      <c r="F152">
        <v>34</v>
      </c>
      <c r="J152">
        <v>151</v>
      </c>
    </row>
    <row r="153" spans="1:10" customFormat="1" ht="15" x14ac:dyDescent="0.25">
      <c r="A153" s="6">
        <v>4</v>
      </c>
      <c r="B153" s="6" t="s">
        <v>505</v>
      </c>
      <c r="C153" s="6" t="s">
        <v>508</v>
      </c>
      <c r="D153" s="6" t="s">
        <v>386</v>
      </c>
      <c r="E153" s="6" t="s">
        <v>387</v>
      </c>
      <c r="F153">
        <v>35</v>
      </c>
      <c r="J153">
        <v>152</v>
      </c>
    </row>
    <row r="154" spans="1:10" customFormat="1" thickBot="1" x14ac:dyDescent="0.3">
      <c r="A154" s="6">
        <v>4</v>
      </c>
      <c r="B154" s="6" t="s">
        <v>505</v>
      </c>
      <c r="C154" s="6" t="s">
        <v>508</v>
      </c>
      <c r="D154" s="16" t="s">
        <v>386</v>
      </c>
      <c r="E154" s="16" t="s">
        <v>387</v>
      </c>
      <c r="F154" s="17">
        <v>36</v>
      </c>
      <c r="G154" s="17"/>
      <c r="H154" s="17"/>
      <c r="I154" s="17">
        <v>36</v>
      </c>
      <c r="J154">
        <v>153</v>
      </c>
    </row>
    <row r="155" spans="1:10" customFormat="1" thickTop="1" x14ac:dyDescent="0.25">
      <c r="A155" s="6">
        <v>5</v>
      </c>
      <c r="B155" s="6" t="s">
        <v>505</v>
      </c>
      <c r="C155" s="6" t="s">
        <v>508</v>
      </c>
      <c r="D155" s="6" t="s">
        <v>388</v>
      </c>
      <c r="E155" s="6" t="s">
        <v>389</v>
      </c>
      <c r="F155">
        <v>1</v>
      </c>
      <c r="J155">
        <v>154</v>
      </c>
    </row>
    <row r="156" spans="1:10" customFormat="1" ht="15" x14ac:dyDescent="0.25">
      <c r="A156" s="6">
        <v>5</v>
      </c>
      <c r="B156" s="6" t="s">
        <v>505</v>
      </c>
      <c r="C156" s="6" t="s">
        <v>508</v>
      </c>
      <c r="D156" s="6" t="s">
        <v>388</v>
      </c>
      <c r="E156" s="6" t="s">
        <v>389</v>
      </c>
      <c r="F156">
        <v>2</v>
      </c>
      <c r="J156">
        <v>155</v>
      </c>
    </row>
    <row r="157" spans="1:10" customFormat="1" ht="15" x14ac:dyDescent="0.25">
      <c r="A157" s="6">
        <v>5</v>
      </c>
      <c r="B157" s="6" t="s">
        <v>505</v>
      </c>
      <c r="C157" s="6" t="s">
        <v>508</v>
      </c>
      <c r="D157" s="6" t="s">
        <v>388</v>
      </c>
      <c r="E157" s="6" t="s">
        <v>389</v>
      </c>
      <c r="F157">
        <v>3</v>
      </c>
      <c r="J157">
        <v>156</v>
      </c>
    </row>
    <row r="158" spans="1:10" customFormat="1" ht="15" x14ac:dyDescent="0.25">
      <c r="A158" s="6">
        <v>5</v>
      </c>
      <c r="B158" s="6" t="s">
        <v>505</v>
      </c>
      <c r="C158" s="6" t="s">
        <v>508</v>
      </c>
      <c r="D158" s="6" t="s">
        <v>388</v>
      </c>
      <c r="E158" s="6" t="s">
        <v>389</v>
      </c>
      <c r="F158">
        <v>4</v>
      </c>
      <c r="J158">
        <v>157</v>
      </c>
    </row>
    <row r="159" spans="1:10" customFormat="1" ht="15" x14ac:dyDescent="0.25">
      <c r="A159" s="6">
        <v>5</v>
      </c>
      <c r="B159" s="6" t="s">
        <v>505</v>
      </c>
      <c r="C159" s="6" t="s">
        <v>508</v>
      </c>
      <c r="D159" s="6" t="s">
        <v>388</v>
      </c>
      <c r="E159" s="6" t="s">
        <v>389</v>
      </c>
      <c r="F159">
        <v>5</v>
      </c>
      <c r="J159">
        <v>158</v>
      </c>
    </row>
    <row r="160" spans="1:10" customFormat="1" ht="15" x14ac:dyDescent="0.25">
      <c r="A160" s="6">
        <v>5</v>
      </c>
      <c r="B160" s="6" t="s">
        <v>505</v>
      </c>
      <c r="C160" s="6" t="s">
        <v>508</v>
      </c>
      <c r="D160" s="6" t="s">
        <v>388</v>
      </c>
      <c r="E160" s="6" t="s">
        <v>389</v>
      </c>
      <c r="F160">
        <v>6</v>
      </c>
      <c r="J160">
        <v>159</v>
      </c>
    </row>
    <row r="161" spans="1:10" customFormat="1" ht="15" x14ac:dyDescent="0.25">
      <c r="A161" s="6">
        <v>5</v>
      </c>
      <c r="B161" s="6" t="s">
        <v>505</v>
      </c>
      <c r="C161" s="6" t="s">
        <v>508</v>
      </c>
      <c r="D161" s="6" t="s">
        <v>388</v>
      </c>
      <c r="E161" s="6" t="s">
        <v>389</v>
      </c>
      <c r="F161">
        <v>7</v>
      </c>
      <c r="J161">
        <v>160</v>
      </c>
    </row>
    <row r="162" spans="1:10" customFormat="1" ht="15" x14ac:dyDescent="0.25">
      <c r="A162" s="6">
        <v>5</v>
      </c>
      <c r="B162" s="6" t="s">
        <v>505</v>
      </c>
      <c r="C162" s="6" t="s">
        <v>508</v>
      </c>
      <c r="D162" s="6" t="s">
        <v>388</v>
      </c>
      <c r="E162" s="6" t="s">
        <v>389</v>
      </c>
      <c r="F162">
        <v>8</v>
      </c>
      <c r="J162">
        <v>161</v>
      </c>
    </row>
    <row r="163" spans="1:10" customFormat="1" ht="15" x14ac:dyDescent="0.25">
      <c r="A163" s="6">
        <v>5</v>
      </c>
      <c r="B163" s="6" t="s">
        <v>505</v>
      </c>
      <c r="C163" s="6" t="s">
        <v>508</v>
      </c>
      <c r="D163" s="6" t="s">
        <v>388</v>
      </c>
      <c r="E163" s="6" t="s">
        <v>389</v>
      </c>
      <c r="F163">
        <v>9</v>
      </c>
      <c r="J163">
        <v>162</v>
      </c>
    </row>
    <row r="164" spans="1:10" customFormat="1" ht="15" x14ac:dyDescent="0.25">
      <c r="A164" s="6">
        <v>5</v>
      </c>
      <c r="B164" s="6" t="s">
        <v>505</v>
      </c>
      <c r="C164" s="6" t="s">
        <v>508</v>
      </c>
      <c r="D164" s="6" t="s">
        <v>388</v>
      </c>
      <c r="E164" s="6" t="s">
        <v>389</v>
      </c>
      <c r="F164">
        <v>10</v>
      </c>
      <c r="J164">
        <v>163</v>
      </c>
    </row>
    <row r="165" spans="1:10" customFormat="1" ht="15" x14ac:dyDescent="0.25">
      <c r="A165" s="6">
        <v>5</v>
      </c>
      <c r="B165" s="6" t="s">
        <v>505</v>
      </c>
      <c r="C165" s="6" t="s">
        <v>508</v>
      </c>
      <c r="D165" s="6" t="s">
        <v>388</v>
      </c>
      <c r="E165" s="6" t="s">
        <v>389</v>
      </c>
      <c r="F165">
        <v>11</v>
      </c>
      <c r="J165">
        <v>164</v>
      </c>
    </row>
    <row r="166" spans="1:10" customFormat="1" ht="15" x14ac:dyDescent="0.25">
      <c r="A166" s="6">
        <v>5</v>
      </c>
      <c r="B166" s="6" t="s">
        <v>505</v>
      </c>
      <c r="C166" s="6" t="s">
        <v>508</v>
      </c>
      <c r="D166" s="6" t="s">
        <v>388</v>
      </c>
      <c r="E166" s="6" t="s">
        <v>389</v>
      </c>
      <c r="F166">
        <v>12</v>
      </c>
      <c r="J166">
        <v>165</v>
      </c>
    </row>
    <row r="167" spans="1:10" customFormat="1" ht="15" x14ac:dyDescent="0.25">
      <c r="A167" s="6">
        <v>5</v>
      </c>
      <c r="B167" s="6" t="s">
        <v>505</v>
      </c>
      <c r="C167" s="6" t="s">
        <v>508</v>
      </c>
      <c r="D167" s="6" t="s">
        <v>388</v>
      </c>
      <c r="E167" s="6" t="s">
        <v>389</v>
      </c>
      <c r="F167">
        <v>13</v>
      </c>
      <c r="J167">
        <v>166</v>
      </c>
    </row>
    <row r="168" spans="1:10" customFormat="1" ht="15" x14ac:dyDescent="0.25">
      <c r="A168" s="6">
        <v>5</v>
      </c>
      <c r="B168" s="6" t="s">
        <v>505</v>
      </c>
      <c r="C168" s="6" t="s">
        <v>508</v>
      </c>
      <c r="D168" s="6" t="s">
        <v>388</v>
      </c>
      <c r="E168" s="6" t="s">
        <v>389</v>
      </c>
      <c r="F168">
        <v>14</v>
      </c>
      <c r="J168">
        <v>167</v>
      </c>
    </row>
    <row r="169" spans="1:10" customFormat="1" ht="15" x14ac:dyDescent="0.25">
      <c r="A169" s="6">
        <v>5</v>
      </c>
      <c r="B169" s="6" t="s">
        <v>505</v>
      </c>
      <c r="C169" s="6" t="s">
        <v>508</v>
      </c>
      <c r="D169" s="6" t="s">
        <v>388</v>
      </c>
      <c r="E169" s="6" t="s">
        <v>389</v>
      </c>
      <c r="F169">
        <v>15</v>
      </c>
      <c r="J169">
        <v>168</v>
      </c>
    </row>
    <row r="170" spans="1:10" customFormat="1" ht="15" x14ac:dyDescent="0.25">
      <c r="A170" s="6">
        <v>5</v>
      </c>
      <c r="B170" s="6" t="s">
        <v>505</v>
      </c>
      <c r="C170" s="6" t="s">
        <v>508</v>
      </c>
      <c r="D170" s="6" t="s">
        <v>388</v>
      </c>
      <c r="E170" s="6" t="s">
        <v>389</v>
      </c>
      <c r="F170">
        <v>16</v>
      </c>
      <c r="J170">
        <v>169</v>
      </c>
    </row>
    <row r="171" spans="1:10" customFormat="1" ht="15" x14ac:dyDescent="0.25">
      <c r="A171" s="6">
        <v>5</v>
      </c>
      <c r="B171" s="6" t="s">
        <v>505</v>
      </c>
      <c r="C171" s="6" t="s">
        <v>508</v>
      </c>
      <c r="D171" s="6" t="s">
        <v>388</v>
      </c>
      <c r="E171" s="6" t="s">
        <v>389</v>
      </c>
      <c r="F171">
        <v>17</v>
      </c>
      <c r="J171">
        <v>170</v>
      </c>
    </row>
    <row r="172" spans="1:10" customFormat="1" ht="15" x14ac:dyDescent="0.25">
      <c r="A172" s="6">
        <v>5</v>
      </c>
      <c r="B172" s="6" t="s">
        <v>505</v>
      </c>
      <c r="C172" s="6" t="s">
        <v>508</v>
      </c>
      <c r="D172" s="6" t="s">
        <v>388</v>
      </c>
      <c r="E172" s="6" t="s">
        <v>389</v>
      </c>
      <c r="F172">
        <v>18</v>
      </c>
      <c r="J172">
        <v>171</v>
      </c>
    </row>
    <row r="173" spans="1:10" customFormat="1" ht="15" x14ac:dyDescent="0.25">
      <c r="A173" s="6">
        <v>5</v>
      </c>
      <c r="B173" s="6" t="s">
        <v>505</v>
      </c>
      <c r="C173" s="6" t="s">
        <v>508</v>
      </c>
      <c r="D173" s="6" t="s">
        <v>388</v>
      </c>
      <c r="E173" s="6" t="s">
        <v>389</v>
      </c>
      <c r="F173">
        <v>19</v>
      </c>
      <c r="J173">
        <v>172</v>
      </c>
    </row>
    <row r="174" spans="1:10" customFormat="1" ht="15" x14ac:dyDescent="0.25">
      <c r="A174" s="6">
        <v>5</v>
      </c>
      <c r="B174" s="6" t="s">
        <v>505</v>
      </c>
      <c r="C174" s="6" t="s">
        <v>508</v>
      </c>
      <c r="D174" s="6" t="s">
        <v>388</v>
      </c>
      <c r="E174" s="6" t="s">
        <v>389</v>
      </c>
      <c r="F174">
        <v>20</v>
      </c>
      <c r="J174">
        <v>173</v>
      </c>
    </row>
    <row r="175" spans="1:10" customFormat="1" ht="15" x14ac:dyDescent="0.25">
      <c r="A175" s="6">
        <v>5</v>
      </c>
      <c r="B175" s="6" t="s">
        <v>505</v>
      </c>
      <c r="C175" s="6" t="s">
        <v>508</v>
      </c>
      <c r="D175" s="6" t="s">
        <v>388</v>
      </c>
      <c r="E175" s="6" t="s">
        <v>389</v>
      </c>
      <c r="F175">
        <v>21</v>
      </c>
      <c r="J175">
        <v>174</v>
      </c>
    </row>
    <row r="176" spans="1:10" customFormat="1" ht="15" x14ac:dyDescent="0.25">
      <c r="A176" s="6">
        <v>5</v>
      </c>
      <c r="B176" s="6" t="s">
        <v>505</v>
      </c>
      <c r="C176" s="6" t="s">
        <v>508</v>
      </c>
      <c r="D176" s="6" t="s">
        <v>388</v>
      </c>
      <c r="E176" s="6" t="s">
        <v>389</v>
      </c>
      <c r="F176">
        <v>22</v>
      </c>
      <c r="J176">
        <v>175</v>
      </c>
    </row>
    <row r="177" spans="1:10" customFormat="1" ht="15" x14ac:dyDescent="0.25">
      <c r="A177" s="6">
        <v>5</v>
      </c>
      <c r="B177" s="6" t="s">
        <v>505</v>
      </c>
      <c r="C177" s="6" t="s">
        <v>508</v>
      </c>
      <c r="D177" s="6" t="s">
        <v>388</v>
      </c>
      <c r="E177" s="6" t="s">
        <v>389</v>
      </c>
      <c r="F177">
        <v>23</v>
      </c>
      <c r="J177">
        <v>176</v>
      </c>
    </row>
    <row r="178" spans="1:10" customFormat="1" ht="15" x14ac:dyDescent="0.25">
      <c r="A178" s="6">
        <v>5</v>
      </c>
      <c r="B178" s="6" t="s">
        <v>505</v>
      </c>
      <c r="C178" s="6" t="s">
        <v>508</v>
      </c>
      <c r="D178" s="6" t="s">
        <v>388</v>
      </c>
      <c r="E178" s="6" t="s">
        <v>389</v>
      </c>
      <c r="F178">
        <v>24</v>
      </c>
      <c r="J178">
        <v>177</v>
      </c>
    </row>
    <row r="179" spans="1:10" customFormat="1" ht="15" x14ac:dyDescent="0.25">
      <c r="A179" s="6">
        <v>5</v>
      </c>
      <c r="B179" s="6" t="s">
        <v>505</v>
      </c>
      <c r="C179" s="6" t="s">
        <v>508</v>
      </c>
      <c r="D179" s="6" t="s">
        <v>388</v>
      </c>
      <c r="E179" s="6" t="s">
        <v>389</v>
      </c>
      <c r="F179">
        <v>25</v>
      </c>
      <c r="J179">
        <v>178</v>
      </c>
    </row>
    <row r="180" spans="1:10" customFormat="1" ht="15" x14ac:dyDescent="0.25">
      <c r="A180" s="6">
        <v>5</v>
      </c>
      <c r="B180" s="6" t="s">
        <v>505</v>
      </c>
      <c r="C180" s="6" t="s">
        <v>508</v>
      </c>
      <c r="D180" s="6" t="s">
        <v>388</v>
      </c>
      <c r="E180" s="6" t="s">
        <v>389</v>
      </c>
      <c r="F180">
        <v>26</v>
      </c>
      <c r="J180">
        <v>179</v>
      </c>
    </row>
    <row r="181" spans="1:10" customFormat="1" ht="15" x14ac:dyDescent="0.25">
      <c r="A181" s="6">
        <v>5</v>
      </c>
      <c r="B181" s="6" t="s">
        <v>505</v>
      </c>
      <c r="C181" s="6" t="s">
        <v>508</v>
      </c>
      <c r="D181" s="6" t="s">
        <v>388</v>
      </c>
      <c r="E181" s="6" t="s">
        <v>389</v>
      </c>
      <c r="F181">
        <v>27</v>
      </c>
      <c r="J181">
        <v>180</v>
      </c>
    </row>
    <row r="182" spans="1:10" customFormat="1" ht="15" x14ac:dyDescent="0.25">
      <c r="A182" s="6">
        <v>5</v>
      </c>
      <c r="B182" s="6" t="s">
        <v>505</v>
      </c>
      <c r="C182" s="6" t="s">
        <v>508</v>
      </c>
      <c r="D182" s="6" t="s">
        <v>388</v>
      </c>
      <c r="E182" s="6" t="s">
        <v>389</v>
      </c>
      <c r="F182">
        <v>28</v>
      </c>
      <c r="J182">
        <v>181</v>
      </c>
    </row>
    <row r="183" spans="1:10" customFormat="1" ht="15" x14ac:dyDescent="0.25">
      <c r="A183" s="6">
        <v>5</v>
      </c>
      <c r="B183" s="6" t="s">
        <v>505</v>
      </c>
      <c r="C183" s="6" t="s">
        <v>508</v>
      </c>
      <c r="D183" s="6" t="s">
        <v>388</v>
      </c>
      <c r="E183" s="6" t="s">
        <v>389</v>
      </c>
      <c r="F183">
        <v>29</v>
      </c>
      <c r="J183">
        <v>182</v>
      </c>
    </row>
    <row r="184" spans="1:10" customFormat="1" ht="15" x14ac:dyDescent="0.25">
      <c r="A184" s="6">
        <v>5</v>
      </c>
      <c r="B184" s="6" t="s">
        <v>505</v>
      </c>
      <c r="C184" s="6" t="s">
        <v>508</v>
      </c>
      <c r="D184" s="6" t="s">
        <v>388</v>
      </c>
      <c r="E184" s="6" t="s">
        <v>389</v>
      </c>
      <c r="F184">
        <v>30</v>
      </c>
      <c r="J184">
        <v>183</v>
      </c>
    </row>
    <row r="185" spans="1:10" customFormat="1" ht="15" x14ac:dyDescent="0.25">
      <c r="A185" s="6">
        <v>5</v>
      </c>
      <c r="B185" s="6" t="s">
        <v>505</v>
      </c>
      <c r="C185" s="6" t="s">
        <v>508</v>
      </c>
      <c r="D185" s="6" t="s">
        <v>388</v>
      </c>
      <c r="E185" s="6" t="s">
        <v>389</v>
      </c>
      <c r="F185">
        <v>31</v>
      </c>
      <c r="J185">
        <v>184</v>
      </c>
    </row>
    <row r="186" spans="1:10" customFormat="1" ht="15" x14ac:dyDescent="0.25">
      <c r="A186" s="6">
        <v>5</v>
      </c>
      <c r="B186" s="6" t="s">
        <v>505</v>
      </c>
      <c r="C186" s="6" t="s">
        <v>508</v>
      </c>
      <c r="D186" s="6" t="s">
        <v>388</v>
      </c>
      <c r="E186" s="6" t="s">
        <v>389</v>
      </c>
      <c r="F186">
        <v>32</v>
      </c>
      <c r="J186">
        <v>185</v>
      </c>
    </row>
    <row r="187" spans="1:10" customFormat="1" ht="15" x14ac:dyDescent="0.25">
      <c r="A187" s="6">
        <v>5</v>
      </c>
      <c r="B187" s="6" t="s">
        <v>505</v>
      </c>
      <c r="C187" s="6" t="s">
        <v>508</v>
      </c>
      <c r="D187" s="6" t="s">
        <v>388</v>
      </c>
      <c r="E187" s="6" t="s">
        <v>389</v>
      </c>
      <c r="F187">
        <v>33</v>
      </c>
      <c r="J187">
        <v>186</v>
      </c>
    </row>
    <row r="188" spans="1:10" customFormat="1" thickBot="1" x14ac:dyDescent="0.3">
      <c r="A188" s="6">
        <v>5</v>
      </c>
      <c r="B188" s="6" t="s">
        <v>505</v>
      </c>
      <c r="C188" s="6" t="s">
        <v>508</v>
      </c>
      <c r="D188" s="16" t="s">
        <v>388</v>
      </c>
      <c r="E188" s="16" t="s">
        <v>389</v>
      </c>
      <c r="F188" s="17">
        <v>34</v>
      </c>
      <c r="G188" s="17"/>
      <c r="H188" s="17"/>
      <c r="I188" s="17">
        <v>34</v>
      </c>
      <c r="J188">
        <v>187</v>
      </c>
    </row>
    <row r="189" spans="1:10" customFormat="1" thickTop="1" x14ac:dyDescent="0.25">
      <c r="A189" s="6">
        <v>6</v>
      </c>
      <c r="B189" s="6" t="s">
        <v>505</v>
      </c>
      <c r="C189" s="6" t="s">
        <v>509</v>
      </c>
      <c r="D189" s="6" t="s">
        <v>390</v>
      </c>
      <c r="E189" s="6" t="s">
        <v>391</v>
      </c>
      <c r="F189">
        <v>1</v>
      </c>
      <c r="J189">
        <v>188</v>
      </c>
    </row>
    <row r="190" spans="1:10" customFormat="1" ht="15" x14ac:dyDescent="0.25">
      <c r="A190" s="6">
        <v>6</v>
      </c>
      <c r="B190" s="6" t="s">
        <v>505</v>
      </c>
      <c r="C190" s="6" t="s">
        <v>509</v>
      </c>
      <c r="D190" s="6" t="s">
        <v>390</v>
      </c>
      <c r="E190" s="6" t="s">
        <v>391</v>
      </c>
      <c r="F190">
        <v>2</v>
      </c>
      <c r="J190">
        <v>189</v>
      </c>
    </row>
    <row r="191" spans="1:10" customFormat="1" ht="15" x14ac:dyDescent="0.25">
      <c r="A191" s="6">
        <v>6</v>
      </c>
      <c r="B191" s="6" t="s">
        <v>505</v>
      </c>
      <c r="C191" s="6" t="s">
        <v>509</v>
      </c>
      <c r="D191" s="6" t="s">
        <v>390</v>
      </c>
      <c r="E191" s="6" t="s">
        <v>391</v>
      </c>
      <c r="F191">
        <v>3</v>
      </c>
      <c r="J191">
        <v>190</v>
      </c>
    </row>
    <row r="192" spans="1:10" customFormat="1" ht="15" x14ac:dyDescent="0.25">
      <c r="A192" s="6">
        <v>6</v>
      </c>
      <c r="B192" s="6" t="s">
        <v>505</v>
      </c>
      <c r="C192" s="6" t="s">
        <v>509</v>
      </c>
      <c r="D192" s="6" t="s">
        <v>390</v>
      </c>
      <c r="E192" s="6" t="s">
        <v>391</v>
      </c>
      <c r="F192">
        <v>4</v>
      </c>
      <c r="J192">
        <v>191</v>
      </c>
    </row>
    <row r="193" spans="1:10" customFormat="1" ht="15" x14ac:dyDescent="0.25">
      <c r="A193" s="6">
        <v>6</v>
      </c>
      <c r="B193" s="6" t="s">
        <v>505</v>
      </c>
      <c r="C193" s="6" t="s">
        <v>509</v>
      </c>
      <c r="D193" s="6" t="s">
        <v>390</v>
      </c>
      <c r="E193" s="6" t="s">
        <v>391</v>
      </c>
      <c r="F193">
        <v>5</v>
      </c>
      <c r="J193">
        <v>192</v>
      </c>
    </row>
    <row r="194" spans="1:10" customFormat="1" ht="15" x14ac:dyDescent="0.25">
      <c r="A194" s="6">
        <v>6</v>
      </c>
      <c r="B194" s="6" t="s">
        <v>505</v>
      </c>
      <c r="C194" s="6" t="s">
        <v>509</v>
      </c>
      <c r="D194" s="6" t="s">
        <v>390</v>
      </c>
      <c r="E194" s="6" t="s">
        <v>391</v>
      </c>
      <c r="F194">
        <v>6</v>
      </c>
      <c r="J194">
        <v>193</v>
      </c>
    </row>
    <row r="195" spans="1:10" customFormat="1" ht="15" x14ac:dyDescent="0.25">
      <c r="A195" s="6">
        <v>6</v>
      </c>
      <c r="B195" s="6" t="s">
        <v>505</v>
      </c>
      <c r="C195" s="6" t="s">
        <v>509</v>
      </c>
      <c r="D195" s="6" t="s">
        <v>390</v>
      </c>
      <c r="E195" s="6" t="s">
        <v>391</v>
      </c>
      <c r="F195">
        <v>7</v>
      </c>
      <c r="J195">
        <v>194</v>
      </c>
    </row>
    <row r="196" spans="1:10" customFormat="1" ht="15" x14ac:dyDescent="0.25">
      <c r="A196" s="6">
        <v>6</v>
      </c>
      <c r="B196" s="6" t="s">
        <v>505</v>
      </c>
      <c r="C196" s="6" t="s">
        <v>509</v>
      </c>
      <c r="D196" s="6" t="s">
        <v>390</v>
      </c>
      <c r="E196" s="6" t="s">
        <v>391</v>
      </c>
      <c r="F196">
        <v>8</v>
      </c>
      <c r="J196">
        <v>195</v>
      </c>
    </row>
    <row r="197" spans="1:10" customFormat="1" ht="15" x14ac:dyDescent="0.25">
      <c r="A197" s="6">
        <v>6</v>
      </c>
      <c r="B197" s="6" t="s">
        <v>505</v>
      </c>
      <c r="C197" s="6" t="s">
        <v>509</v>
      </c>
      <c r="D197" s="6" t="s">
        <v>390</v>
      </c>
      <c r="E197" s="6" t="s">
        <v>391</v>
      </c>
      <c r="F197">
        <v>9</v>
      </c>
      <c r="J197">
        <v>196</v>
      </c>
    </row>
    <row r="198" spans="1:10" customFormat="1" ht="15" x14ac:dyDescent="0.25">
      <c r="A198" s="6">
        <v>6</v>
      </c>
      <c r="B198" s="6" t="s">
        <v>505</v>
      </c>
      <c r="C198" s="6" t="s">
        <v>509</v>
      </c>
      <c r="D198" s="6" t="s">
        <v>390</v>
      </c>
      <c r="E198" s="6" t="s">
        <v>391</v>
      </c>
      <c r="F198">
        <v>10</v>
      </c>
      <c r="J198">
        <v>197</v>
      </c>
    </row>
    <row r="199" spans="1:10" customFormat="1" ht="15" x14ac:dyDescent="0.25">
      <c r="A199" s="6">
        <v>6</v>
      </c>
      <c r="B199" s="6" t="s">
        <v>505</v>
      </c>
      <c r="C199" s="6" t="s">
        <v>509</v>
      </c>
      <c r="D199" s="6" t="s">
        <v>390</v>
      </c>
      <c r="E199" s="6" t="s">
        <v>391</v>
      </c>
      <c r="F199">
        <v>11</v>
      </c>
      <c r="J199">
        <v>198</v>
      </c>
    </row>
    <row r="200" spans="1:10" customFormat="1" ht="15" x14ac:dyDescent="0.25">
      <c r="A200" s="6">
        <v>6</v>
      </c>
      <c r="B200" s="6" t="s">
        <v>505</v>
      </c>
      <c r="C200" s="6" t="s">
        <v>509</v>
      </c>
      <c r="D200" s="6" t="s">
        <v>390</v>
      </c>
      <c r="E200" s="6" t="s">
        <v>391</v>
      </c>
      <c r="F200">
        <v>12</v>
      </c>
      <c r="J200">
        <v>199</v>
      </c>
    </row>
    <row r="201" spans="1:10" customFormat="1" ht="15" x14ac:dyDescent="0.25">
      <c r="A201" s="6">
        <v>6</v>
      </c>
      <c r="B201" s="6" t="s">
        <v>505</v>
      </c>
      <c r="C201" s="6" t="s">
        <v>509</v>
      </c>
      <c r="D201" s="6" t="s">
        <v>390</v>
      </c>
      <c r="E201" s="6" t="s">
        <v>391</v>
      </c>
      <c r="F201">
        <v>13</v>
      </c>
      <c r="J201">
        <v>200</v>
      </c>
    </row>
    <row r="202" spans="1:10" customFormat="1" ht="15" x14ac:dyDescent="0.25">
      <c r="A202" s="6">
        <v>6</v>
      </c>
      <c r="B202" s="6" t="s">
        <v>505</v>
      </c>
      <c r="C202" s="6" t="s">
        <v>509</v>
      </c>
      <c r="D202" s="6" t="s">
        <v>390</v>
      </c>
      <c r="E202" s="6" t="s">
        <v>391</v>
      </c>
      <c r="F202">
        <v>14</v>
      </c>
      <c r="J202">
        <v>201</v>
      </c>
    </row>
    <row r="203" spans="1:10" customFormat="1" ht="15" x14ac:dyDescent="0.25">
      <c r="A203" s="6">
        <v>6</v>
      </c>
      <c r="B203" s="6" t="s">
        <v>505</v>
      </c>
      <c r="C203" s="6" t="s">
        <v>509</v>
      </c>
      <c r="D203" s="6" t="s">
        <v>390</v>
      </c>
      <c r="E203" s="6" t="s">
        <v>391</v>
      </c>
      <c r="F203">
        <v>15</v>
      </c>
      <c r="J203">
        <v>202</v>
      </c>
    </row>
    <row r="204" spans="1:10" customFormat="1" ht="15" x14ac:dyDescent="0.25">
      <c r="A204" s="6">
        <v>6</v>
      </c>
      <c r="B204" s="6" t="s">
        <v>505</v>
      </c>
      <c r="C204" s="6" t="s">
        <v>509</v>
      </c>
      <c r="D204" s="6" t="s">
        <v>390</v>
      </c>
      <c r="E204" s="6" t="s">
        <v>391</v>
      </c>
      <c r="F204">
        <v>16</v>
      </c>
      <c r="J204">
        <v>203</v>
      </c>
    </row>
    <row r="205" spans="1:10" customFormat="1" ht="15" x14ac:dyDescent="0.25">
      <c r="A205" s="6">
        <v>6</v>
      </c>
      <c r="B205" s="6" t="s">
        <v>505</v>
      </c>
      <c r="C205" s="6" t="s">
        <v>509</v>
      </c>
      <c r="D205" s="6" t="s">
        <v>390</v>
      </c>
      <c r="E205" s="6" t="s">
        <v>391</v>
      </c>
      <c r="F205">
        <v>17</v>
      </c>
      <c r="J205">
        <v>204</v>
      </c>
    </row>
    <row r="206" spans="1:10" customFormat="1" ht="15" x14ac:dyDescent="0.25">
      <c r="A206" s="6">
        <v>6</v>
      </c>
      <c r="B206" s="6" t="s">
        <v>505</v>
      </c>
      <c r="C206" s="6" t="s">
        <v>509</v>
      </c>
      <c r="D206" s="6" t="s">
        <v>390</v>
      </c>
      <c r="E206" s="6" t="s">
        <v>391</v>
      </c>
      <c r="F206">
        <v>18</v>
      </c>
      <c r="J206">
        <v>205</v>
      </c>
    </row>
    <row r="207" spans="1:10" customFormat="1" ht="15" x14ac:dyDescent="0.25">
      <c r="A207" s="6">
        <v>6</v>
      </c>
      <c r="B207" s="6" t="s">
        <v>505</v>
      </c>
      <c r="C207" s="6" t="s">
        <v>509</v>
      </c>
      <c r="D207" s="6" t="s">
        <v>390</v>
      </c>
      <c r="E207" s="6" t="s">
        <v>391</v>
      </c>
      <c r="F207">
        <v>19</v>
      </c>
      <c r="J207">
        <v>206</v>
      </c>
    </row>
    <row r="208" spans="1:10" customFormat="1" ht="15" x14ac:dyDescent="0.25">
      <c r="A208" s="6">
        <v>6</v>
      </c>
      <c r="B208" s="6" t="s">
        <v>505</v>
      </c>
      <c r="C208" s="6" t="s">
        <v>509</v>
      </c>
      <c r="D208" s="6" t="s">
        <v>390</v>
      </c>
      <c r="E208" s="6" t="s">
        <v>391</v>
      </c>
      <c r="F208">
        <v>20</v>
      </c>
      <c r="J208">
        <v>207</v>
      </c>
    </row>
    <row r="209" spans="1:10" customFormat="1" ht="15" x14ac:dyDescent="0.25">
      <c r="A209" s="6">
        <v>6</v>
      </c>
      <c r="B209" s="6" t="s">
        <v>505</v>
      </c>
      <c r="C209" s="6" t="s">
        <v>509</v>
      </c>
      <c r="D209" s="6" t="s">
        <v>390</v>
      </c>
      <c r="E209" s="6" t="s">
        <v>391</v>
      </c>
      <c r="F209">
        <v>21</v>
      </c>
      <c r="J209">
        <v>208</v>
      </c>
    </row>
    <row r="210" spans="1:10" customFormat="1" ht="15" x14ac:dyDescent="0.25">
      <c r="A210" s="6">
        <v>6</v>
      </c>
      <c r="B210" s="6" t="s">
        <v>505</v>
      </c>
      <c r="C210" s="6" t="s">
        <v>509</v>
      </c>
      <c r="D210" s="6" t="s">
        <v>390</v>
      </c>
      <c r="E210" s="6" t="s">
        <v>391</v>
      </c>
      <c r="F210">
        <v>22</v>
      </c>
      <c r="J210">
        <v>209</v>
      </c>
    </row>
    <row r="211" spans="1:10" customFormat="1" ht="15" x14ac:dyDescent="0.25">
      <c r="A211" s="6">
        <v>6</v>
      </c>
      <c r="B211" s="6" t="s">
        <v>505</v>
      </c>
      <c r="C211" s="6" t="s">
        <v>509</v>
      </c>
      <c r="D211" s="6" t="s">
        <v>390</v>
      </c>
      <c r="E211" s="6" t="s">
        <v>391</v>
      </c>
      <c r="F211">
        <v>23</v>
      </c>
      <c r="J211">
        <v>210</v>
      </c>
    </row>
    <row r="212" spans="1:10" customFormat="1" thickBot="1" x14ac:dyDescent="0.3">
      <c r="A212" s="6">
        <v>6</v>
      </c>
      <c r="B212" s="6" t="s">
        <v>505</v>
      </c>
      <c r="C212" s="6" t="s">
        <v>509</v>
      </c>
      <c r="D212" s="16" t="s">
        <v>390</v>
      </c>
      <c r="E212" s="16" t="s">
        <v>391</v>
      </c>
      <c r="F212" s="17">
        <v>24</v>
      </c>
      <c r="G212" s="17"/>
      <c r="H212" s="17"/>
      <c r="I212" s="17">
        <v>24</v>
      </c>
      <c r="J212">
        <v>211</v>
      </c>
    </row>
    <row r="213" spans="1:10" customFormat="1" thickTop="1" x14ac:dyDescent="0.25">
      <c r="A213" s="6">
        <v>7</v>
      </c>
      <c r="B213" s="6" t="s">
        <v>505</v>
      </c>
      <c r="C213" s="6" t="s">
        <v>509</v>
      </c>
      <c r="D213" s="6" t="s">
        <v>393</v>
      </c>
      <c r="E213" s="6" t="s">
        <v>394</v>
      </c>
      <c r="F213">
        <v>1</v>
      </c>
      <c r="J213">
        <v>212</v>
      </c>
    </row>
    <row r="214" spans="1:10" customFormat="1" ht="15" x14ac:dyDescent="0.25">
      <c r="A214" s="6">
        <v>7</v>
      </c>
      <c r="B214" s="6" t="s">
        <v>505</v>
      </c>
      <c r="C214" s="6" t="s">
        <v>509</v>
      </c>
      <c r="D214" s="6" t="s">
        <v>393</v>
      </c>
      <c r="E214" s="6" t="s">
        <v>394</v>
      </c>
      <c r="F214">
        <v>2</v>
      </c>
      <c r="J214">
        <v>213</v>
      </c>
    </row>
    <row r="215" spans="1:10" customFormat="1" ht="15" x14ac:dyDescent="0.25">
      <c r="A215" s="6">
        <v>7</v>
      </c>
      <c r="B215" s="6" t="s">
        <v>505</v>
      </c>
      <c r="C215" s="6" t="s">
        <v>509</v>
      </c>
      <c r="D215" s="6" t="s">
        <v>393</v>
      </c>
      <c r="E215" s="6" t="s">
        <v>394</v>
      </c>
      <c r="F215">
        <v>3</v>
      </c>
      <c r="J215">
        <v>214</v>
      </c>
    </row>
    <row r="216" spans="1:10" customFormat="1" ht="15" x14ac:dyDescent="0.25">
      <c r="A216" s="6">
        <v>7</v>
      </c>
      <c r="B216" s="6" t="s">
        <v>505</v>
      </c>
      <c r="C216" s="6" t="s">
        <v>509</v>
      </c>
      <c r="D216" s="6" t="s">
        <v>393</v>
      </c>
      <c r="E216" s="6" t="s">
        <v>394</v>
      </c>
      <c r="F216">
        <v>4</v>
      </c>
      <c r="J216">
        <v>215</v>
      </c>
    </row>
    <row r="217" spans="1:10" customFormat="1" ht="15" x14ac:dyDescent="0.25">
      <c r="A217" s="6">
        <v>7</v>
      </c>
      <c r="B217" s="6" t="s">
        <v>505</v>
      </c>
      <c r="C217" s="6" t="s">
        <v>509</v>
      </c>
      <c r="D217" s="6" t="s">
        <v>393</v>
      </c>
      <c r="E217" s="6" t="s">
        <v>394</v>
      </c>
      <c r="F217">
        <v>5</v>
      </c>
      <c r="J217">
        <v>216</v>
      </c>
    </row>
    <row r="218" spans="1:10" customFormat="1" ht="15" x14ac:dyDescent="0.25">
      <c r="A218" s="6">
        <v>7</v>
      </c>
      <c r="B218" s="6" t="s">
        <v>505</v>
      </c>
      <c r="C218" s="6" t="s">
        <v>509</v>
      </c>
      <c r="D218" s="6" t="s">
        <v>393</v>
      </c>
      <c r="E218" s="6" t="s">
        <v>394</v>
      </c>
      <c r="F218">
        <v>6</v>
      </c>
      <c r="J218">
        <v>217</v>
      </c>
    </row>
    <row r="219" spans="1:10" customFormat="1" ht="15" x14ac:dyDescent="0.25">
      <c r="A219" s="6">
        <v>7</v>
      </c>
      <c r="B219" s="6" t="s">
        <v>505</v>
      </c>
      <c r="C219" s="6" t="s">
        <v>509</v>
      </c>
      <c r="D219" s="6" t="s">
        <v>393</v>
      </c>
      <c r="E219" s="6" t="s">
        <v>394</v>
      </c>
      <c r="F219">
        <v>7</v>
      </c>
      <c r="J219">
        <v>218</v>
      </c>
    </row>
    <row r="220" spans="1:10" customFormat="1" ht="15" x14ac:dyDescent="0.25">
      <c r="A220" s="6">
        <v>7</v>
      </c>
      <c r="B220" s="6" t="s">
        <v>505</v>
      </c>
      <c r="C220" s="6" t="s">
        <v>509</v>
      </c>
      <c r="D220" s="6" t="s">
        <v>393</v>
      </c>
      <c r="E220" s="6" t="s">
        <v>394</v>
      </c>
      <c r="F220">
        <v>8</v>
      </c>
      <c r="J220">
        <v>219</v>
      </c>
    </row>
    <row r="221" spans="1:10" customFormat="1" ht="15" x14ac:dyDescent="0.25">
      <c r="A221" s="6">
        <v>7</v>
      </c>
      <c r="B221" s="6" t="s">
        <v>505</v>
      </c>
      <c r="C221" s="6" t="s">
        <v>509</v>
      </c>
      <c r="D221" s="6" t="s">
        <v>393</v>
      </c>
      <c r="E221" s="6" t="s">
        <v>394</v>
      </c>
      <c r="F221">
        <v>9</v>
      </c>
      <c r="J221">
        <v>220</v>
      </c>
    </row>
    <row r="222" spans="1:10" customFormat="1" ht="15" x14ac:dyDescent="0.25">
      <c r="A222" s="6">
        <v>7</v>
      </c>
      <c r="B222" s="6" t="s">
        <v>505</v>
      </c>
      <c r="C222" s="6" t="s">
        <v>509</v>
      </c>
      <c r="D222" s="6" t="s">
        <v>393</v>
      </c>
      <c r="E222" s="6" t="s">
        <v>394</v>
      </c>
      <c r="F222">
        <v>10</v>
      </c>
      <c r="J222">
        <v>221</v>
      </c>
    </row>
    <row r="223" spans="1:10" customFormat="1" ht="15" x14ac:dyDescent="0.25">
      <c r="A223" s="6">
        <v>7</v>
      </c>
      <c r="B223" s="6" t="s">
        <v>505</v>
      </c>
      <c r="C223" s="6" t="s">
        <v>509</v>
      </c>
      <c r="D223" s="6" t="s">
        <v>393</v>
      </c>
      <c r="E223" s="6" t="s">
        <v>394</v>
      </c>
      <c r="F223">
        <v>11</v>
      </c>
      <c r="J223">
        <v>222</v>
      </c>
    </row>
    <row r="224" spans="1:10" customFormat="1" ht="15" x14ac:dyDescent="0.25">
      <c r="A224" s="6">
        <v>7</v>
      </c>
      <c r="B224" s="6" t="s">
        <v>505</v>
      </c>
      <c r="C224" s="6" t="s">
        <v>509</v>
      </c>
      <c r="D224" s="6" t="s">
        <v>393</v>
      </c>
      <c r="E224" s="6" t="s">
        <v>394</v>
      </c>
      <c r="F224">
        <v>12</v>
      </c>
      <c r="J224">
        <v>223</v>
      </c>
    </row>
    <row r="225" spans="1:10" customFormat="1" ht="15" x14ac:dyDescent="0.25">
      <c r="A225" s="6">
        <v>7</v>
      </c>
      <c r="B225" s="6" t="s">
        <v>505</v>
      </c>
      <c r="C225" s="6" t="s">
        <v>509</v>
      </c>
      <c r="D225" s="6" t="s">
        <v>393</v>
      </c>
      <c r="E225" s="6" t="s">
        <v>394</v>
      </c>
      <c r="F225">
        <v>13</v>
      </c>
      <c r="J225">
        <v>224</v>
      </c>
    </row>
    <row r="226" spans="1:10" customFormat="1" ht="15" x14ac:dyDescent="0.25">
      <c r="A226" s="6">
        <v>7</v>
      </c>
      <c r="B226" s="6" t="s">
        <v>505</v>
      </c>
      <c r="C226" s="6" t="s">
        <v>509</v>
      </c>
      <c r="D226" s="6" t="s">
        <v>393</v>
      </c>
      <c r="E226" s="6" t="s">
        <v>394</v>
      </c>
      <c r="F226">
        <v>14</v>
      </c>
      <c r="J226">
        <v>225</v>
      </c>
    </row>
    <row r="227" spans="1:10" customFormat="1" ht="15" x14ac:dyDescent="0.25">
      <c r="A227" s="6">
        <v>7</v>
      </c>
      <c r="B227" s="6" t="s">
        <v>505</v>
      </c>
      <c r="C227" s="6" t="s">
        <v>509</v>
      </c>
      <c r="D227" s="6" t="s">
        <v>393</v>
      </c>
      <c r="E227" s="6" t="s">
        <v>394</v>
      </c>
      <c r="F227">
        <v>15</v>
      </c>
      <c r="J227">
        <v>226</v>
      </c>
    </row>
    <row r="228" spans="1:10" customFormat="1" ht="15" x14ac:dyDescent="0.25">
      <c r="A228" s="6">
        <v>7</v>
      </c>
      <c r="B228" s="6" t="s">
        <v>505</v>
      </c>
      <c r="C228" s="6" t="s">
        <v>509</v>
      </c>
      <c r="D228" s="6" t="s">
        <v>393</v>
      </c>
      <c r="E228" s="6" t="s">
        <v>394</v>
      </c>
      <c r="F228">
        <v>16</v>
      </c>
      <c r="J228">
        <v>227</v>
      </c>
    </row>
    <row r="229" spans="1:10" customFormat="1" ht="15" x14ac:dyDescent="0.25">
      <c r="A229" s="6">
        <v>7</v>
      </c>
      <c r="B229" s="6" t="s">
        <v>505</v>
      </c>
      <c r="C229" s="6" t="s">
        <v>509</v>
      </c>
      <c r="D229" s="6" t="s">
        <v>393</v>
      </c>
      <c r="E229" s="6" t="s">
        <v>394</v>
      </c>
      <c r="F229">
        <v>17</v>
      </c>
      <c r="J229">
        <v>228</v>
      </c>
    </row>
    <row r="230" spans="1:10" customFormat="1" ht="15" x14ac:dyDescent="0.25">
      <c r="A230" s="6">
        <v>7</v>
      </c>
      <c r="B230" s="6" t="s">
        <v>505</v>
      </c>
      <c r="C230" s="6" t="s">
        <v>509</v>
      </c>
      <c r="D230" s="6" t="s">
        <v>393</v>
      </c>
      <c r="E230" s="6" t="s">
        <v>394</v>
      </c>
      <c r="F230">
        <v>18</v>
      </c>
      <c r="J230">
        <v>229</v>
      </c>
    </row>
    <row r="231" spans="1:10" customFormat="1" ht="15" x14ac:dyDescent="0.25">
      <c r="A231" s="6">
        <v>7</v>
      </c>
      <c r="B231" s="6" t="s">
        <v>505</v>
      </c>
      <c r="C231" s="6" t="s">
        <v>509</v>
      </c>
      <c r="D231" s="6" t="s">
        <v>393</v>
      </c>
      <c r="E231" s="6" t="s">
        <v>394</v>
      </c>
      <c r="F231">
        <v>19</v>
      </c>
      <c r="J231">
        <v>230</v>
      </c>
    </row>
    <row r="232" spans="1:10" customFormat="1" ht="15" x14ac:dyDescent="0.25">
      <c r="A232" s="6">
        <v>7</v>
      </c>
      <c r="B232" s="6" t="s">
        <v>505</v>
      </c>
      <c r="C232" s="6" t="s">
        <v>509</v>
      </c>
      <c r="D232" s="6" t="s">
        <v>393</v>
      </c>
      <c r="E232" s="6" t="s">
        <v>394</v>
      </c>
      <c r="F232">
        <v>20</v>
      </c>
      <c r="J232">
        <v>231</v>
      </c>
    </row>
    <row r="233" spans="1:10" customFormat="1" thickBot="1" x14ac:dyDescent="0.3">
      <c r="A233" s="6">
        <v>7</v>
      </c>
      <c r="B233" s="6" t="s">
        <v>505</v>
      </c>
      <c r="C233" s="6" t="s">
        <v>509</v>
      </c>
      <c r="D233" s="16" t="s">
        <v>393</v>
      </c>
      <c r="E233" s="16" t="s">
        <v>394</v>
      </c>
      <c r="F233" s="17">
        <v>21</v>
      </c>
      <c r="G233" s="17"/>
      <c r="H233" s="17"/>
      <c r="I233" s="17">
        <v>21</v>
      </c>
      <c r="J233">
        <v>232</v>
      </c>
    </row>
    <row r="234" spans="1:10" customFormat="1" thickTop="1" x14ac:dyDescent="0.25">
      <c r="A234" s="6">
        <v>8</v>
      </c>
      <c r="B234" s="6" t="s">
        <v>505</v>
      </c>
      <c r="C234" s="6" t="s">
        <v>509</v>
      </c>
      <c r="D234" s="6" t="s">
        <v>397</v>
      </c>
      <c r="E234" s="6" t="s">
        <v>398</v>
      </c>
      <c r="F234">
        <v>1</v>
      </c>
      <c r="J234">
        <v>233</v>
      </c>
    </row>
    <row r="235" spans="1:10" customFormat="1" ht="15" x14ac:dyDescent="0.25">
      <c r="A235" s="6">
        <v>8</v>
      </c>
      <c r="B235" s="6" t="s">
        <v>505</v>
      </c>
      <c r="C235" s="6" t="s">
        <v>509</v>
      </c>
      <c r="D235" s="6" t="s">
        <v>397</v>
      </c>
      <c r="E235" s="6" t="s">
        <v>398</v>
      </c>
      <c r="F235">
        <v>2</v>
      </c>
      <c r="J235">
        <v>234</v>
      </c>
    </row>
    <row r="236" spans="1:10" customFormat="1" ht="15" x14ac:dyDescent="0.25">
      <c r="A236" s="6">
        <v>8</v>
      </c>
      <c r="B236" s="6" t="s">
        <v>505</v>
      </c>
      <c r="C236" s="6" t="s">
        <v>509</v>
      </c>
      <c r="D236" s="6" t="s">
        <v>397</v>
      </c>
      <c r="E236" s="6" t="s">
        <v>398</v>
      </c>
      <c r="F236">
        <v>3</v>
      </c>
      <c r="J236">
        <v>235</v>
      </c>
    </row>
    <row r="237" spans="1:10" customFormat="1" thickBot="1" x14ac:dyDescent="0.3">
      <c r="A237" s="6">
        <v>8</v>
      </c>
      <c r="B237" s="6" t="s">
        <v>505</v>
      </c>
      <c r="C237" s="6" t="s">
        <v>509</v>
      </c>
      <c r="D237" s="16" t="s">
        <v>397</v>
      </c>
      <c r="E237" s="16" t="s">
        <v>398</v>
      </c>
      <c r="F237" s="17">
        <v>4</v>
      </c>
      <c r="G237" s="17"/>
      <c r="H237" s="17"/>
      <c r="I237" s="17">
        <v>4</v>
      </c>
      <c r="J237">
        <v>236</v>
      </c>
    </row>
    <row r="238" spans="1:10" customFormat="1" thickTop="1" x14ac:dyDescent="0.25">
      <c r="A238" s="6">
        <v>9</v>
      </c>
      <c r="B238" s="6" t="s">
        <v>505</v>
      </c>
      <c r="C238" s="6" t="s">
        <v>509</v>
      </c>
      <c r="D238" s="6" t="s">
        <v>401</v>
      </c>
      <c r="E238" s="6" t="s">
        <v>402</v>
      </c>
      <c r="F238">
        <v>1</v>
      </c>
      <c r="J238">
        <v>237</v>
      </c>
    </row>
    <row r="239" spans="1:10" customFormat="1" ht="15" x14ac:dyDescent="0.25">
      <c r="A239" s="6">
        <v>9</v>
      </c>
      <c r="B239" s="6" t="s">
        <v>505</v>
      </c>
      <c r="C239" s="6" t="s">
        <v>509</v>
      </c>
      <c r="D239" s="6" t="s">
        <v>401</v>
      </c>
      <c r="E239" s="6" t="s">
        <v>402</v>
      </c>
      <c r="F239">
        <v>2</v>
      </c>
      <c r="J239">
        <v>238</v>
      </c>
    </row>
    <row r="240" spans="1:10" customFormat="1" ht="15" x14ac:dyDescent="0.25">
      <c r="A240" s="6">
        <v>9</v>
      </c>
      <c r="B240" s="6" t="s">
        <v>505</v>
      </c>
      <c r="C240" s="6" t="s">
        <v>509</v>
      </c>
      <c r="D240" s="6" t="s">
        <v>401</v>
      </c>
      <c r="E240" s="6" t="s">
        <v>402</v>
      </c>
      <c r="F240">
        <v>3</v>
      </c>
      <c r="J240">
        <v>239</v>
      </c>
    </row>
    <row r="241" spans="1:10" customFormat="1" ht="15" x14ac:dyDescent="0.25">
      <c r="A241" s="6">
        <v>9</v>
      </c>
      <c r="B241" s="6" t="s">
        <v>505</v>
      </c>
      <c r="C241" s="6" t="s">
        <v>509</v>
      </c>
      <c r="D241" s="6" t="s">
        <v>401</v>
      </c>
      <c r="E241" s="6" t="s">
        <v>402</v>
      </c>
      <c r="F241">
        <v>4</v>
      </c>
      <c r="J241">
        <v>240</v>
      </c>
    </row>
    <row r="242" spans="1:10" customFormat="1" ht="15" x14ac:dyDescent="0.25">
      <c r="A242" s="6">
        <v>9</v>
      </c>
      <c r="B242" s="6" t="s">
        <v>505</v>
      </c>
      <c r="C242" s="6" t="s">
        <v>509</v>
      </c>
      <c r="D242" s="6" t="s">
        <v>401</v>
      </c>
      <c r="E242" s="6" t="s">
        <v>402</v>
      </c>
      <c r="F242">
        <v>5</v>
      </c>
      <c r="J242">
        <v>241</v>
      </c>
    </row>
    <row r="243" spans="1:10" customFormat="1" ht="15" x14ac:dyDescent="0.25">
      <c r="A243" s="6">
        <v>9</v>
      </c>
      <c r="B243" s="6" t="s">
        <v>505</v>
      </c>
      <c r="C243" s="6" t="s">
        <v>509</v>
      </c>
      <c r="D243" s="6" t="s">
        <v>401</v>
      </c>
      <c r="E243" s="6" t="s">
        <v>402</v>
      </c>
      <c r="F243">
        <v>6</v>
      </c>
      <c r="J243">
        <v>242</v>
      </c>
    </row>
    <row r="244" spans="1:10" customFormat="1" ht="15" x14ac:dyDescent="0.25">
      <c r="A244" s="6">
        <v>9</v>
      </c>
      <c r="B244" s="6" t="s">
        <v>505</v>
      </c>
      <c r="C244" s="6" t="s">
        <v>509</v>
      </c>
      <c r="D244" s="6" t="s">
        <v>401</v>
      </c>
      <c r="E244" s="6" t="s">
        <v>402</v>
      </c>
      <c r="F244">
        <v>7</v>
      </c>
      <c r="J244">
        <v>243</v>
      </c>
    </row>
    <row r="245" spans="1:10" customFormat="1" ht="15" x14ac:dyDescent="0.25">
      <c r="A245" s="6">
        <v>9</v>
      </c>
      <c r="B245" s="6" t="s">
        <v>505</v>
      </c>
      <c r="C245" s="6" t="s">
        <v>509</v>
      </c>
      <c r="D245" s="6" t="s">
        <v>401</v>
      </c>
      <c r="E245" s="6" t="s">
        <v>402</v>
      </c>
      <c r="F245">
        <v>8</v>
      </c>
      <c r="J245">
        <v>244</v>
      </c>
    </row>
    <row r="246" spans="1:10" customFormat="1" ht="15" x14ac:dyDescent="0.25">
      <c r="A246" s="6">
        <v>9</v>
      </c>
      <c r="B246" s="6" t="s">
        <v>505</v>
      </c>
      <c r="C246" s="6" t="s">
        <v>509</v>
      </c>
      <c r="D246" s="6" t="s">
        <v>401</v>
      </c>
      <c r="E246" s="6" t="s">
        <v>402</v>
      </c>
      <c r="F246">
        <v>9</v>
      </c>
      <c r="J246">
        <v>245</v>
      </c>
    </row>
    <row r="247" spans="1:10" customFormat="1" ht="15" x14ac:dyDescent="0.25">
      <c r="A247" s="6">
        <v>9</v>
      </c>
      <c r="B247" s="6" t="s">
        <v>505</v>
      </c>
      <c r="C247" s="6" t="s">
        <v>509</v>
      </c>
      <c r="D247" s="6" t="s">
        <v>401</v>
      </c>
      <c r="E247" s="6" t="s">
        <v>402</v>
      </c>
      <c r="F247">
        <v>10</v>
      </c>
      <c r="J247">
        <v>246</v>
      </c>
    </row>
    <row r="248" spans="1:10" customFormat="1" ht="15" x14ac:dyDescent="0.25">
      <c r="A248" s="6">
        <v>9</v>
      </c>
      <c r="B248" s="6" t="s">
        <v>505</v>
      </c>
      <c r="C248" s="6" t="s">
        <v>509</v>
      </c>
      <c r="D248" s="6" t="s">
        <v>401</v>
      </c>
      <c r="E248" s="6" t="s">
        <v>402</v>
      </c>
      <c r="F248">
        <v>11</v>
      </c>
      <c r="J248">
        <v>247</v>
      </c>
    </row>
    <row r="249" spans="1:10" customFormat="1" ht="15" x14ac:dyDescent="0.25">
      <c r="A249" s="6">
        <v>9</v>
      </c>
      <c r="B249" s="6" t="s">
        <v>505</v>
      </c>
      <c r="C249" s="6" t="s">
        <v>509</v>
      </c>
      <c r="D249" s="6" t="s">
        <v>401</v>
      </c>
      <c r="E249" s="6" t="s">
        <v>402</v>
      </c>
      <c r="F249">
        <v>12</v>
      </c>
      <c r="J249">
        <v>248</v>
      </c>
    </row>
    <row r="250" spans="1:10" customFormat="1" ht="15" x14ac:dyDescent="0.25">
      <c r="A250" s="6">
        <v>9</v>
      </c>
      <c r="B250" s="6" t="s">
        <v>505</v>
      </c>
      <c r="C250" s="6" t="s">
        <v>509</v>
      </c>
      <c r="D250" s="6" t="s">
        <v>401</v>
      </c>
      <c r="E250" s="6" t="s">
        <v>402</v>
      </c>
      <c r="F250">
        <v>13</v>
      </c>
      <c r="J250">
        <v>249</v>
      </c>
    </row>
    <row r="251" spans="1:10" customFormat="1" ht="15" x14ac:dyDescent="0.25">
      <c r="A251" s="6">
        <v>9</v>
      </c>
      <c r="B251" s="6" t="s">
        <v>505</v>
      </c>
      <c r="C251" s="6" t="s">
        <v>509</v>
      </c>
      <c r="D251" s="6" t="s">
        <v>401</v>
      </c>
      <c r="E251" s="6" t="s">
        <v>402</v>
      </c>
      <c r="F251">
        <v>14</v>
      </c>
      <c r="J251">
        <v>250</v>
      </c>
    </row>
    <row r="252" spans="1:10" customFormat="1" ht="15" x14ac:dyDescent="0.25">
      <c r="A252" s="6">
        <v>9</v>
      </c>
      <c r="B252" s="6" t="s">
        <v>505</v>
      </c>
      <c r="C252" s="6" t="s">
        <v>509</v>
      </c>
      <c r="D252" s="6" t="s">
        <v>401</v>
      </c>
      <c r="E252" s="6" t="s">
        <v>402</v>
      </c>
      <c r="F252">
        <v>15</v>
      </c>
      <c r="J252">
        <v>251</v>
      </c>
    </row>
    <row r="253" spans="1:10" customFormat="1" ht="15" x14ac:dyDescent="0.25">
      <c r="A253" s="6">
        <v>9</v>
      </c>
      <c r="B253" s="6" t="s">
        <v>505</v>
      </c>
      <c r="C253" s="6" t="s">
        <v>509</v>
      </c>
      <c r="D253" s="6" t="s">
        <v>401</v>
      </c>
      <c r="E253" s="6" t="s">
        <v>402</v>
      </c>
      <c r="F253">
        <v>16</v>
      </c>
      <c r="J253">
        <v>252</v>
      </c>
    </row>
    <row r="254" spans="1:10" customFormat="1" ht="15" x14ac:dyDescent="0.25">
      <c r="A254" s="6">
        <v>9</v>
      </c>
      <c r="B254" s="6" t="s">
        <v>505</v>
      </c>
      <c r="C254" s="6" t="s">
        <v>509</v>
      </c>
      <c r="D254" s="6" t="s">
        <v>401</v>
      </c>
      <c r="E254" s="6" t="s">
        <v>402</v>
      </c>
      <c r="F254">
        <v>17</v>
      </c>
      <c r="J254">
        <v>253</v>
      </c>
    </row>
    <row r="255" spans="1:10" customFormat="1" ht="15" x14ac:dyDescent="0.25">
      <c r="A255" s="6">
        <v>9</v>
      </c>
      <c r="B255" s="6" t="s">
        <v>505</v>
      </c>
      <c r="C255" s="6" t="s">
        <v>509</v>
      </c>
      <c r="D255" s="6" t="s">
        <v>401</v>
      </c>
      <c r="E255" s="6" t="s">
        <v>402</v>
      </c>
      <c r="F255">
        <v>18</v>
      </c>
      <c r="J255">
        <v>254</v>
      </c>
    </row>
    <row r="256" spans="1:10" customFormat="1" ht="15" x14ac:dyDescent="0.25">
      <c r="A256" s="6">
        <v>9</v>
      </c>
      <c r="B256" s="6" t="s">
        <v>505</v>
      </c>
      <c r="C256" s="6" t="s">
        <v>509</v>
      </c>
      <c r="D256" s="6" t="s">
        <v>401</v>
      </c>
      <c r="E256" s="6" t="s">
        <v>402</v>
      </c>
      <c r="F256">
        <v>19</v>
      </c>
      <c r="J256">
        <v>255</v>
      </c>
    </row>
    <row r="257" spans="1:10" customFormat="1" ht="15" x14ac:dyDescent="0.25">
      <c r="A257" s="6">
        <v>9</v>
      </c>
      <c r="B257" s="6" t="s">
        <v>505</v>
      </c>
      <c r="C257" s="6" t="s">
        <v>509</v>
      </c>
      <c r="D257" s="6" t="s">
        <v>401</v>
      </c>
      <c r="E257" s="6" t="s">
        <v>402</v>
      </c>
      <c r="F257">
        <v>20</v>
      </c>
      <c r="J257">
        <v>256</v>
      </c>
    </row>
    <row r="258" spans="1:10" customFormat="1" ht="15" x14ac:dyDescent="0.25">
      <c r="A258" s="6">
        <v>9</v>
      </c>
      <c r="B258" s="6" t="s">
        <v>505</v>
      </c>
      <c r="C258" s="6" t="s">
        <v>509</v>
      </c>
      <c r="D258" s="6" t="s">
        <v>401</v>
      </c>
      <c r="E258" s="6" t="s">
        <v>402</v>
      </c>
      <c r="F258">
        <v>21</v>
      </c>
      <c r="J258">
        <v>257</v>
      </c>
    </row>
    <row r="259" spans="1:10" customFormat="1" ht="15" x14ac:dyDescent="0.25">
      <c r="A259" s="6">
        <v>9</v>
      </c>
      <c r="B259" s="6" t="s">
        <v>505</v>
      </c>
      <c r="C259" s="6" t="s">
        <v>509</v>
      </c>
      <c r="D259" s="6" t="s">
        <v>401</v>
      </c>
      <c r="E259" s="6" t="s">
        <v>402</v>
      </c>
      <c r="F259">
        <v>22</v>
      </c>
      <c r="J259">
        <v>258</v>
      </c>
    </row>
    <row r="260" spans="1:10" customFormat="1" ht="15" x14ac:dyDescent="0.25">
      <c r="A260" s="6">
        <v>9</v>
      </c>
      <c r="B260" s="6" t="s">
        <v>505</v>
      </c>
      <c r="C260" s="6" t="s">
        <v>509</v>
      </c>
      <c r="D260" s="6" t="s">
        <v>401</v>
      </c>
      <c r="E260" s="6" t="s">
        <v>402</v>
      </c>
      <c r="F260">
        <v>23</v>
      </c>
      <c r="J260">
        <v>259</v>
      </c>
    </row>
    <row r="261" spans="1:10" customFormat="1" ht="15" x14ac:dyDescent="0.25">
      <c r="A261" s="6">
        <v>9</v>
      </c>
      <c r="B261" s="6" t="s">
        <v>505</v>
      </c>
      <c r="C261" s="6" t="s">
        <v>509</v>
      </c>
      <c r="D261" s="6" t="s">
        <v>401</v>
      </c>
      <c r="E261" s="6" t="s">
        <v>402</v>
      </c>
      <c r="F261">
        <v>24</v>
      </c>
      <c r="J261">
        <v>260</v>
      </c>
    </row>
    <row r="262" spans="1:10" customFormat="1" ht="15" x14ac:dyDescent="0.25">
      <c r="A262" s="6">
        <v>9</v>
      </c>
      <c r="B262" s="6" t="s">
        <v>505</v>
      </c>
      <c r="C262" s="6" t="s">
        <v>509</v>
      </c>
      <c r="D262" s="6" t="s">
        <v>401</v>
      </c>
      <c r="E262" s="6" t="s">
        <v>402</v>
      </c>
      <c r="F262">
        <v>25</v>
      </c>
      <c r="J262">
        <v>261</v>
      </c>
    </row>
    <row r="263" spans="1:10" customFormat="1" ht="15" x14ac:dyDescent="0.25">
      <c r="A263" s="6">
        <v>9</v>
      </c>
      <c r="B263" s="6" t="s">
        <v>505</v>
      </c>
      <c r="C263" s="6" t="s">
        <v>509</v>
      </c>
      <c r="D263" s="6" t="s">
        <v>401</v>
      </c>
      <c r="E263" s="6" t="s">
        <v>402</v>
      </c>
      <c r="F263">
        <v>26</v>
      </c>
      <c r="J263">
        <v>262</v>
      </c>
    </row>
    <row r="264" spans="1:10" customFormat="1" ht="15" x14ac:dyDescent="0.25">
      <c r="A264" s="6">
        <v>9</v>
      </c>
      <c r="B264" s="6" t="s">
        <v>505</v>
      </c>
      <c r="C264" s="6" t="s">
        <v>509</v>
      </c>
      <c r="D264" s="6" t="s">
        <v>401</v>
      </c>
      <c r="E264" s="6" t="s">
        <v>402</v>
      </c>
      <c r="F264">
        <v>27</v>
      </c>
      <c r="J264">
        <v>263</v>
      </c>
    </row>
    <row r="265" spans="1:10" customFormat="1" ht="15" x14ac:dyDescent="0.25">
      <c r="A265" s="6">
        <v>9</v>
      </c>
      <c r="B265" s="6" t="s">
        <v>505</v>
      </c>
      <c r="C265" s="6" t="s">
        <v>509</v>
      </c>
      <c r="D265" s="6" t="s">
        <v>401</v>
      </c>
      <c r="E265" s="6" t="s">
        <v>402</v>
      </c>
      <c r="F265">
        <v>28</v>
      </c>
      <c r="J265">
        <v>264</v>
      </c>
    </row>
    <row r="266" spans="1:10" customFormat="1" ht="15" x14ac:dyDescent="0.25">
      <c r="A266" s="6">
        <v>9</v>
      </c>
      <c r="B266" s="6" t="s">
        <v>505</v>
      </c>
      <c r="C266" s="6" t="s">
        <v>509</v>
      </c>
      <c r="D266" s="6" t="s">
        <v>401</v>
      </c>
      <c r="E266" s="6" t="s">
        <v>402</v>
      </c>
      <c r="F266">
        <v>29</v>
      </c>
      <c r="J266">
        <v>265</v>
      </c>
    </row>
    <row r="267" spans="1:10" customFormat="1" ht="15" x14ac:dyDescent="0.25">
      <c r="A267" s="6">
        <v>9</v>
      </c>
      <c r="B267" s="6" t="s">
        <v>505</v>
      </c>
      <c r="C267" s="6" t="s">
        <v>509</v>
      </c>
      <c r="D267" s="6" t="s">
        <v>401</v>
      </c>
      <c r="E267" s="6" t="s">
        <v>402</v>
      </c>
      <c r="F267">
        <v>30</v>
      </c>
      <c r="J267">
        <v>266</v>
      </c>
    </row>
    <row r="268" spans="1:10" customFormat="1" thickBot="1" x14ac:dyDescent="0.3">
      <c r="A268" s="6">
        <v>9</v>
      </c>
      <c r="B268" s="6" t="s">
        <v>505</v>
      </c>
      <c r="C268" s="6" t="s">
        <v>509</v>
      </c>
      <c r="D268" s="16" t="s">
        <v>401</v>
      </c>
      <c r="E268" s="16" t="s">
        <v>402</v>
      </c>
      <c r="F268" s="17">
        <v>31</v>
      </c>
      <c r="G268" s="17"/>
      <c r="H268" s="17"/>
      <c r="I268" s="17">
        <v>31</v>
      </c>
      <c r="J268">
        <v>267</v>
      </c>
    </row>
    <row r="269" spans="1:10" customFormat="1" thickTop="1" x14ac:dyDescent="0.25">
      <c r="A269" s="6">
        <v>10</v>
      </c>
      <c r="B269" s="6" t="s">
        <v>505</v>
      </c>
      <c r="C269" s="6" t="s">
        <v>509</v>
      </c>
      <c r="D269" s="6" t="s">
        <v>404</v>
      </c>
      <c r="E269" s="6" t="s">
        <v>405</v>
      </c>
      <c r="F269">
        <v>1</v>
      </c>
      <c r="J269">
        <v>268</v>
      </c>
    </row>
    <row r="270" spans="1:10" customFormat="1" ht="15" x14ac:dyDescent="0.25">
      <c r="A270" s="6">
        <v>10</v>
      </c>
      <c r="B270" s="6" t="s">
        <v>505</v>
      </c>
      <c r="C270" s="6" t="s">
        <v>509</v>
      </c>
      <c r="D270" s="6" t="s">
        <v>404</v>
      </c>
      <c r="E270" s="6" t="s">
        <v>405</v>
      </c>
      <c r="F270">
        <v>2</v>
      </c>
      <c r="J270">
        <v>269</v>
      </c>
    </row>
    <row r="271" spans="1:10" customFormat="1" ht="15" x14ac:dyDescent="0.25">
      <c r="A271" s="6">
        <v>10</v>
      </c>
      <c r="B271" s="6" t="s">
        <v>505</v>
      </c>
      <c r="C271" s="6" t="s">
        <v>509</v>
      </c>
      <c r="D271" s="6" t="s">
        <v>404</v>
      </c>
      <c r="E271" s="6" t="s">
        <v>405</v>
      </c>
      <c r="F271">
        <v>3</v>
      </c>
      <c r="J271">
        <v>270</v>
      </c>
    </row>
    <row r="272" spans="1:10" customFormat="1" ht="15" x14ac:dyDescent="0.25">
      <c r="A272" s="6">
        <v>10</v>
      </c>
      <c r="B272" s="6" t="s">
        <v>505</v>
      </c>
      <c r="C272" s="6" t="s">
        <v>509</v>
      </c>
      <c r="D272" s="6" t="s">
        <v>404</v>
      </c>
      <c r="E272" s="6" t="s">
        <v>405</v>
      </c>
      <c r="F272">
        <v>4</v>
      </c>
      <c r="J272">
        <v>271</v>
      </c>
    </row>
    <row r="273" spans="1:10" customFormat="1" ht="15" x14ac:dyDescent="0.25">
      <c r="A273" s="6">
        <v>10</v>
      </c>
      <c r="B273" s="6" t="s">
        <v>505</v>
      </c>
      <c r="C273" s="6" t="s">
        <v>509</v>
      </c>
      <c r="D273" s="6" t="s">
        <v>404</v>
      </c>
      <c r="E273" s="6" t="s">
        <v>405</v>
      </c>
      <c r="F273">
        <v>5</v>
      </c>
      <c r="J273">
        <v>272</v>
      </c>
    </row>
    <row r="274" spans="1:10" customFormat="1" ht="15" x14ac:dyDescent="0.25">
      <c r="A274" s="6">
        <v>10</v>
      </c>
      <c r="B274" s="6" t="s">
        <v>505</v>
      </c>
      <c r="C274" s="6" t="s">
        <v>509</v>
      </c>
      <c r="D274" s="6" t="s">
        <v>404</v>
      </c>
      <c r="E274" s="6" t="s">
        <v>405</v>
      </c>
      <c r="F274">
        <v>6</v>
      </c>
      <c r="J274">
        <v>273</v>
      </c>
    </row>
    <row r="275" spans="1:10" customFormat="1" ht="15" x14ac:dyDescent="0.25">
      <c r="A275" s="6">
        <v>10</v>
      </c>
      <c r="B275" s="6" t="s">
        <v>505</v>
      </c>
      <c r="C275" s="6" t="s">
        <v>509</v>
      </c>
      <c r="D275" s="6" t="s">
        <v>404</v>
      </c>
      <c r="E275" s="6" t="s">
        <v>405</v>
      </c>
      <c r="F275">
        <v>7</v>
      </c>
      <c r="J275">
        <v>274</v>
      </c>
    </row>
    <row r="276" spans="1:10" customFormat="1" ht="15" x14ac:dyDescent="0.25">
      <c r="A276" s="6">
        <v>10</v>
      </c>
      <c r="B276" s="6" t="s">
        <v>505</v>
      </c>
      <c r="C276" s="6" t="s">
        <v>509</v>
      </c>
      <c r="D276" s="6" t="s">
        <v>404</v>
      </c>
      <c r="E276" s="6" t="s">
        <v>405</v>
      </c>
      <c r="F276">
        <v>8</v>
      </c>
      <c r="J276">
        <v>275</v>
      </c>
    </row>
    <row r="277" spans="1:10" customFormat="1" ht="15" x14ac:dyDescent="0.25">
      <c r="A277" s="6">
        <v>10</v>
      </c>
      <c r="B277" s="6" t="s">
        <v>505</v>
      </c>
      <c r="C277" s="6" t="s">
        <v>509</v>
      </c>
      <c r="D277" s="6" t="s">
        <v>404</v>
      </c>
      <c r="E277" s="6" t="s">
        <v>405</v>
      </c>
      <c r="F277">
        <v>9</v>
      </c>
      <c r="J277">
        <v>276</v>
      </c>
    </row>
    <row r="278" spans="1:10" customFormat="1" ht="15" x14ac:dyDescent="0.25">
      <c r="A278" s="6">
        <v>10</v>
      </c>
      <c r="B278" s="6" t="s">
        <v>505</v>
      </c>
      <c r="C278" s="6" t="s">
        <v>509</v>
      </c>
      <c r="D278" s="6" t="s">
        <v>404</v>
      </c>
      <c r="E278" s="6" t="s">
        <v>405</v>
      </c>
      <c r="F278">
        <v>10</v>
      </c>
      <c r="J278">
        <v>277</v>
      </c>
    </row>
    <row r="279" spans="1:10" customFormat="1" ht="15" x14ac:dyDescent="0.25">
      <c r="A279" s="6">
        <v>10</v>
      </c>
      <c r="B279" s="6" t="s">
        <v>505</v>
      </c>
      <c r="C279" s="6" t="s">
        <v>509</v>
      </c>
      <c r="D279" s="6" t="s">
        <v>404</v>
      </c>
      <c r="E279" s="6" t="s">
        <v>405</v>
      </c>
      <c r="F279">
        <v>11</v>
      </c>
      <c r="J279">
        <v>278</v>
      </c>
    </row>
    <row r="280" spans="1:10" customFormat="1" ht="15" x14ac:dyDescent="0.25">
      <c r="A280" s="6">
        <v>10</v>
      </c>
      <c r="B280" s="6" t="s">
        <v>505</v>
      </c>
      <c r="C280" s="6" t="s">
        <v>509</v>
      </c>
      <c r="D280" s="6" t="s">
        <v>404</v>
      </c>
      <c r="E280" s="6" t="s">
        <v>405</v>
      </c>
      <c r="F280">
        <v>12</v>
      </c>
      <c r="J280">
        <v>279</v>
      </c>
    </row>
    <row r="281" spans="1:10" customFormat="1" ht="15" x14ac:dyDescent="0.25">
      <c r="A281" s="6">
        <v>10</v>
      </c>
      <c r="B281" s="6" t="s">
        <v>505</v>
      </c>
      <c r="C281" s="6" t="s">
        <v>509</v>
      </c>
      <c r="D281" s="6" t="s">
        <v>404</v>
      </c>
      <c r="E281" s="6" t="s">
        <v>405</v>
      </c>
      <c r="F281">
        <v>13</v>
      </c>
      <c r="J281">
        <v>280</v>
      </c>
    </row>
    <row r="282" spans="1:10" customFormat="1" ht="15" x14ac:dyDescent="0.25">
      <c r="A282" s="6">
        <v>10</v>
      </c>
      <c r="B282" s="6" t="s">
        <v>505</v>
      </c>
      <c r="C282" s="6" t="s">
        <v>509</v>
      </c>
      <c r="D282" s="6" t="s">
        <v>404</v>
      </c>
      <c r="E282" s="6" t="s">
        <v>405</v>
      </c>
      <c r="F282">
        <v>14</v>
      </c>
      <c r="J282">
        <v>281</v>
      </c>
    </row>
    <row r="283" spans="1:10" customFormat="1" ht="15" x14ac:dyDescent="0.25">
      <c r="A283" s="6">
        <v>10</v>
      </c>
      <c r="B283" s="6" t="s">
        <v>505</v>
      </c>
      <c r="C283" s="6" t="s">
        <v>509</v>
      </c>
      <c r="D283" s="6" t="s">
        <v>404</v>
      </c>
      <c r="E283" s="6" t="s">
        <v>405</v>
      </c>
      <c r="F283">
        <v>15</v>
      </c>
      <c r="J283">
        <v>282</v>
      </c>
    </row>
    <row r="284" spans="1:10" customFormat="1" ht="15" x14ac:dyDescent="0.25">
      <c r="A284" s="6">
        <v>10</v>
      </c>
      <c r="B284" s="6" t="s">
        <v>505</v>
      </c>
      <c r="C284" s="6" t="s">
        <v>509</v>
      </c>
      <c r="D284" s="6" t="s">
        <v>404</v>
      </c>
      <c r="E284" s="6" t="s">
        <v>405</v>
      </c>
      <c r="F284">
        <v>16</v>
      </c>
      <c r="J284">
        <v>283</v>
      </c>
    </row>
    <row r="285" spans="1:10" customFormat="1" ht="15" x14ac:dyDescent="0.25">
      <c r="A285" s="6">
        <v>10</v>
      </c>
      <c r="B285" s="6" t="s">
        <v>505</v>
      </c>
      <c r="C285" s="6" t="s">
        <v>509</v>
      </c>
      <c r="D285" s="6" t="s">
        <v>404</v>
      </c>
      <c r="E285" s="6" t="s">
        <v>405</v>
      </c>
      <c r="F285">
        <v>17</v>
      </c>
      <c r="J285">
        <v>284</v>
      </c>
    </row>
    <row r="286" spans="1:10" customFormat="1" ht="15" x14ac:dyDescent="0.25">
      <c r="A286" s="6">
        <v>10</v>
      </c>
      <c r="B286" s="6" t="s">
        <v>505</v>
      </c>
      <c r="C286" s="6" t="s">
        <v>509</v>
      </c>
      <c r="D286" s="6" t="s">
        <v>404</v>
      </c>
      <c r="E286" s="6" t="s">
        <v>405</v>
      </c>
      <c r="F286">
        <v>18</v>
      </c>
      <c r="J286">
        <v>285</v>
      </c>
    </row>
    <row r="287" spans="1:10" customFormat="1" ht="15" x14ac:dyDescent="0.25">
      <c r="A287" s="6">
        <v>10</v>
      </c>
      <c r="B287" s="6" t="s">
        <v>505</v>
      </c>
      <c r="C287" s="6" t="s">
        <v>509</v>
      </c>
      <c r="D287" s="6" t="s">
        <v>404</v>
      </c>
      <c r="E287" s="6" t="s">
        <v>405</v>
      </c>
      <c r="F287">
        <v>19</v>
      </c>
      <c r="J287">
        <v>286</v>
      </c>
    </row>
    <row r="288" spans="1:10" customFormat="1" ht="15" x14ac:dyDescent="0.25">
      <c r="A288" s="6">
        <v>10</v>
      </c>
      <c r="B288" s="6" t="s">
        <v>505</v>
      </c>
      <c r="C288" s="6" t="s">
        <v>509</v>
      </c>
      <c r="D288" s="6" t="s">
        <v>404</v>
      </c>
      <c r="E288" s="6" t="s">
        <v>405</v>
      </c>
      <c r="F288">
        <v>20</v>
      </c>
      <c r="J288">
        <v>287</v>
      </c>
    </row>
    <row r="289" spans="1:10" customFormat="1" ht="15" x14ac:dyDescent="0.25">
      <c r="A289" s="6">
        <v>10</v>
      </c>
      <c r="B289" s="6" t="s">
        <v>505</v>
      </c>
      <c r="C289" s="6" t="s">
        <v>509</v>
      </c>
      <c r="D289" s="6" t="s">
        <v>404</v>
      </c>
      <c r="E289" s="6" t="s">
        <v>405</v>
      </c>
      <c r="F289">
        <v>21</v>
      </c>
      <c r="J289">
        <v>288</v>
      </c>
    </row>
    <row r="290" spans="1:10" customFormat="1" ht="15" x14ac:dyDescent="0.25">
      <c r="A290" s="6">
        <v>10</v>
      </c>
      <c r="B290" s="6" t="s">
        <v>505</v>
      </c>
      <c r="C290" s="6" t="s">
        <v>509</v>
      </c>
      <c r="D290" s="6" t="s">
        <v>404</v>
      </c>
      <c r="E290" s="6" t="s">
        <v>405</v>
      </c>
      <c r="F290">
        <v>22</v>
      </c>
      <c r="J290">
        <v>289</v>
      </c>
    </row>
    <row r="291" spans="1:10" customFormat="1" ht="15" x14ac:dyDescent="0.25">
      <c r="A291" s="6">
        <v>10</v>
      </c>
      <c r="B291" s="6" t="s">
        <v>505</v>
      </c>
      <c r="C291" s="6" t="s">
        <v>509</v>
      </c>
      <c r="D291" s="6" t="s">
        <v>404</v>
      </c>
      <c r="E291" s="6" t="s">
        <v>405</v>
      </c>
      <c r="F291">
        <v>23</v>
      </c>
      <c r="J291">
        <v>290</v>
      </c>
    </row>
    <row r="292" spans="1:10" customFormat="1" thickBot="1" x14ac:dyDescent="0.3">
      <c r="A292" s="6">
        <v>10</v>
      </c>
      <c r="B292" s="6" t="s">
        <v>505</v>
      </c>
      <c r="C292" s="6" t="s">
        <v>509</v>
      </c>
      <c r="D292" s="16" t="s">
        <v>404</v>
      </c>
      <c r="E292" s="16" t="s">
        <v>405</v>
      </c>
      <c r="F292" s="17">
        <v>24</v>
      </c>
      <c r="G292" s="17"/>
      <c r="H292" s="17"/>
      <c r="I292" s="17">
        <v>24</v>
      </c>
      <c r="J292">
        <v>291</v>
      </c>
    </row>
    <row r="293" spans="1:10" customFormat="1" thickTop="1" x14ac:dyDescent="0.25">
      <c r="A293" s="6">
        <v>11</v>
      </c>
      <c r="B293" s="6" t="s">
        <v>505</v>
      </c>
      <c r="C293" s="6" t="s">
        <v>509</v>
      </c>
      <c r="D293" s="6" t="s">
        <v>407</v>
      </c>
      <c r="E293" s="6" t="s">
        <v>407</v>
      </c>
      <c r="F293">
        <v>1</v>
      </c>
      <c r="J293">
        <v>292</v>
      </c>
    </row>
    <row r="294" spans="1:10" customFormat="1" ht="15" x14ac:dyDescent="0.25">
      <c r="A294" s="6">
        <v>11</v>
      </c>
      <c r="B294" s="6" t="s">
        <v>505</v>
      </c>
      <c r="C294" s="6" t="s">
        <v>509</v>
      </c>
      <c r="D294" s="6" t="s">
        <v>407</v>
      </c>
      <c r="E294" s="6" t="s">
        <v>407</v>
      </c>
      <c r="F294">
        <v>2</v>
      </c>
      <c r="J294">
        <v>293</v>
      </c>
    </row>
    <row r="295" spans="1:10" customFormat="1" ht="15" x14ac:dyDescent="0.25">
      <c r="A295" s="6">
        <v>11</v>
      </c>
      <c r="B295" s="6" t="s">
        <v>505</v>
      </c>
      <c r="C295" s="6" t="s">
        <v>509</v>
      </c>
      <c r="D295" s="6" t="s">
        <v>407</v>
      </c>
      <c r="E295" s="6" t="s">
        <v>407</v>
      </c>
      <c r="F295">
        <v>3</v>
      </c>
      <c r="J295">
        <v>294</v>
      </c>
    </row>
    <row r="296" spans="1:10" customFormat="1" ht="15" x14ac:dyDescent="0.25">
      <c r="A296" s="6">
        <v>11</v>
      </c>
      <c r="B296" s="6" t="s">
        <v>505</v>
      </c>
      <c r="C296" s="6" t="s">
        <v>509</v>
      </c>
      <c r="D296" s="6" t="s">
        <v>407</v>
      </c>
      <c r="E296" s="6" t="s">
        <v>407</v>
      </c>
      <c r="F296">
        <v>4</v>
      </c>
      <c r="J296">
        <v>295</v>
      </c>
    </row>
    <row r="297" spans="1:10" customFormat="1" ht="15" x14ac:dyDescent="0.25">
      <c r="A297" s="6">
        <v>11</v>
      </c>
      <c r="B297" s="6" t="s">
        <v>505</v>
      </c>
      <c r="C297" s="6" t="s">
        <v>509</v>
      </c>
      <c r="D297" s="6" t="s">
        <v>407</v>
      </c>
      <c r="E297" s="6" t="s">
        <v>407</v>
      </c>
      <c r="F297">
        <v>5</v>
      </c>
      <c r="J297">
        <v>296</v>
      </c>
    </row>
    <row r="298" spans="1:10" customFormat="1" ht="15" x14ac:dyDescent="0.25">
      <c r="A298" s="6">
        <v>11</v>
      </c>
      <c r="B298" s="6" t="s">
        <v>505</v>
      </c>
      <c r="C298" s="6" t="s">
        <v>509</v>
      </c>
      <c r="D298" s="6" t="s">
        <v>407</v>
      </c>
      <c r="E298" s="6" t="s">
        <v>407</v>
      </c>
      <c r="F298">
        <v>6</v>
      </c>
      <c r="J298">
        <v>297</v>
      </c>
    </row>
    <row r="299" spans="1:10" customFormat="1" ht="15" x14ac:dyDescent="0.25">
      <c r="A299" s="6">
        <v>11</v>
      </c>
      <c r="B299" s="6" t="s">
        <v>505</v>
      </c>
      <c r="C299" s="6" t="s">
        <v>509</v>
      </c>
      <c r="D299" s="6" t="s">
        <v>407</v>
      </c>
      <c r="E299" s="6" t="s">
        <v>407</v>
      </c>
      <c r="F299">
        <v>7</v>
      </c>
      <c r="J299">
        <v>298</v>
      </c>
    </row>
    <row r="300" spans="1:10" customFormat="1" ht="15" x14ac:dyDescent="0.25">
      <c r="A300" s="6">
        <v>11</v>
      </c>
      <c r="B300" s="6" t="s">
        <v>505</v>
      </c>
      <c r="C300" s="6" t="s">
        <v>509</v>
      </c>
      <c r="D300" s="6" t="s">
        <v>407</v>
      </c>
      <c r="E300" s="6" t="s">
        <v>407</v>
      </c>
      <c r="F300">
        <v>8</v>
      </c>
      <c r="J300">
        <v>299</v>
      </c>
    </row>
    <row r="301" spans="1:10" customFormat="1" ht="15" x14ac:dyDescent="0.25">
      <c r="A301" s="6">
        <v>11</v>
      </c>
      <c r="B301" s="6" t="s">
        <v>505</v>
      </c>
      <c r="C301" s="6" t="s">
        <v>509</v>
      </c>
      <c r="D301" s="6" t="s">
        <v>407</v>
      </c>
      <c r="E301" s="6" t="s">
        <v>407</v>
      </c>
      <c r="F301">
        <v>9</v>
      </c>
      <c r="J301">
        <v>300</v>
      </c>
    </row>
    <row r="302" spans="1:10" customFormat="1" ht="15" x14ac:dyDescent="0.25">
      <c r="A302" s="6">
        <v>11</v>
      </c>
      <c r="B302" s="6" t="s">
        <v>505</v>
      </c>
      <c r="C302" s="6" t="s">
        <v>509</v>
      </c>
      <c r="D302" s="6" t="s">
        <v>407</v>
      </c>
      <c r="E302" s="6" t="s">
        <v>407</v>
      </c>
      <c r="F302">
        <v>10</v>
      </c>
      <c r="J302">
        <v>301</v>
      </c>
    </row>
    <row r="303" spans="1:10" customFormat="1" ht="15" x14ac:dyDescent="0.25">
      <c r="A303" s="6">
        <v>11</v>
      </c>
      <c r="B303" s="6" t="s">
        <v>505</v>
      </c>
      <c r="C303" s="6" t="s">
        <v>509</v>
      </c>
      <c r="D303" s="6" t="s">
        <v>407</v>
      </c>
      <c r="E303" s="6" t="s">
        <v>407</v>
      </c>
      <c r="F303">
        <v>11</v>
      </c>
      <c r="J303">
        <v>302</v>
      </c>
    </row>
    <row r="304" spans="1:10" customFormat="1" ht="15" x14ac:dyDescent="0.25">
      <c r="A304" s="6">
        <v>11</v>
      </c>
      <c r="B304" s="6" t="s">
        <v>505</v>
      </c>
      <c r="C304" s="6" t="s">
        <v>509</v>
      </c>
      <c r="D304" s="6" t="s">
        <v>407</v>
      </c>
      <c r="E304" s="6" t="s">
        <v>407</v>
      </c>
      <c r="F304">
        <v>12</v>
      </c>
      <c r="J304">
        <v>303</v>
      </c>
    </row>
    <row r="305" spans="1:10" customFormat="1" ht="15" x14ac:dyDescent="0.25">
      <c r="A305" s="6">
        <v>11</v>
      </c>
      <c r="B305" s="6" t="s">
        <v>505</v>
      </c>
      <c r="C305" s="6" t="s">
        <v>509</v>
      </c>
      <c r="D305" s="6" t="s">
        <v>407</v>
      </c>
      <c r="E305" s="6" t="s">
        <v>407</v>
      </c>
      <c r="F305">
        <v>13</v>
      </c>
      <c r="J305">
        <v>304</v>
      </c>
    </row>
    <row r="306" spans="1:10" customFormat="1" ht="15" x14ac:dyDescent="0.25">
      <c r="A306" s="6">
        <v>11</v>
      </c>
      <c r="B306" s="6" t="s">
        <v>505</v>
      </c>
      <c r="C306" s="6" t="s">
        <v>509</v>
      </c>
      <c r="D306" s="6" t="s">
        <v>407</v>
      </c>
      <c r="E306" s="6" t="s">
        <v>407</v>
      </c>
      <c r="F306">
        <v>14</v>
      </c>
      <c r="J306">
        <v>305</v>
      </c>
    </row>
    <row r="307" spans="1:10" customFormat="1" ht="15" x14ac:dyDescent="0.25">
      <c r="A307" s="6">
        <v>11</v>
      </c>
      <c r="B307" s="6" t="s">
        <v>505</v>
      </c>
      <c r="C307" s="6" t="s">
        <v>509</v>
      </c>
      <c r="D307" s="6" t="s">
        <v>407</v>
      </c>
      <c r="E307" s="6" t="s">
        <v>407</v>
      </c>
      <c r="F307">
        <v>15</v>
      </c>
      <c r="J307">
        <v>306</v>
      </c>
    </row>
    <row r="308" spans="1:10" customFormat="1" ht="15" x14ac:dyDescent="0.25">
      <c r="A308" s="6">
        <v>11</v>
      </c>
      <c r="B308" s="6" t="s">
        <v>505</v>
      </c>
      <c r="C308" s="6" t="s">
        <v>509</v>
      </c>
      <c r="D308" s="6" t="s">
        <v>407</v>
      </c>
      <c r="E308" s="6" t="s">
        <v>407</v>
      </c>
      <c r="F308">
        <v>16</v>
      </c>
      <c r="J308">
        <v>307</v>
      </c>
    </row>
    <row r="309" spans="1:10" customFormat="1" ht="15" x14ac:dyDescent="0.25">
      <c r="A309" s="6">
        <v>11</v>
      </c>
      <c r="B309" s="6" t="s">
        <v>505</v>
      </c>
      <c r="C309" s="6" t="s">
        <v>509</v>
      </c>
      <c r="D309" s="6" t="s">
        <v>407</v>
      </c>
      <c r="E309" s="6" t="s">
        <v>407</v>
      </c>
      <c r="F309">
        <v>17</v>
      </c>
      <c r="J309">
        <v>308</v>
      </c>
    </row>
    <row r="310" spans="1:10" customFormat="1" ht="15" x14ac:dyDescent="0.25">
      <c r="A310" s="6">
        <v>11</v>
      </c>
      <c r="B310" s="6" t="s">
        <v>505</v>
      </c>
      <c r="C310" s="6" t="s">
        <v>509</v>
      </c>
      <c r="D310" s="6" t="s">
        <v>407</v>
      </c>
      <c r="E310" s="6" t="s">
        <v>407</v>
      </c>
      <c r="F310">
        <v>18</v>
      </c>
      <c r="J310">
        <v>309</v>
      </c>
    </row>
    <row r="311" spans="1:10" customFormat="1" ht="15" x14ac:dyDescent="0.25">
      <c r="A311" s="6">
        <v>11</v>
      </c>
      <c r="B311" s="6" t="s">
        <v>505</v>
      </c>
      <c r="C311" s="6" t="s">
        <v>509</v>
      </c>
      <c r="D311" s="6" t="s">
        <v>407</v>
      </c>
      <c r="E311" s="6" t="s">
        <v>407</v>
      </c>
      <c r="F311">
        <v>19</v>
      </c>
      <c r="J311">
        <v>310</v>
      </c>
    </row>
    <row r="312" spans="1:10" customFormat="1" ht="15" x14ac:dyDescent="0.25">
      <c r="A312" s="6">
        <v>11</v>
      </c>
      <c r="B312" s="6" t="s">
        <v>505</v>
      </c>
      <c r="C312" s="6" t="s">
        <v>509</v>
      </c>
      <c r="D312" s="6" t="s">
        <v>407</v>
      </c>
      <c r="E312" s="6" t="s">
        <v>407</v>
      </c>
      <c r="F312">
        <v>20</v>
      </c>
      <c r="J312">
        <v>311</v>
      </c>
    </row>
    <row r="313" spans="1:10" customFormat="1" ht="15" x14ac:dyDescent="0.25">
      <c r="A313" s="6">
        <v>11</v>
      </c>
      <c r="B313" s="6" t="s">
        <v>505</v>
      </c>
      <c r="C313" s="6" t="s">
        <v>509</v>
      </c>
      <c r="D313" s="6" t="s">
        <v>407</v>
      </c>
      <c r="E313" s="6" t="s">
        <v>407</v>
      </c>
      <c r="F313">
        <v>21</v>
      </c>
      <c r="J313">
        <v>312</v>
      </c>
    </row>
    <row r="314" spans="1:10" customFormat="1" thickBot="1" x14ac:dyDescent="0.3">
      <c r="A314" s="6">
        <v>11</v>
      </c>
      <c r="B314" s="6" t="s">
        <v>505</v>
      </c>
      <c r="C314" s="6" t="s">
        <v>509</v>
      </c>
      <c r="D314" s="16" t="s">
        <v>407</v>
      </c>
      <c r="E314" s="16" t="s">
        <v>407</v>
      </c>
      <c r="F314" s="17">
        <v>22</v>
      </c>
      <c r="G314" s="17"/>
      <c r="H314" s="17"/>
      <c r="I314" s="17">
        <v>22</v>
      </c>
      <c r="J314">
        <v>313</v>
      </c>
    </row>
    <row r="315" spans="1:10" customFormat="1" thickTop="1" x14ac:dyDescent="0.25">
      <c r="A315" s="6">
        <v>12</v>
      </c>
      <c r="B315" s="6" t="s">
        <v>505</v>
      </c>
      <c r="C315" s="6" t="s">
        <v>509</v>
      </c>
      <c r="D315" s="6" t="s">
        <v>409</v>
      </c>
      <c r="E315" s="6" t="s">
        <v>409</v>
      </c>
      <c r="F315">
        <v>1</v>
      </c>
      <c r="J315">
        <v>314</v>
      </c>
    </row>
    <row r="316" spans="1:10" customFormat="1" ht="15" x14ac:dyDescent="0.25">
      <c r="A316" s="6">
        <v>12</v>
      </c>
      <c r="B316" s="6" t="s">
        <v>505</v>
      </c>
      <c r="C316" s="6" t="s">
        <v>509</v>
      </c>
      <c r="D316" s="6" t="s">
        <v>409</v>
      </c>
      <c r="E316" s="6" t="s">
        <v>409</v>
      </c>
      <c r="F316">
        <v>2</v>
      </c>
      <c r="J316">
        <v>315</v>
      </c>
    </row>
    <row r="317" spans="1:10" customFormat="1" ht="15" x14ac:dyDescent="0.25">
      <c r="A317" s="6">
        <v>12</v>
      </c>
      <c r="B317" s="6" t="s">
        <v>505</v>
      </c>
      <c r="C317" s="6" t="s">
        <v>509</v>
      </c>
      <c r="D317" s="6" t="s">
        <v>409</v>
      </c>
      <c r="E317" s="6" t="s">
        <v>409</v>
      </c>
      <c r="F317">
        <v>3</v>
      </c>
      <c r="J317">
        <v>316</v>
      </c>
    </row>
    <row r="318" spans="1:10" customFormat="1" ht="15" x14ac:dyDescent="0.25">
      <c r="A318" s="6">
        <v>12</v>
      </c>
      <c r="B318" s="6" t="s">
        <v>505</v>
      </c>
      <c r="C318" s="6" t="s">
        <v>509</v>
      </c>
      <c r="D318" s="6" t="s">
        <v>409</v>
      </c>
      <c r="E318" s="6" t="s">
        <v>409</v>
      </c>
      <c r="F318">
        <v>4</v>
      </c>
      <c r="J318">
        <v>317</v>
      </c>
    </row>
    <row r="319" spans="1:10" customFormat="1" ht="15" x14ac:dyDescent="0.25">
      <c r="A319" s="6">
        <v>12</v>
      </c>
      <c r="B319" s="6" t="s">
        <v>505</v>
      </c>
      <c r="C319" s="6" t="s">
        <v>509</v>
      </c>
      <c r="D319" s="6" t="s">
        <v>409</v>
      </c>
      <c r="E319" s="6" t="s">
        <v>409</v>
      </c>
      <c r="F319">
        <v>5</v>
      </c>
      <c r="J319">
        <v>318</v>
      </c>
    </row>
    <row r="320" spans="1:10" customFormat="1" ht="15" x14ac:dyDescent="0.25">
      <c r="A320" s="6">
        <v>12</v>
      </c>
      <c r="B320" s="6" t="s">
        <v>505</v>
      </c>
      <c r="C320" s="6" t="s">
        <v>509</v>
      </c>
      <c r="D320" s="6" t="s">
        <v>409</v>
      </c>
      <c r="E320" s="6" t="s">
        <v>409</v>
      </c>
      <c r="F320">
        <v>6</v>
      </c>
      <c r="J320">
        <v>319</v>
      </c>
    </row>
    <row r="321" spans="1:10" customFormat="1" ht="15" x14ac:dyDescent="0.25">
      <c r="A321" s="6">
        <v>12</v>
      </c>
      <c r="B321" s="6" t="s">
        <v>505</v>
      </c>
      <c r="C321" s="6" t="s">
        <v>509</v>
      </c>
      <c r="D321" s="6" t="s">
        <v>409</v>
      </c>
      <c r="E321" s="6" t="s">
        <v>409</v>
      </c>
      <c r="F321">
        <v>7</v>
      </c>
      <c r="J321">
        <v>320</v>
      </c>
    </row>
    <row r="322" spans="1:10" customFormat="1" ht="15" x14ac:dyDescent="0.25">
      <c r="A322" s="6">
        <v>12</v>
      </c>
      <c r="B322" s="6" t="s">
        <v>505</v>
      </c>
      <c r="C322" s="6" t="s">
        <v>509</v>
      </c>
      <c r="D322" s="6" t="s">
        <v>409</v>
      </c>
      <c r="E322" s="6" t="s">
        <v>409</v>
      </c>
      <c r="F322">
        <v>8</v>
      </c>
      <c r="J322">
        <v>321</v>
      </c>
    </row>
    <row r="323" spans="1:10" customFormat="1" ht="15" x14ac:dyDescent="0.25">
      <c r="A323" s="6">
        <v>12</v>
      </c>
      <c r="B323" s="6" t="s">
        <v>505</v>
      </c>
      <c r="C323" s="6" t="s">
        <v>509</v>
      </c>
      <c r="D323" s="6" t="s">
        <v>409</v>
      </c>
      <c r="E323" s="6" t="s">
        <v>409</v>
      </c>
      <c r="F323">
        <v>9</v>
      </c>
      <c r="J323">
        <v>322</v>
      </c>
    </row>
    <row r="324" spans="1:10" customFormat="1" ht="15" x14ac:dyDescent="0.25">
      <c r="A324" s="6">
        <v>12</v>
      </c>
      <c r="B324" s="6" t="s">
        <v>505</v>
      </c>
      <c r="C324" s="6" t="s">
        <v>509</v>
      </c>
      <c r="D324" s="6" t="s">
        <v>409</v>
      </c>
      <c r="E324" s="6" t="s">
        <v>409</v>
      </c>
      <c r="F324">
        <v>10</v>
      </c>
      <c r="J324">
        <v>323</v>
      </c>
    </row>
    <row r="325" spans="1:10" customFormat="1" ht="15" x14ac:dyDescent="0.25">
      <c r="A325" s="6">
        <v>12</v>
      </c>
      <c r="B325" s="6" t="s">
        <v>505</v>
      </c>
      <c r="C325" s="6" t="s">
        <v>509</v>
      </c>
      <c r="D325" s="6" t="s">
        <v>409</v>
      </c>
      <c r="E325" s="6" t="s">
        <v>409</v>
      </c>
      <c r="F325">
        <v>11</v>
      </c>
      <c r="J325">
        <v>324</v>
      </c>
    </row>
    <row r="326" spans="1:10" customFormat="1" ht="15" x14ac:dyDescent="0.25">
      <c r="A326" s="6">
        <v>12</v>
      </c>
      <c r="B326" s="6" t="s">
        <v>505</v>
      </c>
      <c r="C326" s="6" t="s">
        <v>509</v>
      </c>
      <c r="D326" s="6" t="s">
        <v>409</v>
      </c>
      <c r="E326" s="6" t="s">
        <v>409</v>
      </c>
      <c r="F326">
        <v>12</v>
      </c>
      <c r="J326">
        <v>325</v>
      </c>
    </row>
    <row r="327" spans="1:10" customFormat="1" ht="15" x14ac:dyDescent="0.25">
      <c r="A327" s="6">
        <v>12</v>
      </c>
      <c r="B327" s="6" t="s">
        <v>505</v>
      </c>
      <c r="C327" s="6" t="s">
        <v>509</v>
      </c>
      <c r="D327" s="6" t="s">
        <v>409</v>
      </c>
      <c r="E327" s="6" t="s">
        <v>409</v>
      </c>
      <c r="F327">
        <v>13</v>
      </c>
      <c r="J327">
        <v>326</v>
      </c>
    </row>
    <row r="328" spans="1:10" customFormat="1" ht="15" x14ac:dyDescent="0.25">
      <c r="A328" s="6">
        <v>12</v>
      </c>
      <c r="B328" s="6" t="s">
        <v>505</v>
      </c>
      <c r="C328" s="6" t="s">
        <v>509</v>
      </c>
      <c r="D328" s="6" t="s">
        <v>409</v>
      </c>
      <c r="E328" s="6" t="s">
        <v>409</v>
      </c>
      <c r="F328">
        <v>14</v>
      </c>
      <c r="J328">
        <v>327</v>
      </c>
    </row>
    <row r="329" spans="1:10" customFormat="1" ht="15" x14ac:dyDescent="0.25">
      <c r="A329" s="6">
        <v>12</v>
      </c>
      <c r="B329" s="6" t="s">
        <v>505</v>
      </c>
      <c r="C329" s="6" t="s">
        <v>509</v>
      </c>
      <c r="D329" s="6" t="s">
        <v>409</v>
      </c>
      <c r="E329" s="6" t="s">
        <v>409</v>
      </c>
      <c r="F329">
        <v>15</v>
      </c>
      <c r="J329">
        <v>328</v>
      </c>
    </row>
    <row r="330" spans="1:10" customFormat="1" ht="15" x14ac:dyDescent="0.25">
      <c r="A330" s="6">
        <v>12</v>
      </c>
      <c r="B330" s="6" t="s">
        <v>505</v>
      </c>
      <c r="C330" s="6" t="s">
        <v>509</v>
      </c>
      <c r="D330" s="6" t="s">
        <v>409</v>
      </c>
      <c r="E330" s="6" t="s">
        <v>409</v>
      </c>
      <c r="F330">
        <v>16</v>
      </c>
      <c r="J330">
        <v>329</v>
      </c>
    </row>
    <row r="331" spans="1:10" customFormat="1" ht="15" x14ac:dyDescent="0.25">
      <c r="A331" s="6">
        <v>12</v>
      </c>
      <c r="B331" s="6" t="s">
        <v>505</v>
      </c>
      <c r="C331" s="6" t="s">
        <v>509</v>
      </c>
      <c r="D331" s="6" t="s">
        <v>409</v>
      </c>
      <c r="E331" s="6" t="s">
        <v>409</v>
      </c>
      <c r="F331">
        <v>17</v>
      </c>
      <c r="J331">
        <v>330</v>
      </c>
    </row>
    <row r="332" spans="1:10" customFormat="1" ht="15" x14ac:dyDescent="0.25">
      <c r="A332" s="6">
        <v>12</v>
      </c>
      <c r="B332" s="6" t="s">
        <v>505</v>
      </c>
      <c r="C332" s="6" t="s">
        <v>509</v>
      </c>
      <c r="D332" s="6" t="s">
        <v>409</v>
      </c>
      <c r="E332" s="6" t="s">
        <v>409</v>
      </c>
      <c r="F332">
        <v>18</v>
      </c>
      <c r="J332">
        <v>331</v>
      </c>
    </row>
    <row r="333" spans="1:10" customFormat="1" ht="15" x14ac:dyDescent="0.25">
      <c r="A333" s="6">
        <v>12</v>
      </c>
      <c r="B333" s="6" t="s">
        <v>505</v>
      </c>
      <c r="C333" s="6" t="s">
        <v>509</v>
      </c>
      <c r="D333" s="6" t="s">
        <v>409</v>
      </c>
      <c r="E333" s="6" t="s">
        <v>409</v>
      </c>
      <c r="F333">
        <v>19</v>
      </c>
      <c r="J333">
        <v>332</v>
      </c>
    </row>
    <row r="334" spans="1:10" customFormat="1" ht="15" x14ac:dyDescent="0.25">
      <c r="A334" s="6">
        <v>12</v>
      </c>
      <c r="B334" s="6" t="s">
        <v>505</v>
      </c>
      <c r="C334" s="6" t="s">
        <v>509</v>
      </c>
      <c r="D334" s="6" t="s">
        <v>409</v>
      </c>
      <c r="E334" s="6" t="s">
        <v>409</v>
      </c>
      <c r="F334">
        <v>20</v>
      </c>
      <c r="J334">
        <v>333</v>
      </c>
    </row>
    <row r="335" spans="1:10" customFormat="1" ht="15" x14ac:dyDescent="0.25">
      <c r="A335" s="6">
        <v>12</v>
      </c>
      <c r="B335" s="6" t="s">
        <v>505</v>
      </c>
      <c r="C335" s="6" t="s">
        <v>509</v>
      </c>
      <c r="D335" s="6" t="s">
        <v>409</v>
      </c>
      <c r="E335" s="6" t="s">
        <v>409</v>
      </c>
      <c r="F335">
        <v>21</v>
      </c>
      <c r="J335">
        <v>334</v>
      </c>
    </row>
    <row r="336" spans="1:10" customFormat="1" ht="15" x14ac:dyDescent="0.25">
      <c r="A336" s="6">
        <v>12</v>
      </c>
      <c r="B336" s="6" t="s">
        <v>505</v>
      </c>
      <c r="C336" s="6" t="s">
        <v>509</v>
      </c>
      <c r="D336" s="6" t="s">
        <v>409</v>
      </c>
      <c r="E336" s="6" t="s">
        <v>409</v>
      </c>
      <c r="F336">
        <v>22</v>
      </c>
      <c r="J336">
        <v>335</v>
      </c>
    </row>
    <row r="337" spans="1:10" customFormat="1" ht="15" x14ac:dyDescent="0.25">
      <c r="A337" s="6">
        <v>12</v>
      </c>
      <c r="B337" s="6" t="s">
        <v>505</v>
      </c>
      <c r="C337" s="6" t="s">
        <v>509</v>
      </c>
      <c r="D337" s="6" t="s">
        <v>409</v>
      </c>
      <c r="E337" s="6" t="s">
        <v>409</v>
      </c>
      <c r="F337">
        <v>23</v>
      </c>
      <c r="J337">
        <v>336</v>
      </c>
    </row>
    <row r="338" spans="1:10" customFormat="1" ht="15" x14ac:dyDescent="0.25">
      <c r="A338" s="6">
        <v>12</v>
      </c>
      <c r="B338" s="6" t="s">
        <v>505</v>
      </c>
      <c r="C338" s="6" t="s">
        <v>509</v>
      </c>
      <c r="D338" s="6" t="s">
        <v>409</v>
      </c>
      <c r="E338" s="6" t="s">
        <v>409</v>
      </c>
      <c r="F338">
        <v>24</v>
      </c>
      <c r="J338">
        <v>337</v>
      </c>
    </row>
    <row r="339" spans="1:10" customFormat="1" thickBot="1" x14ac:dyDescent="0.3">
      <c r="A339" s="6">
        <v>12</v>
      </c>
      <c r="B339" s="6" t="s">
        <v>505</v>
      </c>
      <c r="C339" s="6" t="s">
        <v>509</v>
      </c>
      <c r="D339" s="16" t="s">
        <v>409</v>
      </c>
      <c r="E339" s="16" t="s">
        <v>409</v>
      </c>
      <c r="F339" s="17">
        <v>25</v>
      </c>
      <c r="G339" s="17"/>
      <c r="H339" s="17"/>
      <c r="I339" s="17">
        <v>25</v>
      </c>
      <c r="J339">
        <v>338</v>
      </c>
    </row>
    <row r="340" spans="1:10" customFormat="1" thickTop="1" x14ac:dyDescent="0.25">
      <c r="A340" s="6">
        <v>13</v>
      </c>
      <c r="B340" s="6" t="s">
        <v>505</v>
      </c>
      <c r="C340" s="6" t="s">
        <v>509</v>
      </c>
      <c r="D340" s="6" t="s">
        <v>411</v>
      </c>
      <c r="E340" s="6" t="s">
        <v>412</v>
      </c>
      <c r="F340">
        <v>1</v>
      </c>
      <c r="J340">
        <v>339</v>
      </c>
    </row>
    <row r="341" spans="1:10" customFormat="1" ht="15" x14ac:dyDescent="0.25">
      <c r="A341" s="6">
        <v>13</v>
      </c>
      <c r="B341" s="6" t="s">
        <v>505</v>
      </c>
      <c r="C341" s="6" t="s">
        <v>509</v>
      </c>
      <c r="D341" s="6" t="s">
        <v>411</v>
      </c>
      <c r="E341" s="6" t="s">
        <v>412</v>
      </c>
      <c r="F341">
        <v>2</v>
      </c>
      <c r="J341">
        <v>340</v>
      </c>
    </row>
    <row r="342" spans="1:10" customFormat="1" ht="15" x14ac:dyDescent="0.25">
      <c r="A342" s="6">
        <v>13</v>
      </c>
      <c r="B342" s="6" t="s">
        <v>505</v>
      </c>
      <c r="C342" s="6" t="s">
        <v>509</v>
      </c>
      <c r="D342" s="6" t="s">
        <v>411</v>
      </c>
      <c r="E342" s="6" t="s">
        <v>412</v>
      </c>
      <c r="F342">
        <v>3</v>
      </c>
      <c r="J342">
        <v>341</v>
      </c>
    </row>
    <row r="343" spans="1:10" customFormat="1" ht="15" x14ac:dyDescent="0.25">
      <c r="A343" s="6">
        <v>13</v>
      </c>
      <c r="B343" s="6" t="s">
        <v>505</v>
      </c>
      <c r="C343" s="6" t="s">
        <v>509</v>
      </c>
      <c r="D343" s="6" t="s">
        <v>411</v>
      </c>
      <c r="E343" s="6" t="s">
        <v>412</v>
      </c>
      <c r="F343">
        <v>4</v>
      </c>
      <c r="J343">
        <v>342</v>
      </c>
    </row>
    <row r="344" spans="1:10" customFormat="1" ht="15" x14ac:dyDescent="0.25">
      <c r="A344" s="6">
        <v>13</v>
      </c>
      <c r="B344" s="6" t="s">
        <v>505</v>
      </c>
      <c r="C344" s="6" t="s">
        <v>509</v>
      </c>
      <c r="D344" s="6" t="s">
        <v>411</v>
      </c>
      <c r="E344" s="6" t="s">
        <v>412</v>
      </c>
      <c r="F344">
        <v>5</v>
      </c>
      <c r="J344">
        <v>343</v>
      </c>
    </row>
    <row r="345" spans="1:10" customFormat="1" ht="15" x14ac:dyDescent="0.25">
      <c r="A345" s="6">
        <v>13</v>
      </c>
      <c r="B345" s="6" t="s">
        <v>505</v>
      </c>
      <c r="C345" s="6" t="s">
        <v>509</v>
      </c>
      <c r="D345" s="6" t="s">
        <v>411</v>
      </c>
      <c r="E345" s="6" t="s">
        <v>412</v>
      </c>
      <c r="F345">
        <v>6</v>
      </c>
      <c r="J345">
        <v>344</v>
      </c>
    </row>
    <row r="346" spans="1:10" customFormat="1" ht="15" x14ac:dyDescent="0.25">
      <c r="A346" s="6">
        <v>13</v>
      </c>
      <c r="B346" s="6" t="s">
        <v>505</v>
      </c>
      <c r="C346" s="6" t="s">
        <v>509</v>
      </c>
      <c r="D346" s="6" t="s">
        <v>411</v>
      </c>
      <c r="E346" s="6" t="s">
        <v>412</v>
      </c>
      <c r="F346">
        <v>7</v>
      </c>
      <c r="J346">
        <v>345</v>
      </c>
    </row>
    <row r="347" spans="1:10" customFormat="1" ht="15" x14ac:dyDescent="0.25">
      <c r="A347" s="6">
        <v>13</v>
      </c>
      <c r="B347" s="6" t="s">
        <v>505</v>
      </c>
      <c r="C347" s="6" t="s">
        <v>509</v>
      </c>
      <c r="D347" s="6" t="s">
        <v>411</v>
      </c>
      <c r="E347" s="6" t="s">
        <v>412</v>
      </c>
      <c r="F347">
        <v>8</v>
      </c>
      <c r="J347">
        <v>346</v>
      </c>
    </row>
    <row r="348" spans="1:10" customFormat="1" ht="15" x14ac:dyDescent="0.25">
      <c r="A348" s="6">
        <v>13</v>
      </c>
      <c r="B348" s="6" t="s">
        <v>505</v>
      </c>
      <c r="C348" s="6" t="s">
        <v>509</v>
      </c>
      <c r="D348" s="6" t="s">
        <v>411</v>
      </c>
      <c r="E348" s="6" t="s">
        <v>412</v>
      </c>
      <c r="F348">
        <v>9</v>
      </c>
      <c r="J348">
        <v>347</v>
      </c>
    </row>
    <row r="349" spans="1:10" customFormat="1" ht="15" x14ac:dyDescent="0.25">
      <c r="A349" s="6">
        <v>13</v>
      </c>
      <c r="B349" s="6" t="s">
        <v>505</v>
      </c>
      <c r="C349" s="6" t="s">
        <v>509</v>
      </c>
      <c r="D349" s="6" t="s">
        <v>411</v>
      </c>
      <c r="E349" s="6" t="s">
        <v>412</v>
      </c>
      <c r="F349">
        <v>10</v>
      </c>
      <c r="J349">
        <v>348</v>
      </c>
    </row>
    <row r="350" spans="1:10" customFormat="1" ht="15" x14ac:dyDescent="0.25">
      <c r="A350" s="6">
        <v>13</v>
      </c>
      <c r="B350" s="6" t="s">
        <v>505</v>
      </c>
      <c r="C350" s="6" t="s">
        <v>509</v>
      </c>
      <c r="D350" s="6" t="s">
        <v>411</v>
      </c>
      <c r="E350" s="6" t="s">
        <v>412</v>
      </c>
      <c r="F350">
        <v>11</v>
      </c>
      <c r="J350">
        <v>349</v>
      </c>
    </row>
    <row r="351" spans="1:10" customFormat="1" ht="15" x14ac:dyDescent="0.25">
      <c r="A351" s="6">
        <v>13</v>
      </c>
      <c r="B351" s="6" t="s">
        <v>505</v>
      </c>
      <c r="C351" s="6" t="s">
        <v>509</v>
      </c>
      <c r="D351" s="6" t="s">
        <v>411</v>
      </c>
      <c r="E351" s="6" t="s">
        <v>412</v>
      </c>
      <c r="F351">
        <v>12</v>
      </c>
      <c r="J351">
        <v>350</v>
      </c>
    </row>
    <row r="352" spans="1:10" customFormat="1" ht="15" x14ac:dyDescent="0.25">
      <c r="A352" s="6">
        <v>13</v>
      </c>
      <c r="B352" s="6" t="s">
        <v>505</v>
      </c>
      <c r="C352" s="6" t="s">
        <v>509</v>
      </c>
      <c r="D352" s="6" t="s">
        <v>411</v>
      </c>
      <c r="E352" s="6" t="s">
        <v>412</v>
      </c>
      <c r="F352">
        <v>13</v>
      </c>
      <c r="J352">
        <v>351</v>
      </c>
    </row>
    <row r="353" spans="1:10" customFormat="1" ht="15" x14ac:dyDescent="0.25">
      <c r="A353" s="6">
        <v>13</v>
      </c>
      <c r="B353" s="6" t="s">
        <v>505</v>
      </c>
      <c r="C353" s="6" t="s">
        <v>509</v>
      </c>
      <c r="D353" s="6" t="s">
        <v>411</v>
      </c>
      <c r="E353" s="6" t="s">
        <v>412</v>
      </c>
      <c r="F353">
        <v>14</v>
      </c>
      <c r="J353">
        <v>352</v>
      </c>
    </row>
    <row r="354" spans="1:10" customFormat="1" ht="15" x14ac:dyDescent="0.25">
      <c r="A354" s="6">
        <v>13</v>
      </c>
      <c r="B354" s="6" t="s">
        <v>505</v>
      </c>
      <c r="C354" s="6" t="s">
        <v>509</v>
      </c>
      <c r="D354" s="6" t="s">
        <v>411</v>
      </c>
      <c r="E354" s="6" t="s">
        <v>412</v>
      </c>
      <c r="F354">
        <v>15</v>
      </c>
      <c r="J354">
        <v>353</v>
      </c>
    </row>
    <row r="355" spans="1:10" customFormat="1" ht="15" x14ac:dyDescent="0.25">
      <c r="A355" s="6">
        <v>13</v>
      </c>
      <c r="B355" s="6" t="s">
        <v>505</v>
      </c>
      <c r="C355" s="6" t="s">
        <v>509</v>
      </c>
      <c r="D355" s="6" t="s">
        <v>411</v>
      </c>
      <c r="E355" s="6" t="s">
        <v>412</v>
      </c>
      <c r="F355">
        <v>16</v>
      </c>
      <c r="J355">
        <v>354</v>
      </c>
    </row>
    <row r="356" spans="1:10" customFormat="1" ht="15" x14ac:dyDescent="0.25">
      <c r="A356" s="6">
        <v>13</v>
      </c>
      <c r="B356" s="6" t="s">
        <v>505</v>
      </c>
      <c r="C356" s="6" t="s">
        <v>509</v>
      </c>
      <c r="D356" s="6" t="s">
        <v>411</v>
      </c>
      <c r="E356" s="6" t="s">
        <v>412</v>
      </c>
      <c r="F356">
        <v>17</v>
      </c>
      <c r="J356">
        <v>355</v>
      </c>
    </row>
    <row r="357" spans="1:10" customFormat="1" ht="15" x14ac:dyDescent="0.25">
      <c r="A357" s="6">
        <v>13</v>
      </c>
      <c r="B357" s="6" t="s">
        <v>505</v>
      </c>
      <c r="C357" s="6" t="s">
        <v>509</v>
      </c>
      <c r="D357" s="6" t="s">
        <v>411</v>
      </c>
      <c r="E357" s="6" t="s">
        <v>412</v>
      </c>
      <c r="F357">
        <v>18</v>
      </c>
      <c r="J357">
        <v>356</v>
      </c>
    </row>
    <row r="358" spans="1:10" customFormat="1" ht="15" x14ac:dyDescent="0.25">
      <c r="A358" s="6">
        <v>13</v>
      </c>
      <c r="B358" s="6" t="s">
        <v>505</v>
      </c>
      <c r="C358" s="6" t="s">
        <v>509</v>
      </c>
      <c r="D358" s="6" t="s">
        <v>411</v>
      </c>
      <c r="E358" s="6" t="s">
        <v>412</v>
      </c>
      <c r="F358">
        <v>19</v>
      </c>
      <c r="J358">
        <v>357</v>
      </c>
    </row>
    <row r="359" spans="1:10" customFormat="1" ht="15" x14ac:dyDescent="0.25">
      <c r="A359" s="6">
        <v>13</v>
      </c>
      <c r="B359" s="6" t="s">
        <v>505</v>
      </c>
      <c r="C359" s="6" t="s">
        <v>509</v>
      </c>
      <c r="D359" s="6" t="s">
        <v>411</v>
      </c>
      <c r="E359" s="6" t="s">
        <v>412</v>
      </c>
      <c r="F359">
        <v>20</v>
      </c>
      <c r="J359">
        <v>358</v>
      </c>
    </row>
    <row r="360" spans="1:10" customFormat="1" ht="15" x14ac:dyDescent="0.25">
      <c r="A360" s="6">
        <v>13</v>
      </c>
      <c r="B360" s="6" t="s">
        <v>505</v>
      </c>
      <c r="C360" s="6" t="s">
        <v>509</v>
      </c>
      <c r="D360" s="6" t="s">
        <v>411</v>
      </c>
      <c r="E360" s="6" t="s">
        <v>412</v>
      </c>
      <c r="F360">
        <v>21</v>
      </c>
      <c r="J360">
        <v>359</v>
      </c>
    </row>
    <row r="361" spans="1:10" customFormat="1" ht="15" x14ac:dyDescent="0.25">
      <c r="A361" s="6">
        <v>13</v>
      </c>
      <c r="B361" s="6" t="s">
        <v>505</v>
      </c>
      <c r="C361" s="6" t="s">
        <v>509</v>
      </c>
      <c r="D361" s="6" t="s">
        <v>411</v>
      </c>
      <c r="E361" s="6" t="s">
        <v>412</v>
      </c>
      <c r="F361">
        <v>22</v>
      </c>
      <c r="J361">
        <v>360</v>
      </c>
    </row>
    <row r="362" spans="1:10" customFormat="1" ht="15" x14ac:dyDescent="0.25">
      <c r="A362" s="6">
        <v>13</v>
      </c>
      <c r="B362" s="6" t="s">
        <v>505</v>
      </c>
      <c r="C362" s="6" t="s">
        <v>509</v>
      </c>
      <c r="D362" s="6" t="s">
        <v>411</v>
      </c>
      <c r="E362" s="6" t="s">
        <v>412</v>
      </c>
      <c r="F362">
        <v>23</v>
      </c>
      <c r="J362">
        <v>361</v>
      </c>
    </row>
    <row r="363" spans="1:10" customFormat="1" ht="15" x14ac:dyDescent="0.25">
      <c r="A363" s="6">
        <v>13</v>
      </c>
      <c r="B363" s="6" t="s">
        <v>505</v>
      </c>
      <c r="C363" s="6" t="s">
        <v>509</v>
      </c>
      <c r="D363" s="6" t="s">
        <v>411</v>
      </c>
      <c r="E363" s="6" t="s">
        <v>412</v>
      </c>
      <c r="F363">
        <v>24</v>
      </c>
      <c r="J363">
        <v>362</v>
      </c>
    </row>
    <row r="364" spans="1:10" customFormat="1" ht="15" x14ac:dyDescent="0.25">
      <c r="A364" s="6">
        <v>13</v>
      </c>
      <c r="B364" s="6" t="s">
        <v>505</v>
      </c>
      <c r="C364" s="6" t="s">
        <v>509</v>
      </c>
      <c r="D364" s="6" t="s">
        <v>411</v>
      </c>
      <c r="E364" s="6" t="s">
        <v>412</v>
      </c>
      <c r="F364">
        <v>25</v>
      </c>
      <c r="J364">
        <v>363</v>
      </c>
    </row>
    <row r="365" spans="1:10" customFormat="1" ht="15" x14ac:dyDescent="0.25">
      <c r="A365" s="6">
        <v>13</v>
      </c>
      <c r="B365" s="6" t="s">
        <v>505</v>
      </c>
      <c r="C365" s="6" t="s">
        <v>509</v>
      </c>
      <c r="D365" s="6" t="s">
        <v>411</v>
      </c>
      <c r="E365" s="6" t="s">
        <v>412</v>
      </c>
      <c r="F365">
        <v>26</v>
      </c>
      <c r="J365">
        <v>364</v>
      </c>
    </row>
    <row r="366" spans="1:10" customFormat="1" ht="15" x14ac:dyDescent="0.25">
      <c r="A366" s="6">
        <v>13</v>
      </c>
      <c r="B366" s="6" t="s">
        <v>505</v>
      </c>
      <c r="C366" s="6" t="s">
        <v>509</v>
      </c>
      <c r="D366" s="6" t="s">
        <v>411</v>
      </c>
      <c r="E366" s="6" t="s">
        <v>412</v>
      </c>
      <c r="F366">
        <v>27</v>
      </c>
      <c r="J366">
        <v>365</v>
      </c>
    </row>
    <row r="367" spans="1:10" customFormat="1" ht="15" x14ac:dyDescent="0.25">
      <c r="A367" s="6">
        <v>13</v>
      </c>
      <c r="B367" s="6" t="s">
        <v>505</v>
      </c>
      <c r="C367" s="6" t="s">
        <v>509</v>
      </c>
      <c r="D367" s="6" t="s">
        <v>411</v>
      </c>
      <c r="E367" s="6" t="s">
        <v>412</v>
      </c>
      <c r="F367">
        <v>28</v>
      </c>
      <c r="J367">
        <v>366</v>
      </c>
    </row>
    <row r="368" spans="1:10" customFormat="1" thickBot="1" x14ac:dyDescent="0.3">
      <c r="A368" s="6">
        <v>13</v>
      </c>
      <c r="B368" s="6" t="s">
        <v>505</v>
      </c>
      <c r="C368" s="6" t="s">
        <v>509</v>
      </c>
      <c r="D368" s="16" t="s">
        <v>411</v>
      </c>
      <c r="E368" s="16" t="s">
        <v>412</v>
      </c>
      <c r="F368" s="17">
        <v>29</v>
      </c>
      <c r="G368" s="17"/>
      <c r="H368" s="17"/>
      <c r="I368" s="17">
        <v>29</v>
      </c>
      <c r="J368">
        <v>367</v>
      </c>
    </row>
    <row r="369" spans="1:10" customFormat="1" thickTop="1" x14ac:dyDescent="0.25">
      <c r="A369" s="6">
        <v>14</v>
      </c>
      <c r="B369" s="6" t="s">
        <v>505</v>
      </c>
      <c r="C369" s="6" t="s">
        <v>509</v>
      </c>
      <c r="D369" s="6" t="s">
        <v>415</v>
      </c>
      <c r="E369" s="6" t="s">
        <v>416</v>
      </c>
      <c r="F369">
        <v>1</v>
      </c>
      <c r="J369">
        <v>368</v>
      </c>
    </row>
    <row r="370" spans="1:10" customFormat="1" ht="15" x14ac:dyDescent="0.25">
      <c r="A370" s="6">
        <v>14</v>
      </c>
      <c r="B370" s="6" t="s">
        <v>505</v>
      </c>
      <c r="C370" s="6" t="s">
        <v>509</v>
      </c>
      <c r="D370" s="6" t="s">
        <v>415</v>
      </c>
      <c r="E370" s="6" t="s">
        <v>416</v>
      </c>
      <c r="F370">
        <v>2</v>
      </c>
      <c r="J370">
        <v>369</v>
      </c>
    </row>
    <row r="371" spans="1:10" customFormat="1" ht="15" x14ac:dyDescent="0.25">
      <c r="A371" s="6">
        <v>14</v>
      </c>
      <c r="B371" s="6" t="s">
        <v>505</v>
      </c>
      <c r="C371" s="6" t="s">
        <v>509</v>
      </c>
      <c r="D371" s="6" t="s">
        <v>415</v>
      </c>
      <c r="E371" s="6" t="s">
        <v>416</v>
      </c>
      <c r="F371">
        <v>3</v>
      </c>
      <c r="J371">
        <v>370</v>
      </c>
    </row>
    <row r="372" spans="1:10" customFormat="1" ht="15" x14ac:dyDescent="0.25">
      <c r="A372" s="6">
        <v>14</v>
      </c>
      <c r="B372" s="6" t="s">
        <v>505</v>
      </c>
      <c r="C372" s="6" t="s">
        <v>509</v>
      </c>
      <c r="D372" s="6" t="s">
        <v>415</v>
      </c>
      <c r="E372" s="6" t="s">
        <v>416</v>
      </c>
      <c r="F372">
        <v>4</v>
      </c>
      <c r="J372">
        <v>371</v>
      </c>
    </row>
    <row r="373" spans="1:10" customFormat="1" ht="15" x14ac:dyDescent="0.25">
      <c r="A373" s="6">
        <v>14</v>
      </c>
      <c r="B373" s="6" t="s">
        <v>505</v>
      </c>
      <c r="C373" s="6" t="s">
        <v>509</v>
      </c>
      <c r="D373" s="6" t="s">
        <v>415</v>
      </c>
      <c r="E373" s="6" t="s">
        <v>416</v>
      </c>
      <c r="F373">
        <v>5</v>
      </c>
      <c r="J373">
        <v>372</v>
      </c>
    </row>
    <row r="374" spans="1:10" customFormat="1" ht="15" x14ac:dyDescent="0.25">
      <c r="A374" s="6">
        <v>14</v>
      </c>
      <c r="B374" s="6" t="s">
        <v>505</v>
      </c>
      <c r="C374" s="6" t="s">
        <v>509</v>
      </c>
      <c r="D374" s="6" t="s">
        <v>415</v>
      </c>
      <c r="E374" s="6" t="s">
        <v>416</v>
      </c>
      <c r="F374">
        <v>6</v>
      </c>
      <c r="J374">
        <v>373</v>
      </c>
    </row>
    <row r="375" spans="1:10" customFormat="1" ht="15" x14ac:dyDescent="0.25">
      <c r="A375" s="6">
        <v>14</v>
      </c>
      <c r="B375" s="6" t="s">
        <v>505</v>
      </c>
      <c r="C375" s="6" t="s">
        <v>509</v>
      </c>
      <c r="D375" s="6" t="s">
        <v>415</v>
      </c>
      <c r="E375" s="6" t="s">
        <v>416</v>
      </c>
      <c r="F375">
        <v>7</v>
      </c>
      <c r="J375">
        <v>374</v>
      </c>
    </row>
    <row r="376" spans="1:10" customFormat="1" ht="15" x14ac:dyDescent="0.25">
      <c r="A376" s="6">
        <v>14</v>
      </c>
      <c r="B376" s="6" t="s">
        <v>505</v>
      </c>
      <c r="C376" s="6" t="s">
        <v>509</v>
      </c>
      <c r="D376" s="6" t="s">
        <v>415</v>
      </c>
      <c r="E376" s="6" t="s">
        <v>416</v>
      </c>
      <c r="F376">
        <v>8</v>
      </c>
      <c r="J376">
        <v>375</v>
      </c>
    </row>
    <row r="377" spans="1:10" customFormat="1" ht="15" x14ac:dyDescent="0.25">
      <c r="A377" s="6">
        <v>14</v>
      </c>
      <c r="B377" s="6" t="s">
        <v>505</v>
      </c>
      <c r="C377" s="6" t="s">
        <v>509</v>
      </c>
      <c r="D377" s="6" t="s">
        <v>415</v>
      </c>
      <c r="E377" s="6" t="s">
        <v>416</v>
      </c>
      <c r="F377">
        <v>9</v>
      </c>
      <c r="J377">
        <v>376</v>
      </c>
    </row>
    <row r="378" spans="1:10" customFormat="1" ht="15" x14ac:dyDescent="0.25">
      <c r="A378" s="6">
        <v>14</v>
      </c>
      <c r="B378" s="6" t="s">
        <v>505</v>
      </c>
      <c r="C378" s="6" t="s">
        <v>509</v>
      </c>
      <c r="D378" s="6" t="s">
        <v>415</v>
      </c>
      <c r="E378" s="6" t="s">
        <v>416</v>
      </c>
      <c r="F378">
        <v>10</v>
      </c>
      <c r="J378">
        <v>377</v>
      </c>
    </row>
    <row r="379" spans="1:10" customFormat="1" ht="15" x14ac:dyDescent="0.25">
      <c r="A379" s="6">
        <v>14</v>
      </c>
      <c r="B379" s="6" t="s">
        <v>505</v>
      </c>
      <c r="C379" s="6" t="s">
        <v>509</v>
      </c>
      <c r="D379" s="6" t="s">
        <v>415</v>
      </c>
      <c r="E379" s="6" t="s">
        <v>416</v>
      </c>
      <c r="F379">
        <v>11</v>
      </c>
      <c r="J379">
        <v>378</v>
      </c>
    </row>
    <row r="380" spans="1:10" customFormat="1" ht="15" x14ac:dyDescent="0.25">
      <c r="A380" s="6">
        <v>14</v>
      </c>
      <c r="B380" s="6" t="s">
        <v>505</v>
      </c>
      <c r="C380" s="6" t="s">
        <v>509</v>
      </c>
      <c r="D380" s="6" t="s">
        <v>415</v>
      </c>
      <c r="E380" s="6" t="s">
        <v>416</v>
      </c>
      <c r="F380">
        <v>12</v>
      </c>
      <c r="J380">
        <v>379</v>
      </c>
    </row>
    <row r="381" spans="1:10" customFormat="1" ht="15" x14ac:dyDescent="0.25">
      <c r="A381" s="6">
        <v>14</v>
      </c>
      <c r="B381" s="6" t="s">
        <v>505</v>
      </c>
      <c r="C381" s="6" t="s">
        <v>509</v>
      </c>
      <c r="D381" s="6" t="s">
        <v>415</v>
      </c>
      <c r="E381" s="6" t="s">
        <v>416</v>
      </c>
      <c r="F381">
        <v>13</v>
      </c>
      <c r="J381">
        <v>380</v>
      </c>
    </row>
    <row r="382" spans="1:10" customFormat="1" ht="15" x14ac:dyDescent="0.25">
      <c r="A382" s="6">
        <v>14</v>
      </c>
      <c r="B382" s="6" t="s">
        <v>505</v>
      </c>
      <c r="C382" s="6" t="s">
        <v>509</v>
      </c>
      <c r="D382" s="6" t="s">
        <v>415</v>
      </c>
      <c r="E382" s="6" t="s">
        <v>416</v>
      </c>
      <c r="F382">
        <v>14</v>
      </c>
      <c r="J382">
        <v>381</v>
      </c>
    </row>
    <row r="383" spans="1:10" customFormat="1" ht="15" x14ac:dyDescent="0.25">
      <c r="A383" s="6">
        <v>14</v>
      </c>
      <c r="B383" s="6" t="s">
        <v>505</v>
      </c>
      <c r="C383" s="6" t="s">
        <v>509</v>
      </c>
      <c r="D383" s="6" t="s">
        <v>415</v>
      </c>
      <c r="E383" s="6" t="s">
        <v>416</v>
      </c>
      <c r="F383">
        <v>15</v>
      </c>
      <c r="J383">
        <v>382</v>
      </c>
    </row>
    <row r="384" spans="1:10" customFormat="1" ht="15" x14ac:dyDescent="0.25">
      <c r="A384" s="6">
        <v>14</v>
      </c>
      <c r="B384" s="6" t="s">
        <v>505</v>
      </c>
      <c r="C384" s="6" t="s">
        <v>509</v>
      </c>
      <c r="D384" s="6" t="s">
        <v>415</v>
      </c>
      <c r="E384" s="6" t="s">
        <v>416</v>
      </c>
      <c r="F384">
        <v>16</v>
      </c>
      <c r="J384">
        <v>383</v>
      </c>
    </row>
    <row r="385" spans="1:10" customFormat="1" ht="15" x14ac:dyDescent="0.25">
      <c r="A385" s="6">
        <v>14</v>
      </c>
      <c r="B385" s="6" t="s">
        <v>505</v>
      </c>
      <c r="C385" s="6" t="s">
        <v>509</v>
      </c>
      <c r="D385" s="6" t="s">
        <v>415</v>
      </c>
      <c r="E385" s="6" t="s">
        <v>416</v>
      </c>
      <c r="F385">
        <v>17</v>
      </c>
      <c r="J385">
        <v>384</v>
      </c>
    </row>
    <row r="386" spans="1:10" customFormat="1" ht="15" x14ac:dyDescent="0.25">
      <c r="A386" s="6">
        <v>14</v>
      </c>
      <c r="B386" s="6" t="s">
        <v>505</v>
      </c>
      <c r="C386" s="6" t="s">
        <v>509</v>
      </c>
      <c r="D386" s="6" t="s">
        <v>415</v>
      </c>
      <c r="E386" s="6" t="s">
        <v>416</v>
      </c>
      <c r="F386">
        <v>18</v>
      </c>
      <c r="J386">
        <v>385</v>
      </c>
    </row>
    <row r="387" spans="1:10" customFormat="1" ht="15" x14ac:dyDescent="0.25">
      <c r="A387" s="6">
        <v>14</v>
      </c>
      <c r="B387" s="6" t="s">
        <v>505</v>
      </c>
      <c r="C387" s="6" t="s">
        <v>509</v>
      </c>
      <c r="D387" s="6" t="s">
        <v>415</v>
      </c>
      <c r="E387" s="6" t="s">
        <v>416</v>
      </c>
      <c r="F387">
        <v>19</v>
      </c>
      <c r="J387">
        <v>386</v>
      </c>
    </row>
    <row r="388" spans="1:10" customFormat="1" ht="15" x14ac:dyDescent="0.25">
      <c r="A388" s="6">
        <v>14</v>
      </c>
      <c r="B388" s="6" t="s">
        <v>505</v>
      </c>
      <c r="C388" s="6" t="s">
        <v>509</v>
      </c>
      <c r="D388" s="6" t="s">
        <v>415</v>
      </c>
      <c r="E388" s="6" t="s">
        <v>416</v>
      </c>
      <c r="F388">
        <v>20</v>
      </c>
      <c r="J388">
        <v>387</v>
      </c>
    </row>
    <row r="389" spans="1:10" customFormat="1" ht="15" x14ac:dyDescent="0.25">
      <c r="A389" s="6">
        <v>14</v>
      </c>
      <c r="B389" s="6" t="s">
        <v>505</v>
      </c>
      <c r="C389" s="6" t="s">
        <v>509</v>
      </c>
      <c r="D389" s="6" t="s">
        <v>415</v>
      </c>
      <c r="E389" s="6" t="s">
        <v>416</v>
      </c>
      <c r="F389">
        <v>21</v>
      </c>
      <c r="J389">
        <v>388</v>
      </c>
    </row>
    <row r="390" spans="1:10" customFormat="1" ht="15" x14ac:dyDescent="0.25">
      <c r="A390" s="6">
        <v>14</v>
      </c>
      <c r="B390" s="6" t="s">
        <v>505</v>
      </c>
      <c r="C390" s="6" t="s">
        <v>509</v>
      </c>
      <c r="D390" s="6" t="s">
        <v>415</v>
      </c>
      <c r="E390" s="6" t="s">
        <v>416</v>
      </c>
      <c r="F390">
        <v>22</v>
      </c>
      <c r="J390">
        <v>389</v>
      </c>
    </row>
    <row r="391" spans="1:10" customFormat="1" ht="15" x14ac:dyDescent="0.25">
      <c r="A391" s="6">
        <v>14</v>
      </c>
      <c r="B391" s="6" t="s">
        <v>505</v>
      </c>
      <c r="C391" s="6" t="s">
        <v>509</v>
      </c>
      <c r="D391" s="6" t="s">
        <v>415</v>
      </c>
      <c r="E391" s="6" t="s">
        <v>416</v>
      </c>
      <c r="F391">
        <v>23</v>
      </c>
      <c r="J391">
        <v>390</v>
      </c>
    </row>
    <row r="392" spans="1:10" customFormat="1" ht="15" x14ac:dyDescent="0.25">
      <c r="A392" s="6">
        <v>14</v>
      </c>
      <c r="B392" s="6" t="s">
        <v>505</v>
      </c>
      <c r="C392" s="6" t="s">
        <v>509</v>
      </c>
      <c r="D392" s="6" t="s">
        <v>415</v>
      </c>
      <c r="E392" s="6" t="s">
        <v>416</v>
      </c>
      <c r="F392">
        <v>24</v>
      </c>
      <c r="J392">
        <v>391</v>
      </c>
    </row>
    <row r="393" spans="1:10" customFormat="1" ht="15" x14ac:dyDescent="0.25">
      <c r="A393" s="6">
        <v>14</v>
      </c>
      <c r="B393" s="6" t="s">
        <v>505</v>
      </c>
      <c r="C393" s="6" t="s">
        <v>509</v>
      </c>
      <c r="D393" s="6" t="s">
        <v>415</v>
      </c>
      <c r="E393" s="6" t="s">
        <v>416</v>
      </c>
      <c r="F393">
        <v>25</v>
      </c>
      <c r="J393">
        <v>392</v>
      </c>
    </row>
    <row r="394" spans="1:10" customFormat="1" ht="15" x14ac:dyDescent="0.25">
      <c r="A394" s="6">
        <v>14</v>
      </c>
      <c r="B394" s="6" t="s">
        <v>505</v>
      </c>
      <c r="C394" s="6" t="s">
        <v>509</v>
      </c>
      <c r="D394" s="6" t="s">
        <v>415</v>
      </c>
      <c r="E394" s="6" t="s">
        <v>416</v>
      </c>
      <c r="F394">
        <v>26</v>
      </c>
      <c r="J394">
        <v>393</v>
      </c>
    </row>
    <row r="395" spans="1:10" customFormat="1" ht="15" x14ac:dyDescent="0.25">
      <c r="A395" s="6">
        <v>14</v>
      </c>
      <c r="B395" s="6" t="s">
        <v>505</v>
      </c>
      <c r="C395" s="6" t="s">
        <v>509</v>
      </c>
      <c r="D395" s="6" t="s">
        <v>415</v>
      </c>
      <c r="E395" s="6" t="s">
        <v>416</v>
      </c>
      <c r="F395">
        <v>27</v>
      </c>
      <c r="J395">
        <v>394</v>
      </c>
    </row>
    <row r="396" spans="1:10" customFormat="1" ht="15" x14ac:dyDescent="0.25">
      <c r="A396" s="6">
        <v>14</v>
      </c>
      <c r="B396" s="6" t="s">
        <v>505</v>
      </c>
      <c r="C396" s="6" t="s">
        <v>509</v>
      </c>
      <c r="D396" s="6" t="s">
        <v>415</v>
      </c>
      <c r="E396" s="6" t="s">
        <v>416</v>
      </c>
      <c r="F396">
        <v>28</v>
      </c>
      <c r="J396">
        <v>395</v>
      </c>
    </row>
    <row r="397" spans="1:10" customFormat="1" ht="15" x14ac:dyDescent="0.25">
      <c r="A397" s="6">
        <v>14</v>
      </c>
      <c r="B397" s="6" t="s">
        <v>505</v>
      </c>
      <c r="C397" s="6" t="s">
        <v>509</v>
      </c>
      <c r="D397" s="6" t="s">
        <v>415</v>
      </c>
      <c r="E397" s="6" t="s">
        <v>416</v>
      </c>
      <c r="F397">
        <v>29</v>
      </c>
      <c r="J397">
        <v>396</v>
      </c>
    </row>
    <row r="398" spans="1:10" customFormat="1" ht="15" x14ac:dyDescent="0.25">
      <c r="A398" s="6">
        <v>14</v>
      </c>
      <c r="B398" s="6" t="s">
        <v>505</v>
      </c>
      <c r="C398" s="6" t="s">
        <v>509</v>
      </c>
      <c r="D398" s="6" t="s">
        <v>415</v>
      </c>
      <c r="E398" s="6" t="s">
        <v>416</v>
      </c>
      <c r="F398">
        <v>30</v>
      </c>
      <c r="J398">
        <v>397</v>
      </c>
    </row>
    <row r="399" spans="1:10" customFormat="1" ht="15" x14ac:dyDescent="0.25">
      <c r="A399" s="6">
        <v>14</v>
      </c>
      <c r="B399" s="6" t="s">
        <v>505</v>
      </c>
      <c r="C399" s="6" t="s">
        <v>509</v>
      </c>
      <c r="D399" s="6" t="s">
        <v>415</v>
      </c>
      <c r="E399" s="6" t="s">
        <v>416</v>
      </c>
      <c r="F399">
        <v>31</v>
      </c>
      <c r="J399">
        <v>398</v>
      </c>
    </row>
    <row r="400" spans="1:10" customFormat="1" ht="15" x14ac:dyDescent="0.25">
      <c r="A400" s="6">
        <v>14</v>
      </c>
      <c r="B400" s="6" t="s">
        <v>505</v>
      </c>
      <c r="C400" s="6" t="s">
        <v>509</v>
      </c>
      <c r="D400" s="6" t="s">
        <v>415</v>
      </c>
      <c r="E400" s="6" t="s">
        <v>416</v>
      </c>
      <c r="F400">
        <v>32</v>
      </c>
      <c r="J400">
        <v>399</v>
      </c>
    </row>
    <row r="401" spans="1:10" customFormat="1" ht="15" x14ac:dyDescent="0.25">
      <c r="A401" s="6">
        <v>14</v>
      </c>
      <c r="B401" s="6" t="s">
        <v>505</v>
      </c>
      <c r="C401" s="6" t="s">
        <v>509</v>
      </c>
      <c r="D401" s="6" t="s">
        <v>415</v>
      </c>
      <c r="E401" s="6" t="s">
        <v>416</v>
      </c>
      <c r="F401">
        <v>33</v>
      </c>
      <c r="J401">
        <v>400</v>
      </c>
    </row>
    <row r="402" spans="1:10" customFormat="1" ht="15" x14ac:dyDescent="0.25">
      <c r="A402" s="6">
        <v>14</v>
      </c>
      <c r="B402" s="6" t="s">
        <v>505</v>
      </c>
      <c r="C402" s="6" t="s">
        <v>509</v>
      </c>
      <c r="D402" s="6" t="s">
        <v>415</v>
      </c>
      <c r="E402" s="6" t="s">
        <v>416</v>
      </c>
      <c r="F402">
        <v>34</v>
      </c>
      <c r="J402">
        <v>401</v>
      </c>
    </row>
    <row r="403" spans="1:10" customFormat="1" ht="15" x14ac:dyDescent="0.25">
      <c r="A403" s="6">
        <v>14</v>
      </c>
      <c r="B403" s="6" t="s">
        <v>505</v>
      </c>
      <c r="C403" s="6" t="s">
        <v>509</v>
      </c>
      <c r="D403" s="6" t="s">
        <v>415</v>
      </c>
      <c r="E403" s="6" t="s">
        <v>416</v>
      </c>
      <c r="F403">
        <v>35</v>
      </c>
      <c r="J403">
        <v>402</v>
      </c>
    </row>
    <row r="404" spans="1:10" customFormat="1" thickBot="1" x14ac:dyDescent="0.3">
      <c r="A404" s="6">
        <v>14</v>
      </c>
      <c r="B404" s="6" t="s">
        <v>505</v>
      </c>
      <c r="C404" s="6" t="s">
        <v>509</v>
      </c>
      <c r="D404" s="16" t="s">
        <v>415</v>
      </c>
      <c r="E404" s="16" t="s">
        <v>416</v>
      </c>
      <c r="F404" s="17">
        <v>36</v>
      </c>
      <c r="G404" s="17"/>
      <c r="H404" s="17"/>
      <c r="I404" s="17">
        <v>36</v>
      </c>
      <c r="J404">
        <v>403</v>
      </c>
    </row>
    <row r="405" spans="1:10" customFormat="1" thickTop="1" x14ac:dyDescent="0.25">
      <c r="A405" s="6">
        <v>15</v>
      </c>
      <c r="B405" s="6" t="s">
        <v>505</v>
      </c>
      <c r="C405" s="6" t="s">
        <v>509</v>
      </c>
      <c r="D405" s="6" t="s">
        <v>419</v>
      </c>
      <c r="E405" s="6" t="s">
        <v>420</v>
      </c>
      <c r="F405">
        <v>1</v>
      </c>
      <c r="J405">
        <v>404</v>
      </c>
    </row>
    <row r="406" spans="1:10" customFormat="1" ht="15" x14ac:dyDescent="0.25">
      <c r="A406" s="6">
        <v>15</v>
      </c>
      <c r="B406" s="6" t="s">
        <v>505</v>
      </c>
      <c r="C406" s="6" t="s">
        <v>509</v>
      </c>
      <c r="D406" s="6" t="s">
        <v>419</v>
      </c>
      <c r="E406" s="6" t="s">
        <v>420</v>
      </c>
      <c r="F406">
        <v>2</v>
      </c>
      <c r="J406">
        <v>405</v>
      </c>
    </row>
    <row r="407" spans="1:10" customFormat="1" ht="15" x14ac:dyDescent="0.25">
      <c r="A407" s="6">
        <v>15</v>
      </c>
      <c r="B407" s="6" t="s">
        <v>505</v>
      </c>
      <c r="C407" s="6" t="s">
        <v>509</v>
      </c>
      <c r="D407" s="6" t="s">
        <v>419</v>
      </c>
      <c r="E407" s="6" t="s">
        <v>420</v>
      </c>
      <c r="F407">
        <v>3</v>
      </c>
      <c r="J407">
        <v>406</v>
      </c>
    </row>
    <row r="408" spans="1:10" customFormat="1" ht="15" x14ac:dyDescent="0.25">
      <c r="A408" s="6">
        <v>15</v>
      </c>
      <c r="B408" s="6" t="s">
        <v>505</v>
      </c>
      <c r="C408" s="6" t="s">
        <v>509</v>
      </c>
      <c r="D408" s="6" t="s">
        <v>419</v>
      </c>
      <c r="E408" s="6" t="s">
        <v>420</v>
      </c>
      <c r="F408">
        <v>4</v>
      </c>
      <c r="J408">
        <v>407</v>
      </c>
    </row>
    <row r="409" spans="1:10" customFormat="1" ht="15" x14ac:dyDescent="0.25">
      <c r="A409" s="6">
        <v>15</v>
      </c>
      <c r="B409" s="6" t="s">
        <v>505</v>
      </c>
      <c r="C409" s="6" t="s">
        <v>509</v>
      </c>
      <c r="D409" s="6" t="s">
        <v>419</v>
      </c>
      <c r="E409" s="6" t="s">
        <v>420</v>
      </c>
      <c r="F409">
        <v>5</v>
      </c>
      <c r="J409">
        <v>408</v>
      </c>
    </row>
    <row r="410" spans="1:10" customFormat="1" ht="15" x14ac:dyDescent="0.25">
      <c r="A410" s="6">
        <v>15</v>
      </c>
      <c r="B410" s="6" t="s">
        <v>505</v>
      </c>
      <c r="C410" s="6" t="s">
        <v>509</v>
      </c>
      <c r="D410" s="6" t="s">
        <v>419</v>
      </c>
      <c r="E410" s="6" t="s">
        <v>420</v>
      </c>
      <c r="F410">
        <v>6</v>
      </c>
      <c r="J410">
        <v>409</v>
      </c>
    </row>
    <row r="411" spans="1:10" customFormat="1" ht="15" x14ac:dyDescent="0.25">
      <c r="A411" s="6">
        <v>15</v>
      </c>
      <c r="B411" s="6" t="s">
        <v>505</v>
      </c>
      <c r="C411" s="6" t="s">
        <v>509</v>
      </c>
      <c r="D411" s="6" t="s">
        <v>419</v>
      </c>
      <c r="E411" s="6" t="s">
        <v>420</v>
      </c>
      <c r="F411">
        <v>7</v>
      </c>
      <c r="J411">
        <v>410</v>
      </c>
    </row>
    <row r="412" spans="1:10" customFormat="1" ht="15" x14ac:dyDescent="0.25">
      <c r="A412" s="6">
        <v>15</v>
      </c>
      <c r="B412" s="6" t="s">
        <v>505</v>
      </c>
      <c r="C412" s="6" t="s">
        <v>509</v>
      </c>
      <c r="D412" s="6" t="s">
        <v>419</v>
      </c>
      <c r="E412" s="6" t="s">
        <v>420</v>
      </c>
      <c r="F412">
        <v>8</v>
      </c>
      <c r="J412">
        <v>411</v>
      </c>
    </row>
    <row r="413" spans="1:10" customFormat="1" ht="15" x14ac:dyDescent="0.25">
      <c r="A413" s="6">
        <v>15</v>
      </c>
      <c r="B413" s="6" t="s">
        <v>505</v>
      </c>
      <c r="C413" s="6" t="s">
        <v>509</v>
      </c>
      <c r="D413" s="6" t="s">
        <v>419</v>
      </c>
      <c r="E413" s="6" t="s">
        <v>420</v>
      </c>
      <c r="F413">
        <v>9</v>
      </c>
      <c r="J413">
        <v>412</v>
      </c>
    </row>
    <row r="414" spans="1:10" customFormat="1" thickBot="1" x14ac:dyDescent="0.3">
      <c r="A414" s="6">
        <v>15</v>
      </c>
      <c r="B414" s="6" t="s">
        <v>505</v>
      </c>
      <c r="C414" s="6" t="s">
        <v>509</v>
      </c>
      <c r="D414" s="16" t="s">
        <v>419</v>
      </c>
      <c r="E414" s="16" t="s">
        <v>420</v>
      </c>
      <c r="F414" s="17">
        <v>10</v>
      </c>
      <c r="G414" s="17"/>
      <c r="H414" s="17"/>
      <c r="I414" s="17">
        <v>10</v>
      </c>
      <c r="J414">
        <v>413</v>
      </c>
    </row>
    <row r="415" spans="1:10" customFormat="1" thickTop="1" x14ac:dyDescent="0.25">
      <c r="A415" s="6">
        <v>16</v>
      </c>
      <c r="B415" s="6" t="s">
        <v>505</v>
      </c>
      <c r="C415" s="6" t="s">
        <v>509</v>
      </c>
      <c r="D415" s="6" t="s">
        <v>423</v>
      </c>
      <c r="E415" s="6" t="s">
        <v>424</v>
      </c>
      <c r="F415">
        <v>1</v>
      </c>
      <c r="J415">
        <v>414</v>
      </c>
    </row>
    <row r="416" spans="1:10" customFormat="1" ht="15" x14ac:dyDescent="0.25">
      <c r="A416" s="6">
        <v>16</v>
      </c>
      <c r="B416" s="6" t="s">
        <v>505</v>
      </c>
      <c r="C416" s="6" t="s">
        <v>509</v>
      </c>
      <c r="D416" s="6" t="s">
        <v>423</v>
      </c>
      <c r="E416" s="6" t="s">
        <v>424</v>
      </c>
      <c r="F416">
        <v>2</v>
      </c>
      <c r="J416">
        <v>415</v>
      </c>
    </row>
    <row r="417" spans="1:10" customFormat="1" ht="15" x14ac:dyDescent="0.25">
      <c r="A417" s="6">
        <v>16</v>
      </c>
      <c r="B417" s="6" t="s">
        <v>505</v>
      </c>
      <c r="C417" s="6" t="s">
        <v>509</v>
      </c>
      <c r="D417" s="6" t="s">
        <v>423</v>
      </c>
      <c r="E417" s="6" t="s">
        <v>424</v>
      </c>
      <c r="F417">
        <v>3</v>
      </c>
      <c r="J417">
        <v>416</v>
      </c>
    </row>
    <row r="418" spans="1:10" customFormat="1" ht="15" x14ac:dyDescent="0.25">
      <c r="A418" s="6">
        <v>16</v>
      </c>
      <c r="B418" s="6" t="s">
        <v>505</v>
      </c>
      <c r="C418" s="6" t="s">
        <v>509</v>
      </c>
      <c r="D418" s="6" t="s">
        <v>423</v>
      </c>
      <c r="E418" s="6" t="s">
        <v>424</v>
      </c>
      <c r="F418">
        <v>4</v>
      </c>
      <c r="J418">
        <v>417</v>
      </c>
    </row>
    <row r="419" spans="1:10" customFormat="1" ht="15" x14ac:dyDescent="0.25">
      <c r="A419" s="6">
        <v>16</v>
      </c>
      <c r="B419" s="6" t="s">
        <v>505</v>
      </c>
      <c r="C419" s="6" t="s">
        <v>509</v>
      </c>
      <c r="D419" s="6" t="s">
        <v>423</v>
      </c>
      <c r="E419" s="6" t="s">
        <v>424</v>
      </c>
      <c r="F419">
        <v>5</v>
      </c>
      <c r="J419">
        <v>418</v>
      </c>
    </row>
    <row r="420" spans="1:10" customFormat="1" ht="15" x14ac:dyDescent="0.25">
      <c r="A420" s="6">
        <v>16</v>
      </c>
      <c r="B420" s="6" t="s">
        <v>505</v>
      </c>
      <c r="C420" s="6" t="s">
        <v>509</v>
      </c>
      <c r="D420" s="6" t="s">
        <v>423</v>
      </c>
      <c r="E420" s="6" t="s">
        <v>424</v>
      </c>
      <c r="F420">
        <v>6</v>
      </c>
      <c r="J420">
        <v>419</v>
      </c>
    </row>
    <row r="421" spans="1:10" customFormat="1" ht="15" x14ac:dyDescent="0.25">
      <c r="A421" s="6">
        <v>16</v>
      </c>
      <c r="B421" s="6" t="s">
        <v>505</v>
      </c>
      <c r="C421" s="6" t="s">
        <v>509</v>
      </c>
      <c r="D421" s="6" t="s">
        <v>423</v>
      </c>
      <c r="E421" s="6" t="s">
        <v>424</v>
      </c>
      <c r="F421">
        <v>7</v>
      </c>
      <c r="J421">
        <v>420</v>
      </c>
    </row>
    <row r="422" spans="1:10" customFormat="1" ht="15" x14ac:dyDescent="0.25">
      <c r="A422" s="6">
        <v>16</v>
      </c>
      <c r="B422" s="6" t="s">
        <v>505</v>
      </c>
      <c r="C422" s="6" t="s">
        <v>509</v>
      </c>
      <c r="D422" s="6" t="s">
        <v>423</v>
      </c>
      <c r="E422" s="6" t="s">
        <v>424</v>
      </c>
      <c r="F422">
        <v>8</v>
      </c>
      <c r="J422">
        <v>421</v>
      </c>
    </row>
    <row r="423" spans="1:10" customFormat="1" ht="15" x14ac:dyDescent="0.25">
      <c r="A423" s="6">
        <v>16</v>
      </c>
      <c r="B423" s="6" t="s">
        <v>505</v>
      </c>
      <c r="C423" s="6" t="s">
        <v>509</v>
      </c>
      <c r="D423" s="6" t="s">
        <v>423</v>
      </c>
      <c r="E423" s="6" t="s">
        <v>424</v>
      </c>
      <c r="F423">
        <v>9</v>
      </c>
      <c r="J423">
        <v>422</v>
      </c>
    </row>
    <row r="424" spans="1:10" customFormat="1" ht="15" x14ac:dyDescent="0.25">
      <c r="A424" s="6">
        <v>16</v>
      </c>
      <c r="B424" s="6" t="s">
        <v>505</v>
      </c>
      <c r="C424" s="6" t="s">
        <v>509</v>
      </c>
      <c r="D424" s="6" t="s">
        <v>423</v>
      </c>
      <c r="E424" s="6" t="s">
        <v>424</v>
      </c>
      <c r="F424">
        <v>10</v>
      </c>
      <c r="J424">
        <v>423</v>
      </c>
    </row>
    <row r="425" spans="1:10" customFormat="1" ht="15" x14ac:dyDescent="0.25">
      <c r="A425" s="6">
        <v>16</v>
      </c>
      <c r="B425" s="6" t="s">
        <v>505</v>
      </c>
      <c r="C425" s="6" t="s">
        <v>509</v>
      </c>
      <c r="D425" s="6" t="s">
        <v>423</v>
      </c>
      <c r="E425" s="6" t="s">
        <v>424</v>
      </c>
      <c r="F425">
        <v>11</v>
      </c>
      <c r="J425">
        <v>424</v>
      </c>
    </row>
    <row r="426" spans="1:10" customFormat="1" ht="15" x14ac:dyDescent="0.25">
      <c r="A426" s="6">
        <v>16</v>
      </c>
      <c r="B426" s="6" t="s">
        <v>505</v>
      </c>
      <c r="C426" s="6" t="s">
        <v>509</v>
      </c>
      <c r="D426" s="6" t="s">
        <v>423</v>
      </c>
      <c r="E426" s="6" t="s">
        <v>424</v>
      </c>
      <c r="F426">
        <v>12</v>
      </c>
      <c r="J426">
        <v>425</v>
      </c>
    </row>
    <row r="427" spans="1:10" customFormat="1" thickBot="1" x14ac:dyDescent="0.3">
      <c r="A427" s="6">
        <v>16</v>
      </c>
      <c r="B427" s="6" t="s">
        <v>505</v>
      </c>
      <c r="C427" s="6" t="s">
        <v>509</v>
      </c>
      <c r="D427" s="16" t="s">
        <v>423</v>
      </c>
      <c r="E427" s="16" t="s">
        <v>424</v>
      </c>
      <c r="F427" s="17">
        <v>13</v>
      </c>
      <c r="G427" s="17"/>
      <c r="H427" s="17"/>
      <c r="I427" s="17">
        <v>13</v>
      </c>
      <c r="J427">
        <v>426</v>
      </c>
    </row>
    <row r="428" spans="1:10" customFormat="1" thickTop="1" x14ac:dyDescent="0.25">
      <c r="A428" s="6">
        <v>17</v>
      </c>
      <c r="B428" s="6" t="s">
        <v>505</v>
      </c>
      <c r="C428" s="6" t="s">
        <v>509</v>
      </c>
      <c r="D428" s="6" t="s">
        <v>427</v>
      </c>
      <c r="E428" s="6" t="s">
        <v>428</v>
      </c>
      <c r="F428">
        <v>1</v>
      </c>
      <c r="J428">
        <v>427</v>
      </c>
    </row>
    <row r="429" spans="1:10" customFormat="1" ht="15" x14ac:dyDescent="0.25">
      <c r="A429" s="6">
        <v>17</v>
      </c>
      <c r="B429" s="6" t="s">
        <v>505</v>
      </c>
      <c r="C429" s="6" t="s">
        <v>509</v>
      </c>
      <c r="D429" s="6" t="s">
        <v>427</v>
      </c>
      <c r="E429" s="6" t="s">
        <v>428</v>
      </c>
      <c r="F429">
        <v>2</v>
      </c>
      <c r="J429">
        <v>428</v>
      </c>
    </row>
    <row r="430" spans="1:10" customFormat="1" ht="15" x14ac:dyDescent="0.25">
      <c r="A430" s="6">
        <v>17</v>
      </c>
      <c r="B430" s="6" t="s">
        <v>505</v>
      </c>
      <c r="C430" s="6" t="s">
        <v>509</v>
      </c>
      <c r="D430" s="6" t="s">
        <v>427</v>
      </c>
      <c r="E430" s="6" t="s">
        <v>428</v>
      </c>
      <c r="F430">
        <v>3</v>
      </c>
      <c r="J430">
        <v>429</v>
      </c>
    </row>
    <row r="431" spans="1:10" customFormat="1" ht="15" x14ac:dyDescent="0.25">
      <c r="A431" s="6">
        <v>17</v>
      </c>
      <c r="B431" s="6" t="s">
        <v>505</v>
      </c>
      <c r="C431" s="6" t="s">
        <v>509</v>
      </c>
      <c r="D431" s="6" t="s">
        <v>427</v>
      </c>
      <c r="E431" s="6" t="s">
        <v>428</v>
      </c>
      <c r="F431">
        <v>4</v>
      </c>
      <c r="J431">
        <v>430</v>
      </c>
    </row>
    <row r="432" spans="1:10" customFormat="1" ht="15" x14ac:dyDescent="0.25">
      <c r="A432" s="6">
        <v>17</v>
      </c>
      <c r="B432" s="6" t="s">
        <v>505</v>
      </c>
      <c r="C432" s="6" t="s">
        <v>509</v>
      </c>
      <c r="D432" s="6" t="s">
        <v>427</v>
      </c>
      <c r="E432" s="6" t="s">
        <v>428</v>
      </c>
      <c r="F432">
        <v>5</v>
      </c>
      <c r="J432">
        <v>431</v>
      </c>
    </row>
    <row r="433" spans="1:10" customFormat="1" ht="15" x14ac:dyDescent="0.25">
      <c r="A433" s="6">
        <v>17</v>
      </c>
      <c r="B433" s="6" t="s">
        <v>505</v>
      </c>
      <c r="C433" s="6" t="s">
        <v>509</v>
      </c>
      <c r="D433" s="6" t="s">
        <v>427</v>
      </c>
      <c r="E433" s="6" t="s">
        <v>428</v>
      </c>
      <c r="F433">
        <v>6</v>
      </c>
      <c r="J433">
        <v>432</v>
      </c>
    </row>
    <row r="434" spans="1:10" customFormat="1" ht="15" x14ac:dyDescent="0.25">
      <c r="A434" s="6">
        <v>17</v>
      </c>
      <c r="B434" s="6" t="s">
        <v>505</v>
      </c>
      <c r="C434" s="6" t="s">
        <v>509</v>
      </c>
      <c r="D434" s="6" t="s">
        <v>427</v>
      </c>
      <c r="E434" s="6" t="s">
        <v>428</v>
      </c>
      <c r="F434">
        <v>7</v>
      </c>
      <c r="J434">
        <v>433</v>
      </c>
    </row>
    <row r="435" spans="1:10" customFormat="1" ht="15" x14ac:dyDescent="0.25">
      <c r="A435" s="6">
        <v>17</v>
      </c>
      <c r="B435" s="6" t="s">
        <v>505</v>
      </c>
      <c r="C435" s="6" t="s">
        <v>509</v>
      </c>
      <c r="D435" s="6" t="s">
        <v>427</v>
      </c>
      <c r="E435" s="6" t="s">
        <v>428</v>
      </c>
      <c r="F435">
        <v>8</v>
      </c>
      <c r="J435">
        <v>434</v>
      </c>
    </row>
    <row r="436" spans="1:10" customFormat="1" ht="15" x14ac:dyDescent="0.25">
      <c r="A436" s="6">
        <v>17</v>
      </c>
      <c r="B436" s="6" t="s">
        <v>505</v>
      </c>
      <c r="C436" s="6" t="s">
        <v>509</v>
      </c>
      <c r="D436" s="6" t="s">
        <v>427</v>
      </c>
      <c r="E436" s="6" t="s">
        <v>428</v>
      </c>
      <c r="F436">
        <v>9</v>
      </c>
      <c r="J436">
        <v>435</v>
      </c>
    </row>
    <row r="437" spans="1:10" customFormat="1" ht="15" x14ac:dyDescent="0.25">
      <c r="A437" s="6">
        <v>17</v>
      </c>
      <c r="B437" s="6" t="s">
        <v>505</v>
      </c>
      <c r="C437" s="6" t="s">
        <v>509</v>
      </c>
      <c r="D437" s="6" t="s">
        <v>427</v>
      </c>
      <c r="E437" s="6" t="s">
        <v>428</v>
      </c>
      <c r="F437">
        <v>10</v>
      </c>
      <c r="J437">
        <v>436</v>
      </c>
    </row>
    <row r="438" spans="1:10" customFormat="1" ht="15" x14ac:dyDescent="0.25">
      <c r="A438" s="6">
        <v>17</v>
      </c>
      <c r="B438" s="6" t="s">
        <v>505</v>
      </c>
      <c r="C438" s="6" t="s">
        <v>509</v>
      </c>
      <c r="D438" s="6" t="s">
        <v>427</v>
      </c>
      <c r="E438" s="6" t="s">
        <v>428</v>
      </c>
      <c r="F438">
        <v>11</v>
      </c>
      <c r="J438">
        <v>437</v>
      </c>
    </row>
    <row r="439" spans="1:10" customFormat="1" ht="15" x14ac:dyDescent="0.25">
      <c r="A439" s="6">
        <v>17</v>
      </c>
      <c r="B439" s="6" t="s">
        <v>505</v>
      </c>
      <c r="C439" s="6" t="s">
        <v>509</v>
      </c>
      <c r="D439" s="6" t="s">
        <v>427</v>
      </c>
      <c r="E439" s="6" t="s">
        <v>428</v>
      </c>
      <c r="F439">
        <v>12</v>
      </c>
      <c r="J439">
        <v>438</v>
      </c>
    </row>
    <row r="440" spans="1:10" customFormat="1" ht="15" x14ac:dyDescent="0.25">
      <c r="A440" s="6">
        <v>17</v>
      </c>
      <c r="B440" s="6" t="s">
        <v>505</v>
      </c>
      <c r="C440" s="6" t="s">
        <v>509</v>
      </c>
      <c r="D440" s="6" t="s">
        <v>427</v>
      </c>
      <c r="E440" s="6" t="s">
        <v>428</v>
      </c>
      <c r="F440">
        <v>13</v>
      </c>
      <c r="J440">
        <v>439</v>
      </c>
    </row>
    <row r="441" spans="1:10" customFormat="1" thickBot="1" x14ac:dyDescent="0.3">
      <c r="A441" s="6">
        <v>17</v>
      </c>
      <c r="B441" s="6" t="s">
        <v>505</v>
      </c>
      <c r="C441" s="6" t="s">
        <v>509</v>
      </c>
      <c r="D441" s="16" t="s">
        <v>427</v>
      </c>
      <c r="E441" s="16" t="s">
        <v>428</v>
      </c>
      <c r="F441" s="17">
        <v>14</v>
      </c>
      <c r="G441" s="17"/>
      <c r="H441" s="17"/>
      <c r="I441" s="17">
        <v>14</v>
      </c>
      <c r="J441">
        <v>440</v>
      </c>
    </row>
    <row r="442" spans="1:10" customFormat="1" thickTop="1" x14ac:dyDescent="0.25">
      <c r="A442" s="6">
        <v>18</v>
      </c>
      <c r="B442" s="6" t="s">
        <v>505</v>
      </c>
      <c r="C442" s="6" t="s">
        <v>509</v>
      </c>
      <c r="D442" s="6" t="s">
        <v>430</v>
      </c>
      <c r="E442" s="6" t="s">
        <v>431</v>
      </c>
      <c r="F442">
        <v>1</v>
      </c>
      <c r="J442">
        <v>441</v>
      </c>
    </row>
    <row r="443" spans="1:10" customFormat="1" ht="15" x14ac:dyDescent="0.25">
      <c r="A443" s="6">
        <v>18</v>
      </c>
      <c r="B443" s="6" t="s">
        <v>505</v>
      </c>
      <c r="C443" s="6" t="s">
        <v>509</v>
      </c>
      <c r="D443" s="6" t="s">
        <v>430</v>
      </c>
      <c r="E443" s="6" t="s">
        <v>431</v>
      </c>
      <c r="F443">
        <v>2</v>
      </c>
      <c r="J443">
        <v>442</v>
      </c>
    </row>
    <row r="444" spans="1:10" customFormat="1" ht="15" x14ac:dyDescent="0.25">
      <c r="A444" s="6">
        <v>18</v>
      </c>
      <c r="B444" s="6" t="s">
        <v>505</v>
      </c>
      <c r="C444" s="6" t="s">
        <v>509</v>
      </c>
      <c r="D444" s="6" t="s">
        <v>430</v>
      </c>
      <c r="E444" s="6" t="s">
        <v>431</v>
      </c>
      <c r="F444">
        <v>3</v>
      </c>
      <c r="J444">
        <v>443</v>
      </c>
    </row>
    <row r="445" spans="1:10" customFormat="1" ht="15" x14ac:dyDescent="0.25">
      <c r="A445" s="6">
        <v>18</v>
      </c>
      <c r="B445" s="6" t="s">
        <v>505</v>
      </c>
      <c r="C445" s="6" t="s">
        <v>509</v>
      </c>
      <c r="D445" s="6" t="s">
        <v>430</v>
      </c>
      <c r="E445" s="6" t="s">
        <v>431</v>
      </c>
      <c r="F445">
        <v>4</v>
      </c>
      <c r="J445">
        <v>444</v>
      </c>
    </row>
    <row r="446" spans="1:10" customFormat="1" ht="15" x14ac:dyDescent="0.25">
      <c r="A446" s="6">
        <v>18</v>
      </c>
      <c r="B446" s="6" t="s">
        <v>505</v>
      </c>
      <c r="C446" s="6" t="s">
        <v>509</v>
      </c>
      <c r="D446" s="6" t="s">
        <v>430</v>
      </c>
      <c r="E446" s="6" t="s">
        <v>431</v>
      </c>
      <c r="F446">
        <v>5</v>
      </c>
      <c r="J446">
        <v>445</v>
      </c>
    </row>
    <row r="447" spans="1:10" customFormat="1" ht="15" x14ac:dyDescent="0.25">
      <c r="A447" s="6">
        <v>18</v>
      </c>
      <c r="B447" s="6" t="s">
        <v>505</v>
      </c>
      <c r="C447" s="6" t="s">
        <v>509</v>
      </c>
      <c r="D447" s="6" t="s">
        <v>430</v>
      </c>
      <c r="E447" s="6" t="s">
        <v>431</v>
      </c>
      <c r="F447">
        <v>6</v>
      </c>
      <c r="J447">
        <v>446</v>
      </c>
    </row>
    <row r="448" spans="1:10" customFormat="1" ht="15" x14ac:dyDescent="0.25">
      <c r="A448" s="6">
        <v>18</v>
      </c>
      <c r="B448" s="6" t="s">
        <v>505</v>
      </c>
      <c r="C448" s="6" t="s">
        <v>509</v>
      </c>
      <c r="D448" s="6" t="s">
        <v>430</v>
      </c>
      <c r="E448" s="6" t="s">
        <v>431</v>
      </c>
      <c r="F448">
        <v>7</v>
      </c>
      <c r="J448">
        <v>447</v>
      </c>
    </row>
    <row r="449" spans="1:10" customFormat="1" ht="15" x14ac:dyDescent="0.25">
      <c r="A449" s="6">
        <v>18</v>
      </c>
      <c r="B449" s="6" t="s">
        <v>505</v>
      </c>
      <c r="C449" s="6" t="s">
        <v>509</v>
      </c>
      <c r="D449" s="6" t="s">
        <v>430</v>
      </c>
      <c r="E449" s="6" t="s">
        <v>431</v>
      </c>
      <c r="F449">
        <v>8</v>
      </c>
      <c r="J449">
        <v>448</v>
      </c>
    </row>
    <row r="450" spans="1:10" customFormat="1" ht="15" x14ac:dyDescent="0.25">
      <c r="A450" s="6">
        <v>18</v>
      </c>
      <c r="B450" s="6" t="s">
        <v>505</v>
      </c>
      <c r="C450" s="6" t="s">
        <v>509</v>
      </c>
      <c r="D450" s="6" t="s">
        <v>430</v>
      </c>
      <c r="E450" s="6" t="s">
        <v>431</v>
      </c>
      <c r="F450">
        <v>9</v>
      </c>
      <c r="J450">
        <v>449</v>
      </c>
    </row>
    <row r="451" spans="1:10" customFormat="1" ht="15" x14ac:dyDescent="0.25">
      <c r="A451" s="6">
        <v>18</v>
      </c>
      <c r="B451" s="6" t="s">
        <v>505</v>
      </c>
      <c r="C451" s="6" t="s">
        <v>509</v>
      </c>
      <c r="D451" s="6" t="s">
        <v>430</v>
      </c>
      <c r="E451" s="6" t="s">
        <v>431</v>
      </c>
      <c r="F451">
        <v>10</v>
      </c>
      <c r="J451">
        <v>450</v>
      </c>
    </row>
    <row r="452" spans="1:10" customFormat="1" ht="15" x14ac:dyDescent="0.25">
      <c r="A452" s="6">
        <v>18</v>
      </c>
      <c r="B452" s="6" t="s">
        <v>505</v>
      </c>
      <c r="C452" s="6" t="s">
        <v>509</v>
      </c>
      <c r="D452" s="6" t="s">
        <v>430</v>
      </c>
      <c r="E452" s="6" t="s">
        <v>431</v>
      </c>
      <c r="F452">
        <v>11</v>
      </c>
      <c r="J452">
        <v>451</v>
      </c>
    </row>
    <row r="453" spans="1:10" customFormat="1" ht="15" x14ac:dyDescent="0.25">
      <c r="A453" s="6">
        <v>18</v>
      </c>
      <c r="B453" s="6" t="s">
        <v>505</v>
      </c>
      <c r="C453" s="6" t="s">
        <v>509</v>
      </c>
      <c r="D453" s="6" t="s">
        <v>430</v>
      </c>
      <c r="E453" s="6" t="s">
        <v>431</v>
      </c>
      <c r="F453">
        <v>12</v>
      </c>
      <c r="J453">
        <v>452</v>
      </c>
    </row>
    <row r="454" spans="1:10" customFormat="1" ht="15" x14ac:dyDescent="0.25">
      <c r="A454" s="6">
        <v>18</v>
      </c>
      <c r="B454" s="6" t="s">
        <v>505</v>
      </c>
      <c r="C454" s="6" t="s">
        <v>509</v>
      </c>
      <c r="D454" s="6" t="s">
        <v>430</v>
      </c>
      <c r="E454" s="6" t="s">
        <v>431</v>
      </c>
      <c r="F454">
        <v>13</v>
      </c>
      <c r="J454">
        <v>453</v>
      </c>
    </row>
    <row r="455" spans="1:10" customFormat="1" ht="15" x14ac:dyDescent="0.25">
      <c r="A455" s="6">
        <v>18</v>
      </c>
      <c r="B455" s="6" t="s">
        <v>505</v>
      </c>
      <c r="C455" s="6" t="s">
        <v>509</v>
      </c>
      <c r="D455" s="6" t="s">
        <v>430</v>
      </c>
      <c r="E455" s="6" t="s">
        <v>431</v>
      </c>
      <c r="F455">
        <v>14</v>
      </c>
      <c r="J455">
        <v>454</v>
      </c>
    </row>
    <row r="456" spans="1:10" customFormat="1" ht="15" x14ac:dyDescent="0.25">
      <c r="A456" s="6">
        <v>18</v>
      </c>
      <c r="B456" s="6" t="s">
        <v>505</v>
      </c>
      <c r="C456" s="6" t="s">
        <v>509</v>
      </c>
      <c r="D456" s="6" t="s">
        <v>430</v>
      </c>
      <c r="E456" s="6" t="s">
        <v>431</v>
      </c>
      <c r="F456">
        <v>15</v>
      </c>
      <c r="J456">
        <v>455</v>
      </c>
    </row>
    <row r="457" spans="1:10" customFormat="1" thickBot="1" x14ac:dyDescent="0.3">
      <c r="A457" s="6">
        <v>18</v>
      </c>
      <c r="B457" s="6" t="s">
        <v>505</v>
      </c>
      <c r="C457" s="6" t="s">
        <v>509</v>
      </c>
      <c r="D457" s="16" t="s">
        <v>430</v>
      </c>
      <c r="E457" s="16" t="s">
        <v>431</v>
      </c>
      <c r="F457" s="17">
        <v>16</v>
      </c>
      <c r="G457" s="17"/>
      <c r="H457" s="17"/>
      <c r="I457" s="17">
        <v>16</v>
      </c>
      <c r="J457">
        <v>456</v>
      </c>
    </row>
    <row r="458" spans="1:10" customFormat="1" thickTop="1" x14ac:dyDescent="0.25">
      <c r="A458" s="6">
        <v>19</v>
      </c>
      <c r="B458" s="6" t="s">
        <v>505</v>
      </c>
      <c r="C458" s="6" t="s">
        <v>509</v>
      </c>
      <c r="D458" s="6" t="s">
        <v>433</v>
      </c>
      <c r="E458" s="6" t="s">
        <v>434</v>
      </c>
      <c r="F458">
        <v>1</v>
      </c>
      <c r="J458">
        <v>457</v>
      </c>
    </row>
    <row r="459" spans="1:10" customFormat="1" ht="15" x14ac:dyDescent="0.25">
      <c r="A459" s="6">
        <v>19</v>
      </c>
      <c r="B459" s="6" t="s">
        <v>505</v>
      </c>
      <c r="C459" s="6" t="s">
        <v>509</v>
      </c>
      <c r="D459" s="6" t="s">
        <v>433</v>
      </c>
      <c r="E459" s="6" t="s">
        <v>434</v>
      </c>
      <c r="F459">
        <v>2</v>
      </c>
      <c r="J459">
        <v>458</v>
      </c>
    </row>
    <row r="460" spans="1:10" customFormat="1" ht="15" x14ac:dyDescent="0.25">
      <c r="A460" s="6">
        <v>19</v>
      </c>
      <c r="B460" s="6" t="s">
        <v>505</v>
      </c>
      <c r="C460" s="6" t="s">
        <v>509</v>
      </c>
      <c r="D460" s="6" t="s">
        <v>433</v>
      </c>
      <c r="E460" s="6" t="s">
        <v>434</v>
      </c>
      <c r="F460">
        <v>3</v>
      </c>
      <c r="J460">
        <v>459</v>
      </c>
    </row>
    <row r="461" spans="1:10" customFormat="1" ht="15" x14ac:dyDescent="0.25">
      <c r="A461" s="6">
        <v>19</v>
      </c>
      <c r="B461" s="6" t="s">
        <v>505</v>
      </c>
      <c r="C461" s="6" t="s">
        <v>509</v>
      </c>
      <c r="D461" s="6" t="s">
        <v>433</v>
      </c>
      <c r="E461" s="6" t="s">
        <v>434</v>
      </c>
      <c r="F461">
        <v>4</v>
      </c>
      <c r="J461">
        <v>460</v>
      </c>
    </row>
    <row r="462" spans="1:10" customFormat="1" ht="15" x14ac:dyDescent="0.25">
      <c r="A462" s="6">
        <v>19</v>
      </c>
      <c r="B462" s="6" t="s">
        <v>505</v>
      </c>
      <c r="C462" s="6" t="s">
        <v>509</v>
      </c>
      <c r="D462" s="6" t="s">
        <v>433</v>
      </c>
      <c r="E462" s="6" t="s">
        <v>434</v>
      </c>
      <c r="F462">
        <v>5</v>
      </c>
      <c r="J462">
        <v>461</v>
      </c>
    </row>
    <row r="463" spans="1:10" customFormat="1" ht="15" x14ac:dyDescent="0.25">
      <c r="A463" s="6">
        <v>19</v>
      </c>
      <c r="B463" s="6" t="s">
        <v>505</v>
      </c>
      <c r="C463" s="6" t="s">
        <v>509</v>
      </c>
      <c r="D463" s="6" t="s">
        <v>433</v>
      </c>
      <c r="E463" s="6" t="s">
        <v>434</v>
      </c>
      <c r="F463">
        <v>6</v>
      </c>
      <c r="J463">
        <v>462</v>
      </c>
    </row>
    <row r="464" spans="1:10" customFormat="1" ht="15" x14ac:dyDescent="0.25">
      <c r="A464" s="6">
        <v>19</v>
      </c>
      <c r="B464" s="6" t="s">
        <v>505</v>
      </c>
      <c r="C464" s="6" t="s">
        <v>509</v>
      </c>
      <c r="D464" s="6" t="s">
        <v>433</v>
      </c>
      <c r="E464" s="6" t="s">
        <v>434</v>
      </c>
      <c r="F464">
        <v>7</v>
      </c>
      <c r="J464">
        <v>463</v>
      </c>
    </row>
    <row r="465" spans="1:10" customFormat="1" ht="15" x14ac:dyDescent="0.25">
      <c r="A465" s="6">
        <v>19</v>
      </c>
      <c r="B465" s="6" t="s">
        <v>505</v>
      </c>
      <c r="C465" s="6" t="s">
        <v>509</v>
      </c>
      <c r="D465" s="6" t="s">
        <v>433</v>
      </c>
      <c r="E465" s="6" t="s">
        <v>434</v>
      </c>
      <c r="F465">
        <v>8</v>
      </c>
      <c r="J465">
        <v>464</v>
      </c>
    </row>
    <row r="466" spans="1:10" customFormat="1" ht="15" x14ac:dyDescent="0.25">
      <c r="A466" s="6">
        <v>19</v>
      </c>
      <c r="B466" s="6" t="s">
        <v>505</v>
      </c>
      <c r="C466" s="6" t="s">
        <v>509</v>
      </c>
      <c r="D466" s="6" t="s">
        <v>433</v>
      </c>
      <c r="E466" s="6" t="s">
        <v>434</v>
      </c>
      <c r="F466">
        <v>9</v>
      </c>
      <c r="J466">
        <v>465</v>
      </c>
    </row>
    <row r="467" spans="1:10" customFormat="1" thickBot="1" x14ac:dyDescent="0.3">
      <c r="A467" s="6">
        <v>19</v>
      </c>
      <c r="B467" s="6" t="s">
        <v>505</v>
      </c>
      <c r="C467" s="6" t="s">
        <v>509</v>
      </c>
      <c r="D467" s="16" t="s">
        <v>433</v>
      </c>
      <c r="E467" s="16" t="s">
        <v>434</v>
      </c>
      <c r="F467" s="17">
        <v>10</v>
      </c>
      <c r="G467" s="17"/>
      <c r="H467" s="17"/>
      <c r="I467" s="17">
        <v>10</v>
      </c>
      <c r="J467">
        <v>466</v>
      </c>
    </row>
    <row r="468" spans="1:10" customFormat="1" thickTop="1" x14ac:dyDescent="0.25">
      <c r="A468" s="6">
        <v>20</v>
      </c>
      <c r="B468" s="6" t="s">
        <v>505</v>
      </c>
      <c r="C468" s="6" t="s">
        <v>509</v>
      </c>
      <c r="D468" s="6" t="s">
        <v>436</v>
      </c>
      <c r="E468" s="6" t="s">
        <v>437</v>
      </c>
      <c r="F468">
        <v>1</v>
      </c>
      <c r="J468">
        <v>467</v>
      </c>
    </row>
    <row r="469" spans="1:10" customFormat="1" ht="15" x14ac:dyDescent="0.25">
      <c r="A469" s="6">
        <v>20</v>
      </c>
      <c r="B469" s="6" t="s">
        <v>505</v>
      </c>
      <c r="C469" s="6" t="s">
        <v>509</v>
      </c>
      <c r="D469" s="6" t="s">
        <v>436</v>
      </c>
      <c r="E469" s="6" t="s">
        <v>437</v>
      </c>
      <c r="F469">
        <v>2</v>
      </c>
      <c r="J469">
        <v>468</v>
      </c>
    </row>
    <row r="470" spans="1:10" customFormat="1" ht="15" x14ac:dyDescent="0.25">
      <c r="A470" s="6">
        <v>20</v>
      </c>
      <c r="B470" s="6" t="s">
        <v>505</v>
      </c>
      <c r="C470" s="6" t="s">
        <v>509</v>
      </c>
      <c r="D470" s="6" t="s">
        <v>436</v>
      </c>
      <c r="E470" s="6" t="s">
        <v>437</v>
      </c>
      <c r="F470">
        <v>3</v>
      </c>
      <c r="J470">
        <v>469</v>
      </c>
    </row>
    <row r="471" spans="1:10" customFormat="1" ht="15" x14ac:dyDescent="0.25">
      <c r="A471" s="6">
        <v>20</v>
      </c>
      <c r="B471" s="6" t="s">
        <v>505</v>
      </c>
      <c r="C471" s="6" t="s">
        <v>509</v>
      </c>
      <c r="D471" s="6" t="s">
        <v>436</v>
      </c>
      <c r="E471" s="6" t="s">
        <v>437</v>
      </c>
      <c r="F471">
        <v>4</v>
      </c>
      <c r="J471">
        <v>470</v>
      </c>
    </row>
    <row r="472" spans="1:10" customFormat="1" ht="15" x14ac:dyDescent="0.25">
      <c r="A472" s="6">
        <v>20</v>
      </c>
      <c r="B472" s="6" t="s">
        <v>505</v>
      </c>
      <c r="C472" s="6" t="s">
        <v>509</v>
      </c>
      <c r="D472" s="6" t="s">
        <v>436</v>
      </c>
      <c r="E472" s="6" t="s">
        <v>437</v>
      </c>
      <c r="F472">
        <v>5</v>
      </c>
      <c r="J472">
        <v>471</v>
      </c>
    </row>
    <row r="473" spans="1:10" customFormat="1" ht="15" x14ac:dyDescent="0.25">
      <c r="A473" s="6">
        <v>20</v>
      </c>
      <c r="B473" s="6" t="s">
        <v>505</v>
      </c>
      <c r="C473" s="6" t="s">
        <v>509</v>
      </c>
      <c r="D473" s="6" t="s">
        <v>436</v>
      </c>
      <c r="E473" s="6" t="s">
        <v>437</v>
      </c>
      <c r="F473">
        <v>6</v>
      </c>
      <c r="J473">
        <v>472</v>
      </c>
    </row>
    <row r="474" spans="1:10" customFormat="1" ht="15" x14ac:dyDescent="0.25">
      <c r="A474" s="6">
        <v>20</v>
      </c>
      <c r="B474" s="6" t="s">
        <v>505</v>
      </c>
      <c r="C474" s="6" t="s">
        <v>509</v>
      </c>
      <c r="D474" s="6" t="s">
        <v>436</v>
      </c>
      <c r="E474" s="6" t="s">
        <v>437</v>
      </c>
      <c r="F474">
        <v>7</v>
      </c>
      <c r="J474">
        <v>473</v>
      </c>
    </row>
    <row r="475" spans="1:10" customFormat="1" ht="15" x14ac:dyDescent="0.25">
      <c r="A475" s="6">
        <v>20</v>
      </c>
      <c r="B475" s="6" t="s">
        <v>505</v>
      </c>
      <c r="C475" s="6" t="s">
        <v>509</v>
      </c>
      <c r="D475" s="6" t="s">
        <v>436</v>
      </c>
      <c r="E475" s="6" t="s">
        <v>437</v>
      </c>
      <c r="F475">
        <v>8</v>
      </c>
      <c r="J475">
        <v>474</v>
      </c>
    </row>
    <row r="476" spans="1:10" customFormat="1" ht="15" x14ac:dyDescent="0.25">
      <c r="A476" s="6">
        <v>20</v>
      </c>
      <c r="B476" s="6" t="s">
        <v>505</v>
      </c>
      <c r="C476" s="6" t="s">
        <v>509</v>
      </c>
      <c r="D476" s="6" t="s">
        <v>436</v>
      </c>
      <c r="E476" s="6" t="s">
        <v>437</v>
      </c>
      <c r="F476">
        <v>9</v>
      </c>
      <c r="J476">
        <v>475</v>
      </c>
    </row>
    <row r="477" spans="1:10" customFormat="1" ht="15" x14ac:dyDescent="0.25">
      <c r="A477" s="6">
        <v>20</v>
      </c>
      <c r="B477" s="6" t="s">
        <v>505</v>
      </c>
      <c r="C477" s="6" t="s">
        <v>509</v>
      </c>
      <c r="D477" s="6" t="s">
        <v>436</v>
      </c>
      <c r="E477" s="6" t="s">
        <v>437</v>
      </c>
      <c r="F477">
        <v>10</v>
      </c>
      <c r="J477">
        <v>476</v>
      </c>
    </row>
    <row r="478" spans="1:10" customFormat="1" ht="15" x14ac:dyDescent="0.25">
      <c r="A478" s="6">
        <v>20</v>
      </c>
      <c r="B478" s="6" t="s">
        <v>505</v>
      </c>
      <c r="C478" s="6" t="s">
        <v>509</v>
      </c>
      <c r="D478" s="6" t="s">
        <v>436</v>
      </c>
      <c r="E478" s="6" t="s">
        <v>437</v>
      </c>
      <c r="F478">
        <v>11</v>
      </c>
      <c r="J478">
        <v>477</v>
      </c>
    </row>
    <row r="479" spans="1:10" customFormat="1" ht="15" x14ac:dyDescent="0.25">
      <c r="A479" s="6">
        <v>20</v>
      </c>
      <c r="B479" s="6" t="s">
        <v>505</v>
      </c>
      <c r="C479" s="6" t="s">
        <v>509</v>
      </c>
      <c r="D479" s="6" t="s">
        <v>436</v>
      </c>
      <c r="E479" s="6" t="s">
        <v>437</v>
      </c>
      <c r="F479">
        <v>12</v>
      </c>
      <c r="J479">
        <v>478</v>
      </c>
    </row>
    <row r="480" spans="1:10" customFormat="1" ht="15" x14ac:dyDescent="0.25">
      <c r="A480" s="6">
        <v>20</v>
      </c>
      <c r="B480" s="6" t="s">
        <v>505</v>
      </c>
      <c r="C480" s="6" t="s">
        <v>509</v>
      </c>
      <c r="D480" s="6" t="s">
        <v>436</v>
      </c>
      <c r="E480" s="6" t="s">
        <v>437</v>
      </c>
      <c r="F480">
        <v>13</v>
      </c>
      <c r="J480">
        <v>479</v>
      </c>
    </row>
    <row r="481" spans="1:10" customFormat="1" ht="15" x14ac:dyDescent="0.25">
      <c r="A481" s="6">
        <v>20</v>
      </c>
      <c r="B481" s="6" t="s">
        <v>505</v>
      </c>
      <c r="C481" s="6" t="s">
        <v>509</v>
      </c>
      <c r="D481" s="6" t="s">
        <v>436</v>
      </c>
      <c r="E481" s="6" t="s">
        <v>437</v>
      </c>
      <c r="F481">
        <v>14</v>
      </c>
      <c r="J481">
        <v>480</v>
      </c>
    </row>
    <row r="482" spans="1:10" customFormat="1" ht="15" x14ac:dyDescent="0.25">
      <c r="A482" s="6">
        <v>20</v>
      </c>
      <c r="B482" s="6" t="s">
        <v>505</v>
      </c>
      <c r="C482" s="6" t="s">
        <v>509</v>
      </c>
      <c r="D482" s="6" t="s">
        <v>436</v>
      </c>
      <c r="E482" s="6" t="s">
        <v>437</v>
      </c>
      <c r="F482">
        <v>15</v>
      </c>
      <c r="J482">
        <v>481</v>
      </c>
    </row>
    <row r="483" spans="1:10" customFormat="1" thickBot="1" x14ac:dyDescent="0.3">
      <c r="A483" s="6">
        <v>20</v>
      </c>
      <c r="B483" s="6" t="s">
        <v>505</v>
      </c>
      <c r="C483" s="6" t="s">
        <v>509</v>
      </c>
      <c r="D483" s="16" t="s">
        <v>436</v>
      </c>
      <c r="E483" s="16" t="s">
        <v>437</v>
      </c>
      <c r="F483" s="17">
        <v>16</v>
      </c>
      <c r="G483" s="17"/>
      <c r="H483" s="17"/>
      <c r="I483" s="17">
        <v>16</v>
      </c>
      <c r="J483">
        <v>482</v>
      </c>
    </row>
    <row r="484" spans="1:10" customFormat="1" thickTop="1" x14ac:dyDescent="0.25">
      <c r="A484" s="6">
        <v>21</v>
      </c>
      <c r="B484" s="6" t="s">
        <v>505</v>
      </c>
      <c r="C484" s="6" t="s">
        <v>509</v>
      </c>
      <c r="D484" s="6" t="s">
        <v>438</v>
      </c>
      <c r="E484" s="6" t="s">
        <v>439</v>
      </c>
      <c r="F484">
        <v>1</v>
      </c>
      <c r="J484">
        <v>483</v>
      </c>
    </row>
    <row r="485" spans="1:10" customFormat="1" ht="15" x14ac:dyDescent="0.25">
      <c r="A485" s="6">
        <v>21</v>
      </c>
      <c r="B485" s="6" t="s">
        <v>505</v>
      </c>
      <c r="C485" s="6" t="s">
        <v>509</v>
      </c>
      <c r="D485" s="6" t="s">
        <v>438</v>
      </c>
      <c r="E485" s="6" t="s">
        <v>439</v>
      </c>
      <c r="F485">
        <v>2</v>
      </c>
      <c r="J485">
        <v>484</v>
      </c>
    </row>
    <row r="486" spans="1:10" customFormat="1" ht="15" x14ac:dyDescent="0.25">
      <c r="A486" s="6">
        <v>21</v>
      </c>
      <c r="B486" s="6" t="s">
        <v>505</v>
      </c>
      <c r="C486" s="6" t="s">
        <v>509</v>
      </c>
      <c r="D486" s="6" t="s">
        <v>438</v>
      </c>
      <c r="E486" s="6" t="s">
        <v>439</v>
      </c>
      <c r="F486">
        <v>3</v>
      </c>
      <c r="J486">
        <v>485</v>
      </c>
    </row>
    <row r="487" spans="1:10" customFormat="1" ht="15" x14ac:dyDescent="0.25">
      <c r="A487" s="6">
        <v>21</v>
      </c>
      <c r="B487" s="6" t="s">
        <v>505</v>
      </c>
      <c r="C487" s="6" t="s">
        <v>509</v>
      </c>
      <c r="D487" s="6" t="s">
        <v>438</v>
      </c>
      <c r="E487" s="6" t="s">
        <v>439</v>
      </c>
      <c r="F487">
        <v>4</v>
      </c>
      <c r="J487">
        <v>486</v>
      </c>
    </row>
    <row r="488" spans="1:10" customFormat="1" ht="15" x14ac:dyDescent="0.25">
      <c r="A488" s="6">
        <v>21</v>
      </c>
      <c r="B488" s="6" t="s">
        <v>505</v>
      </c>
      <c r="C488" s="6" t="s">
        <v>509</v>
      </c>
      <c r="D488" s="6" t="s">
        <v>438</v>
      </c>
      <c r="E488" s="6" t="s">
        <v>439</v>
      </c>
      <c r="F488">
        <v>5</v>
      </c>
      <c r="J488">
        <v>487</v>
      </c>
    </row>
    <row r="489" spans="1:10" customFormat="1" ht="15" x14ac:dyDescent="0.25">
      <c r="A489" s="6">
        <v>21</v>
      </c>
      <c r="B489" s="6" t="s">
        <v>505</v>
      </c>
      <c r="C489" s="6" t="s">
        <v>509</v>
      </c>
      <c r="D489" s="6" t="s">
        <v>438</v>
      </c>
      <c r="E489" s="6" t="s">
        <v>439</v>
      </c>
      <c r="F489">
        <v>6</v>
      </c>
      <c r="J489">
        <v>488</v>
      </c>
    </row>
    <row r="490" spans="1:10" customFormat="1" ht="15" x14ac:dyDescent="0.25">
      <c r="A490" s="6">
        <v>21</v>
      </c>
      <c r="B490" s="6" t="s">
        <v>505</v>
      </c>
      <c r="C490" s="6" t="s">
        <v>509</v>
      </c>
      <c r="D490" s="6" t="s">
        <v>438</v>
      </c>
      <c r="E490" s="6" t="s">
        <v>439</v>
      </c>
      <c r="F490">
        <v>7</v>
      </c>
      <c r="J490">
        <v>489</v>
      </c>
    </row>
    <row r="491" spans="1:10" customFormat="1" ht="15" x14ac:dyDescent="0.25">
      <c r="A491" s="6">
        <v>21</v>
      </c>
      <c r="B491" s="6" t="s">
        <v>505</v>
      </c>
      <c r="C491" s="6" t="s">
        <v>509</v>
      </c>
      <c r="D491" s="6" t="s">
        <v>438</v>
      </c>
      <c r="E491" s="6" t="s">
        <v>439</v>
      </c>
      <c r="F491">
        <v>8</v>
      </c>
      <c r="J491">
        <v>490</v>
      </c>
    </row>
    <row r="492" spans="1:10" customFormat="1" ht="15" x14ac:dyDescent="0.25">
      <c r="A492" s="6">
        <v>21</v>
      </c>
      <c r="B492" s="6" t="s">
        <v>505</v>
      </c>
      <c r="C492" s="6" t="s">
        <v>509</v>
      </c>
      <c r="D492" s="6" t="s">
        <v>438</v>
      </c>
      <c r="E492" s="6" t="s">
        <v>439</v>
      </c>
      <c r="F492">
        <v>9</v>
      </c>
      <c r="J492">
        <v>491</v>
      </c>
    </row>
    <row r="493" spans="1:10" customFormat="1" ht="15" x14ac:dyDescent="0.25">
      <c r="A493" s="6">
        <v>21</v>
      </c>
      <c r="B493" s="6" t="s">
        <v>505</v>
      </c>
      <c r="C493" s="6" t="s">
        <v>509</v>
      </c>
      <c r="D493" s="6" t="s">
        <v>438</v>
      </c>
      <c r="E493" s="6" t="s">
        <v>439</v>
      </c>
      <c r="F493">
        <v>10</v>
      </c>
      <c r="J493">
        <v>492</v>
      </c>
    </row>
    <row r="494" spans="1:10" customFormat="1" ht="15" x14ac:dyDescent="0.25">
      <c r="A494" s="6">
        <v>21</v>
      </c>
      <c r="B494" s="6" t="s">
        <v>505</v>
      </c>
      <c r="C494" s="6" t="s">
        <v>509</v>
      </c>
      <c r="D494" s="6" t="s">
        <v>438</v>
      </c>
      <c r="E494" s="6" t="s">
        <v>439</v>
      </c>
      <c r="F494">
        <v>11</v>
      </c>
      <c r="J494">
        <v>493</v>
      </c>
    </row>
    <row r="495" spans="1:10" customFormat="1" ht="15" x14ac:dyDescent="0.25">
      <c r="A495" s="6">
        <v>21</v>
      </c>
      <c r="B495" s="6" t="s">
        <v>505</v>
      </c>
      <c r="C495" s="6" t="s">
        <v>509</v>
      </c>
      <c r="D495" s="6" t="s">
        <v>438</v>
      </c>
      <c r="E495" s="6" t="s">
        <v>439</v>
      </c>
      <c r="F495">
        <v>12</v>
      </c>
      <c r="J495">
        <v>494</v>
      </c>
    </row>
    <row r="496" spans="1:10" customFormat="1" ht="15" x14ac:dyDescent="0.25">
      <c r="A496" s="6">
        <v>21</v>
      </c>
      <c r="B496" s="6" t="s">
        <v>505</v>
      </c>
      <c r="C496" s="6" t="s">
        <v>509</v>
      </c>
      <c r="D496" s="6" t="s">
        <v>438</v>
      </c>
      <c r="E496" s="6" t="s">
        <v>439</v>
      </c>
      <c r="F496">
        <v>13</v>
      </c>
      <c r="J496">
        <v>495</v>
      </c>
    </row>
    <row r="497" spans="1:10" customFormat="1" ht="15" x14ac:dyDescent="0.25">
      <c r="A497" s="6">
        <v>21</v>
      </c>
      <c r="B497" s="6" t="s">
        <v>505</v>
      </c>
      <c r="C497" s="6" t="s">
        <v>509</v>
      </c>
      <c r="D497" s="6" t="s">
        <v>438</v>
      </c>
      <c r="E497" s="6" t="s">
        <v>439</v>
      </c>
      <c r="F497">
        <v>14</v>
      </c>
      <c r="J497">
        <v>496</v>
      </c>
    </row>
    <row r="498" spans="1:10" customFormat="1" thickBot="1" x14ac:dyDescent="0.3">
      <c r="A498" s="6">
        <v>21</v>
      </c>
      <c r="B498" s="6" t="s">
        <v>505</v>
      </c>
      <c r="C498" s="6" t="s">
        <v>509</v>
      </c>
      <c r="D498" s="16" t="s">
        <v>438</v>
      </c>
      <c r="E498" s="16" t="s">
        <v>439</v>
      </c>
      <c r="F498" s="17">
        <v>15</v>
      </c>
      <c r="G498" s="17"/>
      <c r="H498" s="17"/>
      <c r="I498" s="17">
        <v>15</v>
      </c>
      <c r="J498">
        <v>497</v>
      </c>
    </row>
    <row r="499" spans="1:10" customFormat="1" thickTop="1" x14ac:dyDescent="0.25">
      <c r="A499" s="6">
        <v>22</v>
      </c>
      <c r="B499" s="6" t="s">
        <v>505</v>
      </c>
      <c r="C499" s="6" t="s">
        <v>510</v>
      </c>
      <c r="D499" s="6" t="s">
        <v>442</v>
      </c>
      <c r="E499" s="6" t="s">
        <v>443</v>
      </c>
      <c r="F499">
        <v>1</v>
      </c>
      <c r="J499">
        <v>498</v>
      </c>
    </row>
    <row r="500" spans="1:10" customFormat="1" ht="15" x14ac:dyDescent="0.25">
      <c r="A500" s="6">
        <v>22</v>
      </c>
      <c r="B500" s="6" t="s">
        <v>505</v>
      </c>
      <c r="C500" s="6" t="s">
        <v>510</v>
      </c>
      <c r="D500" s="6" t="s">
        <v>442</v>
      </c>
      <c r="E500" s="6" t="s">
        <v>443</v>
      </c>
      <c r="F500">
        <v>2</v>
      </c>
      <c r="J500">
        <v>499</v>
      </c>
    </row>
    <row r="501" spans="1:10" customFormat="1" ht="15" x14ac:dyDescent="0.25">
      <c r="A501" s="6">
        <v>22</v>
      </c>
      <c r="B501" s="6" t="s">
        <v>505</v>
      </c>
      <c r="C501" s="6" t="s">
        <v>510</v>
      </c>
      <c r="D501" s="6" t="s">
        <v>442</v>
      </c>
      <c r="E501" s="6" t="s">
        <v>443</v>
      </c>
      <c r="F501">
        <v>3</v>
      </c>
      <c r="J501">
        <v>500</v>
      </c>
    </row>
    <row r="502" spans="1:10" customFormat="1" ht="15" x14ac:dyDescent="0.25">
      <c r="A502" s="6">
        <v>22</v>
      </c>
      <c r="B502" s="6" t="s">
        <v>505</v>
      </c>
      <c r="C502" s="6" t="s">
        <v>510</v>
      </c>
      <c r="D502" s="6" t="s">
        <v>442</v>
      </c>
      <c r="E502" s="6" t="s">
        <v>443</v>
      </c>
      <c r="F502">
        <v>4</v>
      </c>
      <c r="J502">
        <v>501</v>
      </c>
    </row>
    <row r="503" spans="1:10" customFormat="1" ht="15" x14ac:dyDescent="0.25">
      <c r="A503" s="6">
        <v>22</v>
      </c>
      <c r="B503" s="6" t="s">
        <v>505</v>
      </c>
      <c r="C503" s="6" t="s">
        <v>510</v>
      </c>
      <c r="D503" s="6" t="s">
        <v>442</v>
      </c>
      <c r="E503" s="6" t="s">
        <v>443</v>
      </c>
      <c r="F503">
        <v>5</v>
      </c>
      <c r="J503">
        <v>502</v>
      </c>
    </row>
    <row r="504" spans="1:10" customFormat="1" ht="15" x14ac:dyDescent="0.25">
      <c r="A504" s="6">
        <v>22</v>
      </c>
      <c r="B504" s="6" t="s">
        <v>505</v>
      </c>
      <c r="C504" s="6" t="s">
        <v>510</v>
      </c>
      <c r="D504" s="6" t="s">
        <v>442</v>
      </c>
      <c r="E504" s="6" t="s">
        <v>443</v>
      </c>
      <c r="F504">
        <v>6</v>
      </c>
      <c r="J504">
        <v>503</v>
      </c>
    </row>
    <row r="505" spans="1:10" customFormat="1" ht="15" x14ac:dyDescent="0.25">
      <c r="A505" s="6">
        <v>22</v>
      </c>
      <c r="B505" s="6" t="s">
        <v>505</v>
      </c>
      <c r="C505" s="6" t="s">
        <v>510</v>
      </c>
      <c r="D505" s="6" t="s">
        <v>442</v>
      </c>
      <c r="E505" s="6" t="s">
        <v>443</v>
      </c>
      <c r="F505">
        <v>7</v>
      </c>
      <c r="J505">
        <v>504</v>
      </c>
    </row>
    <row r="506" spans="1:10" customFormat="1" ht="15" x14ac:dyDescent="0.25">
      <c r="A506" s="6">
        <v>22</v>
      </c>
      <c r="B506" s="6" t="s">
        <v>505</v>
      </c>
      <c r="C506" s="6" t="s">
        <v>510</v>
      </c>
      <c r="D506" s="6" t="s">
        <v>442</v>
      </c>
      <c r="E506" s="6" t="s">
        <v>443</v>
      </c>
      <c r="F506">
        <v>8</v>
      </c>
      <c r="J506">
        <v>505</v>
      </c>
    </row>
    <row r="507" spans="1:10" customFormat="1" ht="15" x14ac:dyDescent="0.25">
      <c r="A507" s="6">
        <v>22</v>
      </c>
      <c r="B507" s="6" t="s">
        <v>505</v>
      </c>
      <c r="C507" s="6" t="s">
        <v>510</v>
      </c>
      <c r="D507" s="6" t="s">
        <v>442</v>
      </c>
      <c r="E507" s="6" t="s">
        <v>443</v>
      </c>
      <c r="F507">
        <v>9</v>
      </c>
      <c r="J507">
        <v>506</v>
      </c>
    </row>
    <row r="508" spans="1:10" customFormat="1" ht="15" x14ac:dyDescent="0.25">
      <c r="A508" s="6">
        <v>22</v>
      </c>
      <c r="B508" s="6" t="s">
        <v>505</v>
      </c>
      <c r="C508" s="6" t="s">
        <v>510</v>
      </c>
      <c r="D508" s="6" t="s">
        <v>442</v>
      </c>
      <c r="E508" s="6" t="s">
        <v>443</v>
      </c>
      <c r="F508">
        <v>10</v>
      </c>
      <c r="J508">
        <v>507</v>
      </c>
    </row>
    <row r="509" spans="1:10" customFormat="1" ht="15" x14ac:dyDescent="0.25">
      <c r="A509" s="6">
        <v>22</v>
      </c>
      <c r="B509" s="6" t="s">
        <v>505</v>
      </c>
      <c r="C509" s="6" t="s">
        <v>510</v>
      </c>
      <c r="D509" s="6" t="s">
        <v>442</v>
      </c>
      <c r="E509" s="6" t="s">
        <v>443</v>
      </c>
      <c r="F509">
        <v>11</v>
      </c>
      <c r="J509">
        <v>508</v>
      </c>
    </row>
    <row r="510" spans="1:10" customFormat="1" ht="15" x14ac:dyDescent="0.25">
      <c r="A510" s="6">
        <v>22</v>
      </c>
      <c r="B510" s="6" t="s">
        <v>505</v>
      </c>
      <c r="C510" s="6" t="s">
        <v>510</v>
      </c>
      <c r="D510" s="6" t="s">
        <v>442</v>
      </c>
      <c r="E510" s="6" t="s">
        <v>443</v>
      </c>
      <c r="F510">
        <v>12</v>
      </c>
      <c r="J510">
        <v>509</v>
      </c>
    </row>
    <row r="511" spans="1:10" customFormat="1" ht="15" x14ac:dyDescent="0.25">
      <c r="A511" s="6">
        <v>22</v>
      </c>
      <c r="B511" s="6" t="s">
        <v>505</v>
      </c>
      <c r="C511" s="6" t="s">
        <v>510</v>
      </c>
      <c r="D511" s="6" t="s">
        <v>442</v>
      </c>
      <c r="E511" s="6" t="s">
        <v>443</v>
      </c>
      <c r="F511">
        <v>13</v>
      </c>
      <c r="J511">
        <v>510</v>
      </c>
    </row>
    <row r="512" spans="1:10" customFormat="1" ht="15" x14ac:dyDescent="0.25">
      <c r="A512" s="6">
        <v>22</v>
      </c>
      <c r="B512" s="6" t="s">
        <v>505</v>
      </c>
      <c r="C512" s="6" t="s">
        <v>510</v>
      </c>
      <c r="D512" s="6" t="s">
        <v>442</v>
      </c>
      <c r="E512" s="6" t="s">
        <v>443</v>
      </c>
      <c r="F512">
        <v>14</v>
      </c>
      <c r="J512">
        <v>511</v>
      </c>
    </row>
    <row r="513" spans="1:10" customFormat="1" ht="15" x14ac:dyDescent="0.25">
      <c r="A513" s="6">
        <v>22</v>
      </c>
      <c r="B513" s="6" t="s">
        <v>505</v>
      </c>
      <c r="C513" s="6" t="s">
        <v>510</v>
      </c>
      <c r="D513" s="6" t="s">
        <v>442</v>
      </c>
      <c r="E513" s="6" t="s">
        <v>443</v>
      </c>
      <c r="F513">
        <v>15</v>
      </c>
      <c r="J513">
        <v>512</v>
      </c>
    </row>
    <row r="514" spans="1:10" customFormat="1" ht="15" x14ac:dyDescent="0.25">
      <c r="A514" s="6">
        <v>22</v>
      </c>
      <c r="B514" s="6" t="s">
        <v>505</v>
      </c>
      <c r="C514" s="6" t="s">
        <v>510</v>
      </c>
      <c r="D514" s="6" t="s">
        <v>442</v>
      </c>
      <c r="E514" s="6" t="s">
        <v>443</v>
      </c>
      <c r="F514">
        <v>16</v>
      </c>
      <c r="J514">
        <v>513</v>
      </c>
    </row>
    <row r="515" spans="1:10" customFormat="1" ht="15" x14ac:dyDescent="0.25">
      <c r="A515" s="6">
        <v>22</v>
      </c>
      <c r="B515" s="6" t="s">
        <v>505</v>
      </c>
      <c r="C515" s="6" t="s">
        <v>510</v>
      </c>
      <c r="D515" s="6" t="s">
        <v>442</v>
      </c>
      <c r="E515" s="6" t="s">
        <v>443</v>
      </c>
      <c r="F515">
        <v>17</v>
      </c>
      <c r="J515">
        <v>514</v>
      </c>
    </row>
    <row r="516" spans="1:10" customFormat="1" ht="15" x14ac:dyDescent="0.25">
      <c r="A516" s="6">
        <v>22</v>
      </c>
      <c r="B516" s="6" t="s">
        <v>505</v>
      </c>
      <c r="C516" s="6" t="s">
        <v>510</v>
      </c>
      <c r="D516" s="6" t="s">
        <v>442</v>
      </c>
      <c r="E516" s="6" t="s">
        <v>443</v>
      </c>
      <c r="F516">
        <v>18</v>
      </c>
      <c r="J516">
        <v>515</v>
      </c>
    </row>
    <row r="517" spans="1:10" customFormat="1" ht="15" x14ac:dyDescent="0.25">
      <c r="A517" s="6">
        <v>22</v>
      </c>
      <c r="B517" s="6" t="s">
        <v>505</v>
      </c>
      <c r="C517" s="6" t="s">
        <v>510</v>
      </c>
      <c r="D517" s="6" t="s">
        <v>442</v>
      </c>
      <c r="E517" s="6" t="s">
        <v>443</v>
      </c>
      <c r="F517">
        <v>19</v>
      </c>
      <c r="J517">
        <v>516</v>
      </c>
    </row>
    <row r="518" spans="1:10" customFormat="1" ht="15" x14ac:dyDescent="0.25">
      <c r="A518" s="6">
        <v>22</v>
      </c>
      <c r="B518" s="6" t="s">
        <v>505</v>
      </c>
      <c r="C518" s="6" t="s">
        <v>510</v>
      </c>
      <c r="D518" s="6" t="s">
        <v>442</v>
      </c>
      <c r="E518" s="6" t="s">
        <v>443</v>
      </c>
      <c r="F518">
        <v>20</v>
      </c>
      <c r="J518">
        <v>517</v>
      </c>
    </row>
    <row r="519" spans="1:10" customFormat="1" ht="15" x14ac:dyDescent="0.25">
      <c r="A519" s="6">
        <v>22</v>
      </c>
      <c r="B519" s="6" t="s">
        <v>505</v>
      </c>
      <c r="C519" s="6" t="s">
        <v>510</v>
      </c>
      <c r="D519" s="6" t="s">
        <v>442</v>
      </c>
      <c r="E519" s="6" t="s">
        <v>443</v>
      </c>
      <c r="F519">
        <v>21</v>
      </c>
      <c r="J519">
        <v>518</v>
      </c>
    </row>
    <row r="520" spans="1:10" customFormat="1" ht="15" x14ac:dyDescent="0.25">
      <c r="A520" s="6">
        <v>22</v>
      </c>
      <c r="B520" s="6" t="s">
        <v>505</v>
      </c>
      <c r="C520" s="6" t="s">
        <v>510</v>
      </c>
      <c r="D520" s="6" t="s">
        <v>442</v>
      </c>
      <c r="E520" s="6" t="s">
        <v>443</v>
      </c>
      <c r="F520">
        <v>22</v>
      </c>
      <c r="J520">
        <v>519</v>
      </c>
    </row>
    <row r="521" spans="1:10" customFormat="1" ht="15" x14ac:dyDescent="0.25">
      <c r="A521" s="6">
        <v>22</v>
      </c>
      <c r="B521" s="6" t="s">
        <v>505</v>
      </c>
      <c r="C521" s="6" t="s">
        <v>510</v>
      </c>
      <c r="D521" s="6" t="s">
        <v>442</v>
      </c>
      <c r="E521" s="6" t="s">
        <v>443</v>
      </c>
      <c r="F521">
        <v>23</v>
      </c>
      <c r="J521">
        <v>520</v>
      </c>
    </row>
    <row r="522" spans="1:10" customFormat="1" ht="15" x14ac:dyDescent="0.25">
      <c r="A522" s="6">
        <v>22</v>
      </c>
      <c r="B522" s="6" t="s">
        <v>505</v>
      </c>
      <c r="C522" s="6" t="s">
        <v>510</v>
      </c>
      <c r="D522" s="6" t="s">
        <v>442</v>
      </c>
      <c r="E522" s="6" t="s">
        <v>443</v>
      </c>
      <c r="F522">
        <v>24</v>
      </c>
      <c r="J522">
        <v>521</v>
      </c>
    </row>
    <row r="523" spans="1:10" customFormat="1" ht="15" x14ac:dyDescent="0.25">
      <c r="A523" s="6">
        <v>22</v>
      </c>
      <c r="B523" s="6" t="s">
        <v>505</v>
      </c>
      <c r="C523" s="6" t="s">
        <v>510</v>
      </c>
      <c r="D523" s="6" t="s">
        <v>442</v>
      </c>
      <c r="E523" s="6" t="s">
        <v>443</v>
      </c>
      <c r="F523">
        <v>25</v>
      </c>
      <c r="J523">
        <v>522</v>
      </c>
    </row>
    <row r="524" spans="1:10" customFormat="1" ht="15" x14ac:dyDescent="0.25">
      <c r="A524" s="6">
        <v>22</v>
      </c>
      <c r="B524" s="6" t="s">
        <v>505</v>
      </c>
      <c r="C524" s="6" t="s">
        <v>510</v>
      </c>
      <c r="D524" s="6" t="s">
        <v>442</v>
      </c>
      <c r="E524" s="6" t="s">
        <v>443</v>
      </c>
      <c r="F524">
        <v>26</v>
      </c>
      <c r="J524">
        <v>523</v>
      </c>
    </row>
    <row r="525" spans="1:10" customFormat="1" ht="15" x14ac:dyDescent="0.25">
      <c r="A525" s="6">
        <v>22</v>
      </c>
      <c r="B525" s="6" t="s">
        <v>505</v>
      </c>
      <c r="C525" s="6" t="s">
        <v>510</v>
      </c>
      <c r="D525" s="6" t="s">
        <v>442</v>
      </c>
      <c r="E525" s="6" t="s">
        <v>443</v>
      </c>
      <c r="F525">
        <v>27</v>
      </c>
      <c r="J525">
        <v>524</v>
      </c>
    </row>
    <row r="526" spans="1:10" customFormat="1" ht="15" x14ac:dyDescent="0.25">
      <c r="A526" s="6">
        <v>22</v>
      </c>
      <c r="B526" s="6" t="s">
        <v>505</v>
      </c>
      <c r="C526" s="6" t="s">
        <v>510</v>
      </c>
      <c r="D526" s="6" t="s">
        <v>442</v>
      </c>
      <c r="E526" s="6" t="s">
        <v>443</v>
      </c>
      <c r="F526">
        <v>28</v>
      </c>
      <c r="J526">
        <v>525</v>
      </c>
    </row>
    <row r="527" spans="1:10" customFormat="1" ht="15" x14ac:dyDescent="0.25">
      <c r="A527" s="6">
        <v>22</v>
      </c>
      <c r="B527" s="6" t="s">
        <v>505</v>
      </c>
      <c r="C527" s="6" t="s">
        <v>510</v>
      </c>
      <c r="D527" s="6" t="s">
        <v>442</v>
      </c>
      <c r="E527" s="6" t="s">
        <v>443</v>
      </c>
      <c r="F527">
        <v>29</v>
      </c>
      <c r="J527">
        <v>526</v>
      </c>
    </row>
    <row r="528" spans="1:10" customFormat="1" ht="15" x14ac:dyDescent="0.25">
      <c r="A528" s="6">
        <v>22</v>
      </c>
      <c r="B528" s="6" t="s">
        <v>505</v>
      </c>
      <c r="C528" s="6" t="s">
        <v>510</v>
      </c>
      <c r="D528" s="6" t="s">
        <v>442</v>
      </c>
      <c r="E528" s="6" t="s">
        <v>443</v>
      </c>
      <c r="F528">
        <v>30</v>
      </c>
      <c r="J528">
        <v>527</v>
      </c>
    </row>
    <row r="529" spans="1:10" customFormat="1" ht="15" x14ac:dyDescent="0.25">
      <c r="A529" s="6">
        <v>22</v>
      </c>
      <c r="B529" s="6" t="s">
        <v>505</v>
      </c>
      <c r="C529" s="6" t="s">
        <v>510</v>
      </c>
      <c r="D529" s="6" t="s">
        <v>442</v>
      </c>
      <c r="E529" s="6" t="s">
        <v>443</v>
      </c>
      <c r="F529">
        <v>31</v>
      </c>
      <c r="J529">
        <v>528</v>
      </c>
    </row>
    <row r="530" spans="1:10" customFormat="1" ht="15" x14ac:dyDescent="0.25">
      <c r="A530" s="6">
        <v>22</v>
      </c>
      <c r="B530" s="6" t="s">
        <v>505</v>
      </c>
      <c r="C530" s="6" t="s">
        <v>510</v>
      </c>
      <c r="D530" s="6" t="s">
        <v>442</v>
      </c>
      <c r="E530" s="6" t="s">
        <v>443</v>
      </c>
      <c r="F530">
        <v>32</v>
      </c>
      <c r="J530">
        <v>529</v>
      </c>
    </row>
    <row r="531" spans="1:10" customFormat="1" ht="15" x14ac:dyDescent="0.25">
      <c r="A531" s="6">
        <v>22</v>
      </c>
      <c r="B531" s="6" t="s">
        <v>505</v>
      </c>
      <c r="C531" s="6" t="s">
        <v>510</v>
      </c>
      <c r="D531" s="6" t="s">
        <v>442</v>
      </c>
      <c r="E531" s="6" t="s">
        <v>443</v>
      </c>
      <c r="F531">
        <v>33</v>
      </c>
      <c r="J531">
        <v>530</v>
      </c>
    </row>
    <row r="532" spans="1:10" customFormat="1" ht="15" x14ac:dyDescent="0.25">
      <c r="A532" s="6">
        <v>22</v>
      </c>
      <c r="B532" s="6" t="s">
        <v>505</v>
      </c>
      <c r="C532" s="6" t="s">
        <v>510</v>
      </c>
      <c r="D532" s="6" t="s">
        <v>442</v>
      </c>
      <c r="E532" s="6" t="s">
        <v>443</v>
      </c>
      <c r="F532">
        <v>34</v>
      </c>
      <c r="J532">
        <v>531</v>
      </c>
    </row>
    <row r="533" spans="1:10" customFormat="1" ht="15" x14ac:dyDescent="0.25">
      <c r="A533" s="6">
        <v>22</v>
      </c>
      <c r="B533" s="6" t="s">
        <v>505</v>
      </c>
      <c r="C533" s="6" t="s">
        <v>510</v>
      </c>
      <c r="D533" s="6" t="s">
        <v>442</v>
      </c>
      <c r="E533" s="6" t="s">
        <v>443</v>
      </c>
      <c r="F533">
        <v>35</v>
      </c>
      <c r="J533">
        <v>532</v>
      </c>
    </row>
    <row r="534" spans="1:10" customFormat="1" ht="15" x14ac:dyDescent="0.25">
      <c r="A534" s="6">
        <v>22</v>
      </c>
      <c r="B534" s="6" t="s">
        <v>505</v>
      </c>
      <c r="C534" s="6" t="s">
        <v>510</v>
      </c>
      <c r="D534" s="6" t="s">
        <v>442</v>
      </c>
      <c r="E534" s="6" t="s">
        <v>443</v>
      </c>
      <c r="F534">
        <v>36</v>
      </c>
      <c r="J534">
        <v>533</v>
      </c>
    </row>
    <row r="535" spans="1:10" customFormat="1" ht="15" x14ac:dyDescent="0.25">
      <c r="A535" s="6">
        <v>22</v>
      </c>
      <c r="B535" s="6" t="s">
        <v>505</v>
      </c>
      <c r="C535" s="6" t="s">
        <v>510</v>
      </c>
      <c r="D535" s="6" t="s">
        <v>442</v>
      </c>
      <c r="E535" s="6" t="s">
        <v>443</v>
      </c>
      <c r="F535">
        <v>37</v>
      </c>
      <c r="J535">
        <v>534</v>
      </c>
    </row>
    <row r="536" spans="1:10" customFormat="1" ht="15" x14ac:dyDescent="0.25">
      <c r="A536" s="6">
        <v>22</v>
      </c>
      <c r="B536" s="6" t="s">
        <v>505</v>
      </c>
      <c r="C536" s="6" t="s">
        <v>510</v>
      </c>
      <c r="D536" s="6" t="s">
        <v>442</v>
      </c>
      <c r="E536" s="6" t="s">
        <v>443</v>
      </c>
      <c r="F536">
        <v>38</v>
      </c>
      <c r="J536">
        <v>535</v>
      </c>
    </row>
    <row r="537" spans="1:10" customFormat="1" ht="15" x14ac:dyDescent="0.25">
      <c r="A537" s="6">
        <v>22</v>
      </c>
      <c r="B537" s="6" t="s">
        <v>505</v>
      </c>
      <c r="C537" s="6" t="s">
        <v>510</v>
      </c>
      <c r="D537" s="6" t="s">
        <v>442</v>
      </c>
      <c r="E537" s="6" t="s">
        <v>443</v>
      </c>
      <c r="F537">
        <v>39</v>
      </c>
      <c r="J537">
        <v>536</v>
      </c>
    </row>
    <row r="538" spans="1:10" customFormat="1" ht="15" x14ac:dyDescent="0.25">
      <c r="A538" s="6">
        <v>22</v>
      </c>
      <c r="B538" s="6" t="s">
        <v>505</v>
      </c>
      <c r="C538" s="6" t="s">
        <v>510</v>
      </c>
      <c r="D538" s="6" t="s">
        <v>442</v>
      </c>
      <c r="E538" s="6" t="s">
        <v>443</v>
      </c>
      <c r="F538">
        <v>40</v>
      </c>
      <c r="J538">
        <v>537</v>
      </c>
    </row>
    <row r="539" spans="1:10" customFormat="1" ht="15" x14ac:dyDescent="0.25">
      <c r="A539" s="6">
        <v>22</v>
      </c>
      <c r="B539" s="6" t="s">
        <v>505</v>
      </c>
      <c r="C539" s="6" t="s">
        <v>510</v>
      </c>
      <c r="D539" s="6" t="s">
        <v>442</v>
      </c>
      <c r="E539" s="6" t="s">
        <v>443</v>
      </c>
      <c r="F539">
        <v>41</v>
      </c>
      <c r="J539">
        <v>538</v>
      </c>
    </row>
    <row r="540" spans="1:10" customFormat="1" thickBot="1" x14ac:dyDescent="0.3">
      <c r="A540" s="6">
        <v>22</v>
      </c>
      <c r="B540" s="6" t="s">
        <v>505</v>
      </c>
      <c r="C540" s="6" t="s">
        <v>510</v>
      </c>
      <c r="D540" s="16" t="s">
        <v>442</v>
      </c>
      <c r="E540" s="16" t="s">
        <v>443</v>
      </c>
      <c r="F540" s="17">
        <v>42</v>
      </c>
      <c r="G540" s="17"/>
      <c r="H540" s="17"/>
      <c r="I540" s="17">
        <v>42</v>
      </c>
      <c r="J540">
        <v>539</v>
      </c>
    </row>
    <row r="541" spans="1:10" customFormat="1" thickTop="1" x14ac:dyDescent="0.25">
      <c r="A541" s="27">
        <v>23</v>
      </c>
      <c r="B541" s="27" t="s">
        <v>505</v>
      </c>
      <c r="C541" s="27" t="s">
        <v>510</v>
      </c>
      <c r="D541" s="27" t="s">
        <v>446</v>
      </c>
      <c r="E541" s="27" t="s">
        <v>447</v>
      </c>
      <c r="F541" s="4">
        <v>1</v>
      </c>
      <c r="G541" s="4">
        <v>6</v>
      </c>
      <c r="H541" s="4"/>
      <c r="I541" s="4"/>
      <c r="J541" s="4">
        <v>540</v>
      </c>
    </row>
    <row r="542" spans="1:10" customFormat="1" ht="15" x14ac:dyDescent="0.25">
      <c r="A542" s="27">
        <v>23</v>
      </c>
      <c r="B542" s="27" t="s">
        <v>505</v>
      </c>
      <c r="C542" s="27" t="s">
        <v>510</v>
      </c>
      <c r="D542" s="27" t="s">
        <v>446</v>
      </c>
      <c r="E542" s="27" t="s">
        <v>447</v>
      </c>
      <c r="F542" s="4">
        <v>2</v>
      </c>
      <c r="G542" s="4">
        <v>12</v>
      </c>
      <c r="H542" s="4"/>
      <c r="I542" s="4"/>
      <c r="J542" s="4">
        <v>541</v>
      </c>
    </row>
    <row r="543" spans="1:10" customFormat="1" ht="15" x14ac:dyDescent="0.25">
      <c r="A543" s="27">
        <v>23</v>
      </c>
      <c r="B543" s="27" t="s">
        <v>505</v>
      </c>
      <c r="C543" s="27" t="s">
        <v>510</v>
      </c>
      <c r="D543" s="27" t="s">
        <v>446</v>
      </c>
      <c r="E543" s="27" t="s">
        <v>447</v>
      </c>
      <c r="F543" s="4">
        <v>3</v>
      </c>
      <c r="G543" s="4">
        <v>9</v>
      </c>
      <c r="H543" s="4"/>
      <c r="I543" s="4"/>
      <c r="J543" s="4">
        <v>542</v>
      </c>
    </row>
    <row r="544" spans="1:10" customFormat="1" ht="15" x14ac:dyDescent="0.25">
      <c r="A544" s="6">
        <v>23</v>
      </c>
      <c r="B544" s="6" t="s">
        <v>505</v>
      </c>
      <c r="C544" s="6" t="s">
        <v>510</v>
      </c>
      <c r="D544" s="6" t="s">
        <v>446</v>
      </c>
      <c r="E544" s="6" t="s">
        <v>447</v>
      </c>
      <c r="F544">
        <v>4</v>
      </c>
      <c r="J544">
        <v>543</v>
      </c>
    </row>
    <row r="545" spans="1:10" customFormat="1" ht="15" x14ac:dyDescent="0.25">
      <c r="A545" s="6">
        <v>23</v>
      </c>
      <c r="B545" s="6" t="s">
        <v>505</v>
      </c>
      <c r="C545" s="6" t="s">
        <v>510</v>
      </c>
      <c r="D545" s="6" t="s">
        <v>446</v>
      </c>
      <c r="E545" s="6" t="s">
        <v>447</v>
      </c>
      <c r="F545">
        <v>5</v>
      </c>
      <c r="J545">
        <v>544</v>
      </c>
    </row>
    <row r="546" spans="1:10" customFormat="1" ht="15" x14ac:dyDescent="0.25">
      <c r="A546" s="6">
        <v>23</v>
      </c>
      <c r="B546" s="6" t="s">
        <v>505</v>
      </c>
      <c r="C546" s="6" t="s">
        <v>510</v>
      </c>
      <c r="D546" s="6" t="s">
        <v>446</v>
      </c>
      <c r="E546" s="6" t="s">
        <v>447</v>
      </c>
      <c r="F546">
        <v>6</v>
      </c>
      <c r="J546">
        <v>545</v>
      </c>
    </row>
    <row r="547" spans="1:10" customFormat="1" ht="15" x14ac:dyDescent="0.25">
      <c r="A547" s="6">
        <v>23</v>
      </c>
      <c r="B547" s="6" t="s">
        <v>505</v>
      </c>
      <c r="C547" s="6" t="s">
        <v>510</v>
      </c>
      <c r="D547" s="6" t="s">
        <v>446</v>
      </c>
      <c r="E547" s="6" t="s">
        <v>447</v>
      </c>
      <c r="F547">
        <v>7</v>
      </c>
      <c r="J547">
        <v>546</v>
      </c>
    </row>
    <row r="548" spans="1:10" customFormat="1" ht="15" x14ac:dyDescent="0.25">
      <c r="A548" s="6">
        <v>23</v>
      </c>
      <c r="B548" s="6" t="s">
        <v>505</v>
      </c>
      <c r="C548" s="6" t="s">
        <v>510</v>
      </c>
      <c r="D548" s="6" t="s">
        <v>446</v>
      </c>
      <c r="E548" s="6" t="s">
        <v>447</v>
      </c>
      <c r="F548">
        <v>8</v>
      </c>
      <c r="J548">
        <v>547</v>
      </c>
    </row>
    <row r="549" spans="1:10" customFormat="1" ht="15" x14ac:dyDescent="0.25">
      <c r="A549" s="6">
        <v>23</v>
      </c>
      <c r="B549" s="6" t="s">
        <v>505</v>
      </c>
      <c r="C549" s="6" t="s">
        <v>510</v>
      </c>
      <c r="D549" s="6" t="s">
        <v>446</v>
      </c>
      <c r="E549" s="6" t="s">
        <v>447</v>
      </c>
      <c r="F549">
        <v>9</v>
      </c>
      <c r="J549">
        <v>548</v>
      </c>
    </row>
    <row r="550" spans="1:10" customFormat="1" ht="15" x14ac:dyDescent="0.25">
      <c r="A550" s="6">
        <v>23</v>
      </c>
      <c r="B550" s="6" t="s">
        <v>505</v>
      </c>
      <c r="C550" s="6" t="s">
        <v>510</v>
      </c>
      <c r="D550" s="6" t="s">
        <v>446</v>
      </c>
      <c r="E550" s="6" t="s">
        <v>447</v>
      </c>
      <c r="F550">
        <v>10</v>
      </c>
      <c r="J550">
        <v>549</v>
      </c>
    </row>
    <row r="551" spans="1:10" customFormat="1" ht="15" x14ac:dyDescent="0.25">
      <c r="A551" s="6">
        <v>23</v>
      </c>
      <c r="B551" s="6" t="s">
        <v>505</v>
      </c>
      <c r="C551" s="6" t="s">
        <v>510</v>
      </c>
      <c r="D551" s="6" t="s">
        <v>446</v>
      </c>
      <c r="E551" s="6" t="s">
        <v>447</v>
      </c>
      <c r="F551">
        <v>11</v>
      </c>
      <c r="J551">
        <v>550</v>
      </c>
    </row>
    <row r="552" spans="1:10" customFormat="1" ht="15" x14ac:dyDescent="0.25">
      <c r="A552" s="6">
        <v>23</v>
      </c>
      <c r="B552" s="6" t="s">
        <v>505</v>
      </c>
      <c r="C552" s="6" t="s">
        <v>510</v>
      </c>
      <c r="D552" s="6" t="s">
        <v>446</v>
      </c>
      <c r="E552" s="6" t="s">
        <v>447</v>
      </c>
      <c r="F552">
        <v>12</v>
      </c>
      <c r="J552">
        <v>551</v>
      </c>
    </row>
    <row r="553" spans="1:10" customFormat="1" ht="15" x14ac:dyDescent="0.25">
      <c r="A553" s="6">
        <v>23</v>
      </c>
      <c r="B553" s="6" t="s">
        <v>505</v>
      </c>
      <c r="C553" s="6" t="s">
        <v>510</v>
      </c>
      <c r="D553" s="6" t="s">
        <v>446</v>
      </c>
      <c r="E553" s="6" t="s">
        <v>447</v>
      </c>
      <c r="F553">
        <v>13</v>
      </c>
      <c r="J553">
        <v>552</v>
      </c>
    </row>
    <row r="554" spans="1:10" customFormat="1" ht="15" x14ac:dyDescent="0.25">
      <c r="A554" s="6">
        <v>23</v>
      </c>
      <c r="B554" s="6" t="s">
        <v>505</v>
      </c>
      <c r="C554" s="6" t="s">
        <v>510</v>
      </c>
      <c r="D554" s="6" t="s">
        <v>446</v>
      </c>
      <c r="E554" s="6" t="s">
        <v>447</v>
      </c>
      <c r="F554">
        <v>14</v>
      </c>
      <c r="J554">
        <v>553</v>
      </c>
    </row>
    <row r="555" spans="1:10" customFormat="1" ht="15" x14ac:dyDescent="0.25">
      <c r="A555" s="6">
        <v>23</v>
      </c>
      <c r="B555" s="6" t="s">
        <v>505</v>
      </c>
      <c r="C555" s="6" t="s">
        <v>510</v>
      </c>
      <c r="D555" s="6" t="s">
        <v>446</v>
      </c>
      <c r="E555" s="6" t="s">
        <v>447</v>
      </c>
      <c r="F555">
        <v>15</v>
      </c>
      <c r="J555">
        <v>554</v>
      </c>
    </row>
    <row r="556" spans="1:10" customFormat="1" ht="15" x14ac:dyDescent="0.25">
      <c r="A556" s="6">
        <v>23</v>
      </c>
      <c r="B556" s="6" t="s">
        <v>505</v>
      </c>
      <c r="C556" s="6" t="s">
        <v>510</v>
      </c>
      <c r="D556" s="6" t="s">
        <v>446</v>
      </c>
      <c r="E556" s="6" t="s">
        <v>447</v>
      </c>
      <c r="F556">
        <v>16</v>
      </c>
      <c r="J556">
        <v>555</v>
      </c>
    </row>
    <row r="557" spans="1:10" customFormat="1" ht="15" x14ac:dyDescent="0.25">
      <c r="A557" s="6">
        <v>23</v>
      </c>
      <c r="B557" s="6" t="s">
        <v>505</v>
      </c>
      <c r="C557" s="6" t="s">
        <v>510</v>
      </c>
      <c r="D557" s="6" t="s">
        <v>446</v>
      </c>
      <c r="E557" s="6" t="s">
        <v>447</v>
      </c>
      <c r="F557">
        <v>17</v>
      </c>
      <c r="J557">
        <v>556</v>
      </c>
    </row>
    <row r="558" spans="1:10" customFormat="1" ht="15" x14ac:dyDescent="0.25">
      <c r="A558" s="6">
        <v>23</v>
      </c>
      <c r="B558" s="6" t="s">
        <v>505</v>
      </c>
      <c r="C558" s="6" t="s">
        <v>510</v>
      </c>
      <c r="D558" s="6" t="s">
        <v>446</v>
      </c>
      <c r="E558" s="6" t="s">
        <v>447</v>
      </c>
      <c r="F558">
        <v>18</v>
      </c>
      <c r="J558">
        <v>557</v>
      </c>
    </row>
    <row r="559" spans="1:10" customFormat="1" ht="15" x14ac:dyDescent="0.25">
      <c r="A559" s="6">
        <v>23</v>
      </c>
      <c r="B559" s="6" t="s">
        <v>505</v>
      </c>
      <c r="C559" s="6" t="s">
        <v>510</v>
      </c>
      <c r="D559" s="6" t="s">
        <v>446</v>
      </c>
      <c r="E559" s="6" t="s">
        <v>447</v>
      </c>
      <c r="F559">
        <v>19</v>
      </c>
      <c r="J559">
        <v>558</v>
      </c>
    </row>
    <row r="560" spans="1:10" customFormat="1" ht="15" x14ac:dyDescent="0.25">
      <c r="A560" s="6">
        <v>23</v>
      </c>
      <c r="B560" s="6" t="s">
        <v>505</v>
      </c>
      <c r="C560" s="6" t="s">
        <v>510</v>
      </c>
      <c r="D560" s="6" t="s">
        <v>446</v>
      </c>
      <c r="E560" s="6" t="s">
        <v>447</v>
      </c>
      <c r="F560">
        <v>20</v>
      </c>
      <c r="J560">
        <v>559</v>
      </c>
    </row>
    <row r="561" spans="1:10" customFormat="1" ht="15" x14ac:dyDescent="0.25">
      <c r="A561" s="6">
        <v>23</v>
      </c>
      <c r="B561" s="6" t="s">
        <v>505</v>
      </c>
      <c r="C561" s="6" t="s">
        <v>510</v>
      </c>
      <c r="D561" s="6" t="s">
        <v>446</v>
      </c>
      <c r="E561" s="6" t="s">
        <v>447</v>
      </c>
      <c r="F561">
        <v>21</v>
      </c>
      <c r="J561">
        <v>560</v>
      </c>
    </row>
    <row r="562" spans="1:10" customFormat="1" ht="15" x14ac:dyDescent="0.25">
      <c r="A562" s="6">
        <v>23</v>
      </c>
      <c r="B562" s="6" t="s">
        <v>505</v>
      </c>
      <c r="C562" s="6" t="s">
        <v>510</v>
      </c>
      <c r="D562" s="6" t="s">
        <v>446</v>
      </c>
      <c r="E562" s="6" t="s">
        <v>447</v>
      </c>
      <c r="F562">
        <v>22</v>
      </c>
      <c r="J562">
        <v>561</v>
      </c>
    </row>
    <row r="563" spans="1:10" customFormat="1" ht="15" x14ac:dyDescent="0.25">
      <c r="A563" s="6">
        <v>23</v>
      </c>
      <c r="B563" s="6" t="s">
        <v>505</v>
      </c>
      <c r="C563" s="6" t="s">
        <v>510</v>
      </c>
      <c r="D563" s="6" t="s">
        <v>446</v>
      </c>
      <c r="E563" s="6" t="s">
        <v>447</v>
      </c>
      <c r="F563">
        <v>23</v>
      </c>
      <c r="J563">
        <v>562</v>
      </c>
    </row>
    <row r="564" spans="1:10" customFormat="1" ht="15" x14ac:dyDescent="0.25">
      <c r="A564" s="6">
        <v>23</v>
      </c>
      <c r="B564" s="6" t="s">
        <v>505</v>
      </c>
      <c r="C564" s="6" t="s">
        <v>510</v>
      </c>
      <c r="D564" s="6" t="s">
        <v>446</v>
      </c>
      <c r="E564" s="6" t="s">
        <v>447</v>
      </c>
      <c r="F564">
        <v>24</v>
      </c>
      <c r="J564">
        <v>563</v>
      </c>
    </row>
    <row r="565" spans="1:10" customFormat="1" ht="15" x14ac:dyDescent="0.25">
      <c r="A565" s="6">
        <v>23</v>
      </c>
      <c r="B565" s="6" t="s">
        <v>505</v>
      </c>
      <c r="C565" s="6" t="s">
        <v>510</v>
      </c>
      <c r="D565" s="6" t="s">
        <v>446</v>
      </c>
      <c r="E565" s="6" t="s">
        <v>447</v>
      </c>
      <c r="F565">
        <v>25</v>
      </c>
      <c r="J565">
        <v>564</v>
      </c>
    </row>
    <row r="566" spans="1:10" customFormat="1" ht="15" x14ac:dyDescent="0.25">
      <c r="A566" s="6">
        <v>23</v>
      </c>
      <c r="B566" s="6" t="s">
        <v>505</v>
      </c>
      <c r="C566" s="6" t="s">
        <v>510</v>
      </c>
      <c r="D566" s="6" t="s">
        <v>446</v>
      </c>
      <c r="E566" s="6" t="s">
        <v>447</v>
      </c>
      <c r="F566">
        <v>26</v>
      </c>
      <c r="J566">
        <v>565</v>
      </c>
    </row>
    <row r="567" spans="1:10" customFormat="1" ht="15" x14ac:dyDescent="0.25">
      <c r="A567" s="6">
        <v>23</v>
      </c>
      <c r="B567" s="6" t="s">
        <v>505</v>
      </c>
      <c r="C567" s="6" t="s">
        <v>510</v>
      </c>
      <c r="D567" s="6" t="s">
        <v>446</v>
      </c>
      <c r="E567" s="6" t="s">
        <v>447</v>
      </c>
      <c r="F567">
        <v>27</v>
      </c>
      <c r="J567">
        <v>566</v>
      </c>
    </row>
    <row r="568" spans="1:10" customFormat="1" ht="15" x14ac:dyDescent="0.25">
      <c r="A568" s="6">
        <v>23</v>
      </c>
      <c r="B568" s="6" t="s">
        <v>505</v>
      </c>
      <c r="C568" s="6" t="s">
        <v>510</v>
      </c>
      <c r="D568" s="6" t="s">
        <v>446</v>
      </c>
      <c r="E568" s="6" t="s">
        <v>447</v>
      </c>
      <c r="F568">
        <v>28</v>
      </c>
      <c r="J568">
        <v>567</v>
      </c>
    </row>
    <row r="569" spans="1:10" customFormat="1" ht="15" x14ac:dyDescent="0.25">
      <c r="A569" s="6">
        <v>23</v>
      </c>
      <c r="B569" s="6" t="s">
        <v>505</v>
      </c>
      <c r="C569" s="6" t="s">
        <v>510</v>
      </c>
      <c r="D569" s="6" t="s">
        <v>446</v>
      </c>
      <c r="E569" s="6" t="s">
        <v>447</v>
      </c>
      <c r="F569">
        <v>29</v>
      </c>
      <c r="J569">
        <v>568</v>
      </c>
    </row>
    <row r="570" spans="1:10" customFormat="1" ht="15" x14ac:dyDescent="0.25">
      <c r="A570" s="6">
        <v>23</v>
      </c>
      <c r="B570" s="6" t="s">
        <v>505</v>
      </c>
      <c r="C570" s="6" t="s">
        <v>510</v>
      </c>
      <c r="D570" s="6" t="s">
        <v>446</v>
      </c>
      <c r="E570" s="6" t="s">
        <v>447</v>
      </c>
      <c r="F570">
        <v>30</v>
      </c>
      <c r="J570">
        <v>569</v>
      </c>
    </row>
    <row r="571" spans="1:10" customFormat="1" ht="15" x14ac:dyDescent="0.25">
      <c r="A571" s="6">
        <v>23</v>
      </c>
      <c r="B571" s="6" t="s">
        <v>505</v>
      </c>
      <c r="C571" s="6" t="s">
        <v>510</v>
      </c>
      <c r="D571" s="6" t="s">
        <v>446</v>
      </c>
      <c r="E571" s="6" t="s">
        <v>447</v>
      </c>
      <c r="F571">
        <v>31</v>
      </c>
      <c r="J571">
        <v>570</v>
      </c>
    </row>
    <row r="572" spans="1:10" customFormat="1" ht="15" x14ac:dyDescent="0.25">
      <c r="A572" s="6">
        <v>23</v>
      </c>
      <c r="B572" s="6" t="s">
        <v>505</v>
      </c>
      <c r="C572" s="6" t="s">
        <v>510</v>
      </c>
      <c r="D572" s="6" t="s">
        <v>446</v>
      </c>
      <c r="E572" s="6" t="s">
        <v>447</v>
      </c>
      <c r="F572">
        <v>32</v>
      </c>
      <c r="J572">
        <v>571</v>
      </c>
    </row>
    <row r="573" spans="1:10" customFormat="1" ht="15" x14ac:dyDescent="0.25">
      <c r="A573" s="6">
        <v>23</v>
      </c>
      <c r="B573" s="6" t="s">
        <v>505</v>
      </c>
      <c r="C573" s="6" t="s">
        <v>510</v>
      </c>
      <c r="D573" s="6" t="s">
        <v>446</v>
      </c>
      <c r="E573" s="6" t="s">
        <v>447</v>
      </c>
      <c r="F573">
        <v>33</v>
      </c>
      <c r="J573">
        <v>572</v>
      </c>
    </row>
    <row r="574" spans="1:10" customFormat="1" ht="15" x14ac:dyDescent="0.25">
      <c r="A574" s="6">
        <v>23</v>
      </c>
      <c r="B574" s="6" t="s">
        <v>505</v>
      </c>
      <c r="C574" s="6" t="s">
        <v>510</v>
      </c>
      <c r="D574" s="6" t="s">
        <v>446</v>
      </c>
      <c r="E574" s="6" t="s">
        <v>447</v>
      </c>
      <c r="F574">
        <v>34</v>
      </c>
      <c r="J574">
        <v>573</v>
      </c>
    </row>
    <row r="575" spans="1:10" customFormat="1" ht="15" x14ac:dyDescent="0.25">
      <c r="A575" s="6">
        <v>23</v>
      </c>
      <c r="B575" s="6" t="s">
        <v>505</v>
      </c>
      <c r="C575" s="6" t="s">
        <v>510</v>
      </c>
      <c r="D575" s="6" t="s">
        <v>446</v>
      </c>
      <c r="E575" s="6" t="s">
        <v>447</v>
      </c>
      <c r="F575">
        <v>35</v>
      </c>
      <c r="J575">
        <v>574</v>
      </c>
    </row>
    <row r="576" spans="1:10" customFormat="1" ht="15" x14ac:dyDescent="0.25">
      <c r="A576" s="6">
        <v>23</v>
      </c>
      <c r="B576" s="6" t="s">
        <v>505</v>
      </c>
      <c r="C576" s="6" t="s">
        <v>510</v>
      </c>
      <c r="D576" s="6" t="s">
        <v>446</v>
      </c>
      <c r="E576" s="6" t="s">
        <v>447</v>
      </c>
      <c r="F576">
        <v>36</v>
      </c>
      <c r="J576">
        <v>575</v>
      </c>
    </row>
    <row r="577" spans="1:10" customFormat="1" ht="15" x14ac:dyDescent="0.25">
      <c r="A577" s="6">
        <v>23</v>
      </c>
      <c r="B577" s="6" t="s">
        <v>505</v>
      </c>
      <c r="C577" s="6" t="s">
        <v>510</v>
      </c>
      <c r="D577" s="6" t="s">
        <v>446</v>
      </c>
      <c r="E577" s="6" t="s">
        <v>447</v>
      </c>
      <c r="F577">
        <v>37</v>
      </c>
      <c r="J577">
        <v>576</v>
      </c>
    </row>
    <row r="578" spans="1:10" customFormat="1" ht="15" x14ac:dyDescent="0.25">
      <c r="A578" s="6">
        <v>23</v>
      </c>
      <c r="B578" s="6" t="s">
        <v>505</v>
      </c>
      <c r="C578" s="6" t="s">
        <v>510</v>
      </c>
      <c r="D578" s="6" t="s">
        <v>446</v>
      </c>
      <c r="E578" s="6" t="s">
        <v>447</v>
      </c>
      <c r="F578">
        <v>38</v>
      </c>
      <c r="J578">
        <v>577</v>
      </c>
    </row>
    <row r="579" spans="1:10" customFormat="1" ht="15" x14ac:dyDescent="0.25">
      <c r="A579" s="6">
        <v>23</v>
      </c>
      <c r="B579" s="6" t="s">
        <v>505</v>
      </c>
      <c r="C579" s="6" t="s">
        <v>510</v>
      </c>
      <c r="D579" s="6" t="s">
        <v>446</v>
      </c>
      <c r="E579" s="6" t="s">
        <v>447</v>
      </c>
      <c r="F579">
        <v>39</v>
      </c>
      <c r="J579">
        <v>578</v>
      </c>
    </row>
    <row r="580" spans="1:10" customFormat="1" ht="15" x14ac:dyDescent="0.25">
      <c r="A580" s="27">
        <v>23</v>
      </c>
      <c r="B580" s="27" t="s">
        <v>505</v>
      </c>
      <c r="C580" s="27" t="s">
        <v>510</v>
      </c>
      <c r="D580" s="27" t="s">
        <v>446</v>
      </c>
      <c r="E580" s="27" t="s">
        <v>447</v>
      </c>
      <c r="F580" s="4">
        <v>40</v>
      </c>
      <c r="G580" s="4">
        <v>14</v>
      </c>
      <c r="H580" s="4"/>
      <c r="I580" s="4"/>
      <c r="J580" s="4">
        <v>579</v>
      </c>
    </row>
    <row r="581" spans="1:10" customFormat="1" ht="15" x14ac:dyDescent="0.25">
      <c r="A581" s="27">
        <v>23</v>
      </c>
      <c r="B581" s="27" t="s">
        <v>505</v>
      </c>
      <c r="C581" s="27" t="s">
        <v>510</v>
      </c>
      <c r="D581" s="27" t="s">
        <v>446</v>
      </c>
      <c r="E581" s="27" t="s">
        <v>447</v>
      </c>
      <c r="F581" s="4">
        <v>41</v>
      </c>
      <c r="G581" s="4">
        <v>12</v>
      </c>
      <c r="H581" s="4"/>
      <c r="I581" s="4"/>
      <c r="J581" s="4">
        <v>580</v>
      </c>
    </row>
    <row r="582" spans="1:10" customFormat="1" ht="15" x14ac:dyDescent="0.25">
      <c r="A582" s="27">
        <v>23</v>
      </c>
      <c r="B582" s="27" t="s">
        <v>505</v>
      </c>
      <c r="C582" s="27" t="s">
        <v>510</v>
      </c>
      <c r="D582" s="27" t="s">
        <v>446</v>
      </c>
      <c r="E582" s="27" t="s">
        <v>447</v>
      </c>
      <c r="F582" s="4">
        <v>42</v>
      </c>
      <c r="G582" s="4">
        <v>5</v>
      </c>
      <c r="H582" s="4"/>
      <c r="I582" s="4"/>
      <c r="J582" s="4">
        <v>581</v>
      </c>
    </row>
    <row r="583" spans="1:10" customFormat="1" ht="15" x14ac:dyDescent="0.25">
      <c r="A583" s="27">
        <v>23</v>
      </c>
      <c r="B583" s="27" t="s">
        <v>505</v>
      </c>
      <c r="C583" s="27" t="s">
        <v>510</v>
      </c>
      <c r="D583" s="27" t="s">
        <v>446</v>
      </c>
      <c r="E583" s="27" t="s">
        <v>447</v>
      </c>
      <c r="F583" s="4">
        <v>43</v>
      </c>
      <c r="G583" s="4">
        <v>27</v>
      </c>
      <c r="H583" s="4"/>
      <c r="I583" s="4"/>
      <c r="J583" s="4">
        <v>582</v>
      </c>
    </row>
    <row r="584" spans="1:10" customFormat="1" ht="15" x14ac:dyDescent="0.25">
      <c r="A584" s="27">
        <v>23</v>
      </c>
      <c r="B584" s="27" t="s">
        <v>505</v>
      </c>
      <c r="C584" s="27" t="s">
        <v>510</v>
      </c>
      <c r="D584" s="27" t="s">
        <v>446</v>
      </c>
      <c r="E584" s="27" t="s">
        <v>447</v>
      </c>
      <c r="F584" s="4">
        <v>44</v>
      </c>
      <c r="G584" s="4">
        <v>18</v>
      </c>
      <c r="H584" s="4"/>
      <c r="I584" s="4"/>
      <c r="J584" s="4">
        <v>583</v>
      </c>
    </row>
    <row r="585" spans="1:10" customFormat="1" ht="15" x14ac:dyDescent="0.25">
      <c r="A585" s="27">
        <v>23</v>
      </c>
      <c r="B585" s="27" t="s">
        <v>505</v>
      </c>
      <c r="C585" s="27" t="s">
        <v>510</v>
      </c>
      <c r="D585" s="27" t="s">
        <v>446</v>
      </c>
      <c r="E585" s="27" t="s">
        <v>447</v>
      </c>
      <c r="F585" s="4">
        <v>45</v>
      </c>
      <c r="G585" s="4">
        <v>12</v>
      </c>
      <c r="H585" s="4"/>
      <c r="I585" s="4"/>
      <c r="J585" s="4">
        <v>584</v>
      </c>
    </row>
    <row r="586" spans="1:10" customFormat="1" ht="15" x14ac:dyDescent="0.25">
      <c r="A586" s="27">
        <v>23</v>
      </c>
      <c r="B586" s="27" t="s">
        <v>505</v>
      </c>
      <c r="C586" s="27" t="s">
        <v>510</v>
      </c>
      <c r="D586" s="27" t="s">
        <v>446</v>
      </c>
      <c r="E586" s="27" t="s">
        <v>447</v>
      </c>
      <c r="F586" s="4">
        <v>46</v>
      </c>
      <c r="G586" s="4">
        <v>10</v>
      </c>
      <c r="H586" s="4"/>
      <c r="I586" s="4"/>
      <c r="J586" s="4">
        <v>585</v>
      </c>
    </row>
    <row r="587" spans="1:10" customFormat="1" ht="15" x14ac:dyDescent="0.25">
      <c r="A587" s="27">
        <v>23</v>
      </c>
      <c r="B587" s="27" t="s">
        <v>505</v>
      </c>
      <c r="C587" s="27" t="s">
        <v>510</v>
      </c>
      <c r="D587" s="27" t="s">
        <v>446</v>
      </c>
      <c r="E587" s="27" t="s">
        <v>447</v>
      </c>
      <c r="F587" s="4">
        <v>47</v>
      </c>
      <c r="G587" s="4">
        <v>15</v>
      </c>
      <c r="H587" s="4"/>
      <c r="I587" s="4"/>
      <c r="J587" s="4">
        <v>586</v>
      </c>
    </row>
    <row r="588" spans="1:10" customFormat="1" ht="15" x14ac:dyDescent="0.25">
      <c r="A588" s="27">
        <v>23</v>
      </c>
      <c r="B588" s="27" t="s">
        <v>505</v>
      </c>
      <c r="C588" s="27" t="s">
        <v>510</v>
      </c>
      <c r="D588" s="27" t="s">
        <v>446</v>
      </c>
      <c r="E588" s="27" t="s">
        <v>447</v>
      </c>
      <c r="F588" s="4">
        <v>48</v>
      </c>
      <c r="G588" s="4">
        <v>21</v>
      </c>
      <c r="H588" s="4"/>
      <c r="I588" s="4"/>
      <c r="J588" s="4">
        <v>587</v>
      </c>
    </row>
    <row r="589" spans="1:10" customFormat="1" ht="15" x14ac:dyDescent="0.25">
      <c r="A589" s="6">
        <v>23</v>
      </c>
      <c r="B589" s="6" t="s">
        <v>505</v>
      </c>
      <c r="C589" s="6" t="s">
        <v>510</v>
      </c>
      <c r="D589" s="6" t="s">
        <v>446</v>
      </c>
      <c r="E589" s="6" t="s">
        <v>447</v>
      </c>
      <c r="F589">
        <v>49</v>
      </c>
      <c r="J589">
        <v>588</v>
      </c>
    </row>
    <row r="590" spans="1:10" customFormat="1" ht="15" x14ac:dyDescent="0.25">
      <c r="A590" s="6">
        <v>23</v>
      </c>
      <c r="B590" s="6" t="s">
        <v>505</v>
      </c>
      <c r="C590" s="6" t="s">
        <v>510</v>
      </c>
      <c r="D590" s="6" t="s">
        <v>446</v>
      </c>
      <c r="E590" s="6" t="s">
        <v>447</v>
      </c>
      <c r="F590">
        <v>50</v>
      </c>
      <c r="J590">
        <v>589</v>
      </c>
    </row>
    <row r="591" spans="1:10" customFormat="1" ht="15" x14ac:dyDescent="0.25">
      <c r="A591" s="6">
        <v>23</v>
      </c>
      <c r="B591" s="6" t="s">
        <v>505</v>
      </c>
      <c r="C591" s="6" t="s">
        <v>510</v>
      </c>
      <c r="D591" s="6" t="s">
        <v>446</v>
      </c>
      <c r="E591" s="6" t="s">
        <v>447</v>
      </c>
      <c r="F591">
        <v>51</v>
      </c>
      <c r="J591">
        <v>590</v>
      </c>
    </row>
    <row r="592" spans="1:10" customFormat="1" ht="15" x14ac:dyDescent="0.25">
      <c r="A592" s="6">
        <v>23</v>
      </c>
      <c r="B592" s="6" t="s">
        <v>505</v>
      </c>
      <c r="C592" s="6" t="s">
        <v>510</v>
      </c>
      <c r="D592" s="6" t="s">
        <v>446</v>
      </c>
      <c r="E592" s="6" t="s">
        <v>447</v>
      </c>
      <c r="F592">
        <v>52</v>
      </c>
      <c r="J592">
        <v>591</v>
      </c>
    </row>
    <row r="593" spans="1:10" customFormat="1" ht="15" x14ac:dyDescent="0.25">
      <c r="A593" s="6">
        <v>23</v>
      </c>
      <c r="B593" s="6" t="s">
        <v>505</v>
      </c>
      <c r="C593" s="6" t="s">
        <v>510</v>
      </c>
      <c r="D593" s="6" t="s">
        <v>446</v>
      </c>
      <c r="E593" s="6" t="s">
        <v>447</v>
      </c>
      <c r="F593">
        <v>53</v>
      </c>
      <c r="J593">
        <v>592</v>
      </c>
    </row>
    <row r="594" spans="1:10" customFormat="1" ht="15" x14ac:dyDescent="0.25">
      <c r="A594" s="6">
        <v>23</v>
      </c>
      <c r="B594" s="6" t="s">
        <v>505</v>
      </c>
      <c r="C594" s="6" t="s">
        <v>510</v>
      </c>
      <c r="D594" s="6" t="s">
        <v>446</v>
      </c>
      <c r="E594" s="6" t="s">
        <v>447</v>
      </c>
      <c r="F594">
        <v>54</v>
      </c>
      <c r="J594">
        <v>593</v>
      </c>
    </row>
    <row r="595" spans="1:10" customFormat="1" ht="15" x14ac:dyDescent="0.25">
      <c r="A595" s="6">
        <v>23</v>
      </c>
      <c r="B595" s="6" t="s">
        <v>505</v>
      </c>
      <c r="C595" s="6" t="s">
        <v>510</v>
      </c>
      <c r="D595" s="6" t="s">
        <v>446</v>
      </c>
      <c r="E595" s="6" t="s">
        <v>447</v>
      </c>
      <c r="F595">
        <v>55</v>
      </c>
      <c r="J595">
        <v>594</v>
      </c>
    </row>
    <row r="596" spans="1:10" customFormat="1" ht="15" x14ac:dyDescent="0.25">
      <c r="A596" s="6">
        <v>23</v>
      </c>
      <c r="B596" s="6" t="s">
        <v>505</v>
      </c>
      <c r="C596" s="6" t="s">
        <v>510</v>
      </c>
      <c r="D596" s="6" t="s">
        <v>446</v>
      </c>
      <c r="E596" s="6" t="s">
        <v>447</v>
      </c>
      <c r="F596">
        <v>56</v>
      </c>
      <c r="J596">
        <v>595</v>
      </c>
    </row>
    <row r="597" spans="1:10" customFormat="1" ht="15" x14ac:dyDescent="0.25">
      <c r="A597" s="6">
        <v>23</v>
      </c>
      <c r="B597" s="6" t="s">
        <v>505</v>
      </c>
      <c r="C597" s="6" t="s">
        <v>510</v>
      </c>
      <c r="D597" s="6" t="s">
        <v>446</v>
      </c>
      <c r="E597" s="6" t="s">
        <v>447</v>
      </c>
      <c r="F597">
        <v>57</v>
      </c>
      <c r="J597">
        <v>596</v>
      </c>
    </row>
    <row r="598" spans="1:10" customFormat="1" ht="15" x14ac:dyDescent="0.25">
      <c r="A598" s="6">
        <v>23</v>
      </c>
      <c r="B598" s="6" t="s">
        <v>505</v>
      </c>
      <c r="C598" s="6" t="s">
        <v>510</v>
      </c>
      <c r="D598" s="6" t="s">
        <v>446</v>
      </c>
      <c r="E598" s="6" t="s">
        <v>447</v>
      </c>
      <c r="F598">
        <v>58</v>
      </c>
      <c r="J598">
        <v>597</v>
      </c>
    </row>
    <row r="599" spans="1:10" customFormat="1" ht="15" x14ac:dyDescent="0.25">
      <c r="A599" s="6">
        <v>23</v>
      </c>
      <c r="B599" s="6" t="s">
        <v>505</v>
      </c>
      <c r="C599" s="6" t="s">
        <v>510</v>
      </c>
      <c r="D599" s="6" t="s">
        <v>446</v>
      </c>
      <c r="E599" s="6" t="s">
        <v>447</v>
      </c>
      <c r="F599">
        <v>59</v>
      </c>
      <c r="J599">
        <v>598</v>
      </c>
    </row>
    <row r="600" spans="1:10" customFormat="1" ht="15" x14ac:dyDescent="0.25">
      <c r="A600" s="6">
        <v>23</v>
      </c>
      <c r="B600" s="6" t="s">
        <v>505</v>
      </c>
      <c r="C600" s="6" t="s">
        <v>510</v>
      </c>
      <c r="D600" s="6" t="s">
        <v>446</v>
      </c>
      <c r="E600" s="6" t="s">
        <v>447</v>
      </c>
      <c r="F600">
        <v>60</v>
      </c>
      <c r="J600">
        <v>599</v>
      </c>
    </row>
    <row r="601" spans="1:10" customFormat="1" ht="15" x14ac:dyDescent="0.25">
      <c r="A601" s="6">
        <v>23</v>
      </c>
      <c r="B601" s="6" t="s">
        <v>505</v>
      </c>
      <c r="C601" s="6" t="s">
        <v>510</v>
      </c>
      <c r="D601" s="6" t="s">
        <v>446</v>
      </c>
      <c r="E601" s="6" t="s">
        <v>447</v>
      </c>
      <c r="F601">
        <v>61</v>
      </c>
      <c r="J601">
        <v>600</v>
      </c>
    </row>
    <row r="602" spans="1:10" customFormat="1" ht="15" x14ac:dyDescent="0.25">
      <c r="A602" s="6">
        <v>23</v>
      </c>
      <c r="B602" s="6" t="s">
        <v>505</v>
      </c>
      <c r="C602" s="6" t="s">
        <v>510</v>
      </c>
      <c r="D602" s="6" t="s">
        <v>446</v>
      </c>
      <c r="E602" s="6" t="s">
        <v>447</v>
      </c>
      <c r="F602">
        <v>62</v>
      </c>
      <c r="J602">
        <v>601</v>
      </c>
    </row>
    <row r="603" spans="1:10" customFormat="1" ht="15" x14ac:dyDescent="0.25">
      <c r="A603" s="6">
        <v>23</v>
      </c>
      <c r="B603" s="6" t="s">
        <v>505</v>
      </c>
      <c r="C603" s="6" t="s">
        <v>510</v>
      </c>
      <c r="D603" s="6" t="s">
        <v>446</v>
      </c>
      <c r="E603" s="6" t="s">
        <v>447</v>
      </c>
      <c r="F603">
        <v>63</v>
      </c>
      <c r="J603">
        <v>602</v>
      </c>
    </row>
    <row r="604" spans="1:10" customFormat="1" ht="15" x14ac:dyDescent="0.25">
      <c r="A604" s="6">
        <v>23</v>
      </c>
      <c r="B604" s="6" t="s">
        <v>505</v>
      </c>
      <c r="C604" s="6" t="s">
        <v>510</v>
      </c>
      <c r="D604" s="6" t="s">
        <v>446</v>
      </c>
      <c r="E604" s="6" t="s">
        <v>447</v>
      </c>
      <c r="F604">
        <v>64</v>
      </c>
      <c r="J604">
        <v>603</v>
      </c>
    </row>
    <row r="605" spans="1:10" customFormat="1" ht="15" x14ac:dyDescent="0.25">
      <c r="A605" s="6">
        <v>23</v>
      </c>
      <c r="B605" s="6" t="s">
        <v>505</v>
      </c>
      <c r="C605" s="6" t="s">
        <v>510</v>
      </c>
      <c r="D605" s="6" t="s">
        <v>446</v>
      </c>
      <c r="E605" s="6" t="s">
        <v>447</v>
      </c>
      <c r="F605">
        <v>65</v>
      </c>
      <c r="J605">
        <v>604</v>
      </c>
    </row>
    <row r="606" spans="1:10" customFormat="1" ht="15" x14ac:dyDescent="0.25">
      <c r="A606" s="6">
        <v>23</v>
      </c>
      <c r="B606" s="6" t="s">
        <v>505</v>
      </c>
      <c r="C606" s="6" t="s">
        <v>510</v>
      </c>
      <c r="D606" s="6" t="s">
        <v>446</v>
      </c>
      <c r="E606" s="6" t="s">
        <v>447</v>
      </c>
      <c r="F606">
        <v>66</v>
      </c>
      <c r="J606">
        <v>605</v>
      </c>
    </row>
    <row r="607" spans="1:10" customFormat="1" ht="15" x14ac:dyDescent="0.25">
      <c r="A607" s="6">
        <v>23</v>
      </c>
      <c r="B607" s="6" t="s">
        <v>505</v>
      </c>
      <c r="C607" s="6" t="s">
        <v>510</v>
      </c>
      <c r="D607" s="6" t="s">
        <v>446</v>
      </c>
      <c r="E607" s="6" t="s">
        <v>447</v>
      </c>
      <c r="F607">
        <v>67</v>
      </c>
      <c r="J607">
        <v>606</v>
      </c>
    </row>
    <row r="608" spans="1:10" customFormat="1" ht="15" x14ac:dyDescent="0.25">
      <c r="A608" s="6">
        <v>23</v>
      </c>
      <c r="B608" s="6" t="s">
        <v>505</v>
      </c>
      <c r="C608" s="6" t="s">
        <v>510</v>
      </c>
      <c r="D608" s="6" t="s">
        <v>446</v>
      </c>
      <c r="E608" s="6" t="s">
        <v>447</v>
      </c>
      <c r="F608">
        <v>68</v>
      </c>
      <c r="J608">
        <v>607</v>
      </c>
    </row>
    <row r="609" spans="1:10" customFormat="1" ht="15" x14ac:dyDescent="0.25">
      <c r="A609" s="6">
        <v>23</v>
      </c>
      <c r="B609" s="6" t="s">
        <v>505</v>
      </c>
      <c r="C609" s="6" t="s">
        <v>510</v>
      </c>
      <c r="D609" s="6" t="s">
        <v>446</v>
      </c>
      <c r="E609" s="6" t="s">
        <v>447</v>
      </c>
      <c r="F609">
        <v>69</v>
      </c>
      <c r="J609">
        <v>608</v>
      </c>
    </row>
    <row r="610" spans="1:10" customFormat="1" ht="15" x14ac:dyDescent="0.25">
      <c r="A610" s="6">
        <v>23</v>
      </c>
      <c r="B610" s="6" t="s">
        <v>505</v>
      </c>
      <c r="C610" s="6" t="s">
        <v>510</v>
      </c>
      <c r="D610" s="6" t="s">
        <v>446</v>
      </c>
      <c r="E610" s="6" t="s">
        <v>447</v>
      </c>
      <c r="F610">
        <v>70</v>
      </c>
      <c r="J610">
        <v>609</v>
      </c>
    </row>
    <row r="611" spans="1:10" customFormat="1" ht="15" x14ac:dyDescent="0.25">
      <c r="A611" s="6">
        <v>23</v>
      </c>
      <c r="B611" s="6" t="s">
        <v>505</v>
      </c>
      <c r="C611" s="6" t="s">
        <v>510</v>
      </c>
      <c r="D611" s="6" t="s">
        <v>446</v>
      </c>
      <c r="E611" s="6" t="s">
        <v>447</v>
      </c>
      <c r="F611">
        <v>71</v>
      </c>
      <c r="J611">
        <v>610</v>
      </c>
    </row>
    <row r="612" spans="1:10" customFormat="1" ht="15" x14ac:dyDescent="0.25">
      <c r="A612" s="6">
        <v>23</v>
      </c>
      <c r="B612" s="6" t="s">
        <v>505</v>
      </c>
      <c r="C612" s="6" t="s">
        <v>510</v>
      </c>
      <c r="D612" s="6" t="s">
        <v>446</v>
      </c>
      <c r="E612" s="6" t="s">
        <v>447</v>
      </c>
      <c r="F612">
        <v>72</v>
      </c>
      <c r="J612">
        <v>611</v>
      </c>
    </row>
    <row r="613" spans="1:10" customFormat="1" ht="15" x14ac:dyDescent="0.25">
      <c r="A613" s="6">
        <v>23</v>
      </c>
      <c r="B613" s="6" t="s">
        <v>505</v>
      </c>
      <c r="C613" s="6" t="s">
        <v>510</v>
      </c>
      <c r="D613" s="6" t="s">
        <v>446</v>
      </c>
      <c r="E613" s="6" t="s">
        <v>447</v>
      </c>
      <c r="F613">
        <v>73</v>
      </c>
      <c r="J613">
        <v>612</v>
      </c>
    </row>
    <row r="614" spans="1:10" customFormat="1" ht="15" x14ac:dyDescent="0.25">
      <c r="A614" s="6">
        <v>23</v>
      </c>
      <c r="B614" s="6" t="s">
        <v>505</v>
      </c>
      <c r="C614" s="6" t="s">
        <v>510</v>
      </c>
      <c r="D614" s="6" t="s">
        <v>446</v>
      </c>
      <c r="E614" s="6" t="s">
        <v>447</v>
      </c>
      <c r="F614">
        <v>74</v>
      </c>
      <c r="J614">
        <v>613</v>
      </c>
    </row>
    <row r="615" spans="1:10" customFormat="1" ht="15" x14ac:dyDescent="0.25">
      <c r="A615" s="6">
        <v>23</v>
      </c>
      <c r="B615" s="6" t="s">
        <v>505</v>
      </c>
      <c r="C615" s="6" t="s">
        <v>510</v>
      </c>
      <c r="D615" s="6" t="s">
        <v>446</v>
      </c>
      <c r="E615" s="6" t="s">
        <v>447</v>
      </c>
      <c r="F615">
        <v>75</v>
      </c>
      <c r="J615">
        <v>614</v>
      </c>
    </row>
    <row r="616" spans="1:10" customFormat="1" ht="15" x14ac:dyDescent="0.25">
      <c r="A616" s="6">
        <v>23</v>
      </c>
      <c r="B616" s="6" t="s">
        <v>505</v>
      </c>
      <c r="C616" s="6" t="s">
        <v>510</v>
      </c>
      <c r="D616" s="6" t="s">
        <v>446</v>
      </c>
      <c r="E616" s="6" t="s">
        <v>447</v>
      </c>
      <c r="F616">
        <v>76</v>
      </c>
      <c r="J616">
        <v>615</v>
      </c>
    </row>
    <row r="617" spans="1:10" customFormat="1" ht="15" x14ac:dyDescent="0.25">
      <c r="A617" s="6">
        <v>23</v>
      </c>
      <c r="B617" s="6" t="s">
        <v>505</v>
      </c>
      <c r="C617" s="6" t="s">
        <v>510</v>
      </c>
      <c r="D617" s="6" t="s">
        <v>446</v>
      </c>
      <c r="E617" s="6" t="s">
        <v>447</v>
      </c>
      <c r="F617">
        <v>77</v>
      </c>
      <c r="J617">
        <v>616</v>
      </c>
    </row>
    <row r="618" spans="1:10" customFormat="1" ht="15" x14ac:dyDescent="0.25">
      <c r="A618" s="6">
        <v>23</v>
      </c>
      <c r="B618" s="6" t="s">
        <v>505</v>
      </c>
      <c r="C618" s="6" t="s">
        <v>510</v>
      </c>
      <c r="D618" s="6" t="s">
        <v>446</v>
      </c>
      <c r="E618" s="6" t="s">
        <v>447</v>
      </c>
      <c r="F618">
        <v>78</v>
      </c>
      <c r="J618">
        <v>617</v>
      </c>
    </row>
    <row r="619" spans="1:10" customFormat="1" ht="15" x14ac:dyDescent="0.25">
      <c r="A619" s="6">
        <v>23</v>
      </c>
      <c r="B619" s="6" t="s">
        <v>505</v>
      </c>
      <c r="C619" s="6" t="s">
        <v>510</v>
      </c>
      <c r="D619" s="6" t="s">
        <v>446</v>
      </c>
      <c r="E619" s="6" t="s">
        <v>447</v>
      </c>
      <c r="F619">
        <v>79</v>
      </c>
      <c r="J619">
        <v>618</v>
      </c>
    </row>
    <row r="620" spans="1:10" customFormat="1" ht="15" x14ac:dyDescent="0.25">
      <c r="A620" s="6">
        <v>23</v>
      </c>
      <c r="B620" s="6" t="s">
        <v>505</v>
      </c>
      <c r="C620" s="6" t="s">
        <v>510</v>
      </c>
      <c r="D620" s="6" t="s">
        <v>446</v>
      </c>
      <c r="E620" s="6" t="s">
        <v>447</v>
      </c>
      <c r="F620">
        <v>80</v>
      </c>
      <c r="J620">
        <v>619</v>
      </c>
    </row>
    <row r="621" spans="1:10" customFormat="1" ht="15" x14ac:dyDescent="0.25">
      <c r="A621" s="27">
        <v>23</v>
      </c>
      <c r="B621" s="27" t="s">
        <v>505</v>
      </c>
      <c r="C621" s="27" t="s">
        <v>510</v>
      </c>
      <c r="D621" s="27" t="s">
        <v>446</v>
      </c>
      <c r="E621" s="27" t="s">
        <v>447</v>
      </c>
      <c r="F621" s="4">
        <v>81</v>
      </c>
      <c r="G621" s="4">
        <v>8</v>
      </c>
      <c r="H621" s="4"/>
      <c r="I621" s="4"/>
      <c r="J621" s="4">
        <v>620</v>
      </c>
    </row>
    <row r="622" spans="1:10" customFormat="1" ht="15" x14ac:dyDescent="0.25">
      <c r="A622" s="27">
        <v>23</v>
      </c>
      <c r="B622" s="27" t="s">
        <v>505</v>
      </c>
      <c r="C622" s="27" t="s">
        <v>510</v>
      </c>
      <c r="D622" s="27" t="s">
        <v>446</v>
      </c>
      <c r="E622" s="27" t="s">
        <v>447</v>
      </c>
      <c r="F622" s="4">
        <v>82</v>
      </c>
      <c r="G622" s="4">
        <v>19</v>
      </c>
      <c r="H622" s="4"/>
      <c r="I622" s="4"/>
      <c r="J622" s="4">
        <v>621</v>
      </c>
    </row>
    <row r="623" spans="1:10" customFormat="1" ht="15" x14ac:dyDescent="0.25">
      <c r="A623" s="27">
        <v>23</v>
      </c>
      <c r="B623" s="27" t="s">
        <v>505</v>
      </c>
      <c r="C623" s="27" t="s">
        <v>510</v>
      </c>
      <c r="D623" s="27" t="s">
        <v>446</v>
      </c>
      <c r="E623" s="27" t="s">
        <v>447</v>
      </c>
      <c r="F623" s="4">
        <v>83</v>
      </c>
      <c r="G623" s="4">
        <v>13</v>
      </c>
      <c r="H623" s="4"/>
      <c r="I623" s="4"/>
      <c r="J623" s="4">
        <v>622</v>
      </c>
    </row>
    <row r="624" spans="1:10" customFormat="1" ht="15" x14ac:dyDescent="0.25">
      <c r="A624" s="27">
        <v>23</v>
      </c>
      <c r="B624" s="27" t="s">
        <v>505</v>
      </c>
      <c r="C624" s="27" t="s">
        <v>510</v>
      </c>
      <c r="D624" s="27" t="s">
        <v>446</v>
      </c>
      <c r="E624" s="27" t="s">
        <v>447</v>
      </c>
      <c r="F624" s="4">
        <v>84</v>
      </c>
      <c r="G624" s="4">
        <v>14</v>
      </c>
      <c r="H624" s="4"/>
      <c r="I624" s="4"/>
      <c r="J624" s="4">
        <v>623</v>
      </c>
    </row>
    <row r="625" spans="1:10" customFormat="1" ht="15" x14ac:dyDescent="0.25">
      <c r="A625" s="27">
        <v>23</v>
      </c>
      <c r="B625" s="27" t="s">
        <v>505</v>
      </c>
      <c r="C625" s="27" t="s">
        <v>510</v>
      </c>
      <c r="D625" s="27" t="s">
        <v>446</v>
      </c>
      <c r="E625" s="27" t="s">
        <v>447</v>
      </c>
      <c r="F625" s="4">
        <v>85</v>
      </c>
      <c r="G625" s="4">
        <v>17</v>
      </c>
      <c r="H625" s="4"/>
      <c r="I625" s="4"/>
      <c r="J625" s="4">
        <v>624</v>
      </c>
    </row>
    <row r="626" spans="1:10" customFormat="1" ht="15" x14ac:dyDescent="0.25">
      <c r="A626" s="27">
        <v>23</v>
      </c>
      <c r="B626" s="27" t="s">
        <v>505</v>
      </c>
      <c r="C626" s="27" t="s">
        <v>510</v>
      </c>
      <c r="D626" s="27" t="s">
        <v>446</v>
      </c>
      <c r="E626" s="27" t="s">
        <v>447</v>
      </c>
      <c r="F626" s="4">
        <v>86</v>
      </c>
      <c r="G626" s="4">
        <v>7</v>
      </c>
      <c r="H626" s="4"/>
      <c r="I626" s="4"/>
      <c r="J626" s="4">
        <v>625</v>
      </c>
    </row>
    <row r="627" spans="1:10" customFormat="1" ht="15" x14ac:dyDescent="0.25">
      <c r="A627" s="27">
        <v>23</v>
      </c>
      <c r="B627" s="27" t="s">
        <v>505</v>
      </c>
      <c r="C627" s="27" t="s">
        <v>510</v>
      </c>
      <c r="D627" s="27" t="s">
        <v>446</v>
      </c>
      <c r="E627" s="27" t="s">
        <v>447</v>
      </c>
      <c r="F627" s="4">
        <v>87</v>
      </c>
      <c r="G627" s="4">
        <v>19</v>
      </c>
      <c r="H627" s="4"/>
      <c r="I627" s="4"/>
      <c r="J627" s="4">
        <v>626</v>
      </c>
    </row>
    <row r="628" spans="1:10" customFormat="1" ht="15" x14ac:dyDescent="0.25">
      <c r="A628" s="27">
        <v>23</v>
      </c>
      <c r="B628" s="27" t="s">
        <v>505</v>
      </c>
      <c r="C628" s="27" t="s">
        <v>510</v>
      </c>
      <c r="D628" s="27" t="s">
        <v>446</v>
      </c>
      <c r="E628" s="27" t="s">
        <v>447</v>
      </c>
      <c r="F628" s="4">
        <v>88</v>
      </c>
      <c r="G628" s="4">
        <v>53</v>
      </c>
      <c r="H628" s="4"/>
      <c r="I628" s="4"/>
      <c r="J628" s="4">
        <v>627</v>
      </c>
    </row>
    <row r="629" spans="1:10" customFormat="1" ht="15" x14ac:dyDescent="0.25">
      <c r="A629" s="27">
        <v>23</v>
      </c>
      <c r="B629" s="27" t="s">
        <v>505</v>
      </c>
      <c r="C629" s="27" t="s">
        <v>510</v>
      </c>
      <c r="D629" s="27" t="s">
        <v>446</v>
      </c>
      <c r="E629" s="27" t="s">
        <v>447</v>
      </c>
      <c r="F629" s="4">
        <v>89</v>
      </c>
      <c r="G629" s="4">
        <v>17</v>
      </c>
      <c r="H629" s="4"/>
      <c r="I629" s="4"/>
      <c r="J629" s="4">
        <v>628</v>
      </c>
    </row>
    <row r="630" spans="1:10" customFormat="1" ht="15" x14ac:dyDescent="0.25">
      <c r="A630" s="27">
        <v>23</v>
      </c>
      <c r="B630" s="27" t="s">
        <v>505</v>
      </c>
      <c r="C630" s="27" t="s">
        <v>510</v>
      </c>
      <c r="D630" s="27" t="s">
        <v>446</v>
      </c>
      <c r="E630" s="27" t="s">
        <v>447</v>
      </c>
      <c r="F630" s="4">
        <v>90</v>
      </c>
      <c r="G630" s="4">
        <v>16</v>
      </c>
      <c r="H630" s="4"/>
      <c r="I630" s="4"/>
      <c r="J630" s="4">
        <v>629</v>
      </c>
    </row>
    <row r="631" spans="1:10" customFormat="1" ht="15" x14ac:dyDescent="0.25">
      <c r="A631" s="27">
        <v>23</v>
      </c>
      <c r="B631" s="27" t="s">
        <v>505</v>
      </c>
      <c r="C631" s="27" t="s">
        <v>510</v>
      </c>
      <c r="D631" s="27" t="s">
        <v>446</v>
      </c>
      <c r="E631" s="27" t="s">
        <v>447</v>
      </c>
      <c r="F631" s="4">
        <v>91</v>
      </c>
      <c r="G631" s="4">
        <v>16</v>
      </c>
      <c r="H631" s="4"/>
      <c r="I631" s="4"/>
      <c r="J631" s="4">
        <v>630</v>
      </c>
    </row>
    <row r="632" spans="1:10" customFormat="1" ht="15" x14ac:dyDescent="0.25">
      <c r="A632" s="27">
        <v>23</v>
      </c>
      <c r="B632" s="27" t="s">
        <v>505</v>
      </c>
      <c r="C632" s="27" t="s">
        <v>510</v>
      </c>
      <c r="D632" s="27" t="s">
        <v>446</v>
      </c>
      <c r="E632" s="27" t="s">
        <v>447</v>
      </c>
      <c r="F632" s="4">
        <v>92</v>
      </c>
      <c r="G632" s="4">
        <v>5</v>
      </c>
      <c r="H632" s="4"/>
      <c r="I632" s="4"/>
      <c r="J632" s="4">
        <v>631</v>
      </c>
    </row>
    <row r="633" spans="1:10" customFormat="1" ht="15" x14ac:dyDescent="0.25">
      <c r="A633" s="27">
        <v>23</v>
      </c>
      <c r="B633" s="27" t="s">
        <v>505</v>
      </c>
      <c r="C633" s="27" t="s">
        <v>510</v>
      </c>
      <c r="D633" s="27" t="s">
        <v>446</v>
      </c>
      <c r="E633" s="27" t="s">
        <v>447</v>
      </c>
      <c r="F633" s="4">
        <v>93</v>
      </c>
      <c r="G633" s="4">
        <v>23</v>
      </c>
      <c r="H633" s="4"/>
      <c r="I633" s="4"/>
      <c r="J633" s="4">
        <v>632</v>
      </c>
    </row>
    <row r="634" spans="1:10" customFormat="1" ht="15" x14ac:dyDescent="0.25">
      <c r="A634" s="27">
        <v>23</v>
      </c>
      <c r="B634" s="27" t="s">
        <v>505</v>
      </c>
      <c r="C634" s="27" t="s">
        <v>510</v>
      </c>
      <c r="D634" s="27" t="s">
        <v>446</v>
      </c>
      <c r="E634" s="27" t="s">
        <v>447</v>
      </c>
      <c r="F634" s="4">
        <v>94</v>
      </c>
      <c r="G634" s="4">
        <v>11</v>
      </c>
      <c r="H634" s="4"/>
      <c r="I634" s="4"/>
      <c r="J634" s="4">
        <v>633</v>
      </c>
    </row>
    <row r="635" spans="1:10" customFormat="1" ht="15" x14ac:dyDescent="0.25">
      <c r="A635" s="27">
        <v>23</v>
      </c>
      <c r="B635" s="27" t="s">
        <v>505</v>
      </c>
      <c r="C635" s="27" t="s">
        <v>510</v>
      </c>
      <c r="D635" s="27" t="s">
        <v>446</v>
      </c>
      <c r="E635" s="27" t="s">
        <v>447</v>
      </c>
      <c r="F635" s="4">
        <v>95</v>
      </c>
      <c r="G635" s="4">
        <v>13</v>
      </c>
      <c r="H635" s="4"/>
      <c r="I635" s="4"/>
      <c r="J635" s="4">
        <v>634</v>
      </c>
    </row>
    <row r="636" spans="1:10" customFormat="1" ht="15" x14ac:dyDescent="0.25">
      <c r="A636" s="27">
        <v>23</v>
      </c>
      <c r="B636" s="27" t="s">
        <v>505</v>
      </c>
      <c r="C636" s="27" t="s">
        <v>510</v>
      </c>
      <c r="D636" s="27" t="s">
        <v>446</v>
      </c>
      <c r="E636" s="27" t="s">
        <v>447</v>
      </c>
      <c r="F636" s="4">
        <v>96</v>
      </c>
      <c r="G636" s="4">
        <v>12</v>
      </c>
      <c r="H636" s="4"/>
      <c r="I636" s="4"/>
      <c r="J636" s="4">
        <v>635</v>
      </c>
    </row>
    <row r="637" spans="1:10" customFormat="1" ht="15" x14ac:dyDescent="0.25">
      <c r="A637" s="27">
        <v>23</v>
      </c>
      <c r="B637" s="27" t="s">
        <v>505</v>
      </c>
      <c r="C637" s="27" t="s">
        <v>510</v>
      </c>
      <c r="D637" s="27" t="s">
        <v>446</v>
      </c>
      <c r="E637" s="27" t="s">
        <v>447</v>
      </c>
      <c r="F637" s="4">
        <v>97</v>
      </c>
      <c r="G637" s="4">
        <v>9</v>
      </c>
      <c r="H637" s="4"/>
      <c r="I637" s="4"/>
      <c r="J637" s="4">
        <v>636</v>
      </c>
    </row>
    <row r="638" spans="1:10" customFormat="1" ht="15" x14ac:dyDescent="0.25">
      <c r="A638" s="27">
        <v>23</v>
      </c>
      <c r="B638" s="27" t="s">
        <v>505</v>
      </c>
      <c r="C638" s="27" t="s">
        <v>510</v>
      </c>
      <c r="D638" s="27" t="s">
        <v>446</v>
      </c>
      <c r="E638" s="27" t="s">
        <v>447</v>
      </c>
      <c r="F638" s="4">
        <v>98</v>
      </c>
      <c r="G638" s="4">
        <v>9</v>
      </c>
      <c r="H638" s="4"/>
      <c r="I638" s="4"/>
      <c r="J638" s="4">
        <v>637</v>
      </c>
    </row>
    <row r="639" spans="1:10" customFormat="1" ht="15" x14ac:dyDescent="0.25">
      <c r="A639" s="27">
        <v>23</v>
      </c>
      <c r="B639" s="27" t="s">
        <v>505</v>
      </c>
      <c r="C639" s="27" t="s">
        <v>510</v>
      </c>
      <c r="D639" s="27" t="s">
        <v>446</v>
      </c>
      <c r="E639" s="27" t="s">
        <v>447</v>
      </c>
      <c r="F639" s="4">
        <v>99</v>
      </c>
      <c r="G639" s="4">
        <v>5</v>
      </c>
      <c r="H639" s="4"/>
      <c r="I639" s="4"/>
      <c r="J639" s="4">
        <v>638</v>
      </c>
    </row>
    <row r="640" spans="1:10" customFormat="1" ht="15" x14ac:dyDescent="0.25">
      <c r="A640" s="27">
        <v>23</v>
      </c>
      <c r="B640" s="27" t="s">
        <v>505</v>
      </c>
      <c r="C640" s="27" t="s">
        <v>510</v>
      </c>
      <c r="D640" s="27" t="s">
        <v>446</v>
      </c>
      <c r="E640" s="27" t="s">
        <v>447</v>
      </c>
      <c r="F640" s="4">
        <v>100</v>
      </c>
      <c r="G640" s="4">
        <v>8</v>
      </c>
      <c r="H640" s="4"/>
      <c r="I640" s="4"/>
      <c r="J640" s="4">
        <v>639</v>
      </c>
    </row>
    <row r="641" spans="1:10" customFormat="1" ht="15" x14ac:dyDescent="0.25">
      <c r="A641" s="27">
        <v>23</v>
      </c>
      <c r="B641" s="27" t="s">
        <v>505</v>
      </c>
      <c r="C641" s="27" t="s">
        <v>510</v>
      </c>
      <c r="D641" s="27" t="s">
        <v>446</v>
      </c>
      <c r="E641" s="27" t="s">
        <v>447</v>
      </c>
      <c r="F641" s="4">
        <v>101</v>
      </c>
      <c r="G641" s="4">
        <v>29</v>
      </c>
      <c r="H641" s="4"/>
      <c r="I641" s="4"/>
      <c r="J641" s="4">
        <v>640</v>
      </c>
    </row>
    <row r="642" spans="1:10" customFormat="1" ht="15" x14ac:dyDescent="0.25">
      <c r="A642" s="27">
        <v>23</v>
      </c>
      <c r="B642" s="27" t="s">
        <v>505</v>
      </c>
      <c r="C642" s="27" t="s">
        <v>510</v>
      </c>
      <c r="D642" s="27" t="s">
        <v>446</v>
      </c>
      <c r="E642" s="27" t="s">
        <v>447</v>
      </c>
      <c r="F642" s="4">
        <v>102</v>
      </c>
      <c r="G642" s="4">
        <v>22</v>
      </c>
      <c r="H642" s="4"/>
      <c r="I642" s="4"/>
      <c r="J642" s="4">
        <v>641</v>
      </c>
    </row>
    <row r="643" spans="1:10" customFormat="1" ht="15" x14ac:dyDescent="0.25">
      <c r="A643" s="27">
        <v>23</v>
      </c>
      <c r="B643" s="27" t="s">
        <v>505</v>
      </c>
      <c r="C643" s="27" t="s">
        <v>510</v>
      </c>
      <c r="D643" s="27" t="s">
        <v>446</v>
      </c>
      <c r="E643" s="27" t="s">
        <v>447</v>
      </c>
      <c r="F643" s="4">
        <v>103</v>
      </c>
      <c r="G643" s="4">
        <v>35</v>
      </c>
      <c r="H643" s="4"/>
      <c r="I643" s="4"/>
      <c r="J643" s="4">
        <v>642</v>
      </c>
    </row>
    <row r="644" spans="1:10" customFormat="1" ht="15" x14ac:dyDescent="0.25">
      <c r="A644" s="27">
        <v>23</v>
      </c>
      <c r="B644" s="27" t="s">
        <v>505</v>
      </c>
      <c r="C644" s="27" t="s">
        <v>510</v>
      </c>
      <c r="D644" s="27" t="s">
        <v>446</v>
      </c>
      <c r="E644" s="27" t="s">
        <v>447</v>
      </c>
      <c r="F644" s="4">
        <v>104</v>
      </c>
      <c r="G644" s="4">
        <v>45</v>
      </c>
      <c r="H644" s="4"/>
      <c r="I644" s="4"/>
      <c r="J644" s="4">
        <v>643</v>
      </c>
    </row>
    <row r="645" spans="1:10" customFormat="1" ht="15" x14ac:dyDescent="0.25">
      <c r="A645" s="27">
        <v>23</v>
      </c>
      <c r="B645" s="27" t="s">
        <v>505</v>
      </c>
      <c r="C645" s="27" t="s">
        <v>510</v>
      </c>
      <c r="D645" s="27" t="s">
        <v>446</v>
      </c>
      <c r="E645" s="27" t="s">
        <v>447</v>
      </c>
      <c r="F645" s="4">
        <v>105</v>
      </c>
      <c r="G645" s="4">
        <v>48</v>
      </c>
      <c r="H645" s="4"/>
      <c r="I645" s="4"/>
      <c r="J645" s="4">
        <v>644</v>
      </c>
    </row>
    <row r="646" spans="1:10" customFormat="1" ht="15" x14ac:dyDescent="0.25">
      <c r="A646" s="27">
        <v>23</v>
      </c>
      <c r="B646" s="27" t="s">
        <v>505</v>
      </c>
      <c r="C646" s="27" t="s">
        <v>510</v>
      </c>
      <c r="D646" s="27" t="s">
        <v>446</v>
      </c>
      <c r="E646" s="27" t="s">
        <v>447</v>
      </c>
      <c r="F646" s="4">
        <v>106</v>
      </c>
      <c r="G646" s="4">
        <v>43</v>
      </c>
      <c r="H646" s="4"/>
      <c r="I646" s="4"/>
      <c r="J646" s="4">
        <v>645</v>
      </c>
    </row>
    <row r="647" spans="1:10" customFormat="1" ht="15" x14ac:dyDescent="0.25">
      <c r="A647" s="27">
        <v>23</v>
      </c>
      <c r="B647" s="27" t="s">
        <v>505</v>
      </c>
      <c r="C647" s="27" t="s">
        <v>510</v>
      </c>
      <c r="D647" s="27" t="s">
        <v>446</v>
      </c>
      <c r="E647" s="27" t="s">
        <v>447</v>
      </c>
      <c r="F647" s="4">
        <v>107</v>
      </c>
      <c r="G647" s="4">
        <v>14</v>
      </c>
      <c r="H647" s="4"/>
      <c r="I647" s="4"/>
      <c r="J647" s="4">
        <v>646</v>
      </c>
    </row>
    <row r="648" spans="1:10" customFormat="1" ht="15" x14ac:dyDescent="0.25">
      <c r="A648" s="27">
        <v>23</v>
      </c>
      <c r="B648" s="27" t="s">
        <v>505</v>
      </c>
      <c r="C648" s="27" t="s">
        <v>510</v>
      </c>
      <c r="D648" s="27" t="s">
        <v>446</v>
      </c>
      <c r="E648" s="27" t="s">
        <v>447</v>
      </c>
      <c r="F648" s="4">
        <v>108</v>
      </c>
      <c r="G648" s="4">
        <v>31</v>
      </c>
      <c r="H648" s="4"/>
      <c r="I648" s="4"/>
      <c r="J648" s="4">
        <v>647</v>
      </c>
    </row>
    <row r="649" spans="1:10" customFormat="1" ht="15" x14ac:dyDescent="0.25">
      <c r="A649" s="27">
        <v>23</v>
      </c>
      <c r="B649" s="27" t="s">
        <v>505</v>
      </c>
      <c r="C649" s="27" t="s">
        <v>510</v>
      </c>
      <c r="D649" s="27" t="s">
        <v>446</v>
      </c>
      <c r="E649" s="27" t="s">
        <v>447</v>
      </c>
      <c r="F649" s="4">
        <v>109</v>
      </c>
      <c r="G649" s="4">
        <v>7</v>
      </c>
      <c r="H649" s="4"/>
      <c r="I649" s="4"/>
      <c r="J649" s="4">
        <v>648</v>
      </c>
    </row>
    <row r="650" spans="1:10" customFormat="1" ht="15" x14ac:dyDescent="0.25">
      <c r="A650" s="27">
        <v>23</v>
      </c>
      <c r="B650" s="27" t="s">
        <v>505</v>
      </c>
      <c r="C650" s="27" t="s">
        <v>510</v>
      </c>
      <c r="D650" s="27" t="s">
        <v>446</v>
      </c>
      <c r="E650" s="27" t="s">
        <v>447</v>
      </c>
      <c r="F650" s="4">
        <v>110</v>
      </c>
      <c r="G650" s="4">
        <v>10</v>
      </c>
      <c r="H650" s="4"/>
      <c r="I650" s="4"/>
      <c r="J650" s="4">
        <v>649</v>
      </c>
    </row>
    <row r="651" spans="1:10" customFormat="1" ht="15" x14ac:dyDescent="0.25">
      <c r="A651" s="27">
        <v>23</v>
      </c>
      <c r="B651" s="27" t="s">
        <v>505</v>
      </c>
      <c r="C651" s="27" t="s">
        <v>510</v>
      </c>
      <c r="D651" s="27" t="s">
        <v>446</v>
      </c>
      <c r="E651" s="27" t="s">
        <v>447</v>
      </c>
      <c r="F651" s="4">
        <v>111</v>
      </c>
      <c r="G651" s="4">
        <v>10</v>
      </c>
      <c r="H651" s="4"/>
      <c r="I651" s="4"/>
      <c r="J651" s="4">
        <v>650</v>
      </c>
    </row>
    <row r="652" spans="1:10" customFormat="1" ht="15" x14ac:dyDescent="0.25">
      <c r="A652" s="27">
        <v>23</v>
      </c>
      <c r="B652" s="27" t="s">
        <v>505</v>
      </c>
      <c r="C652" s="27" t="s">
        <v>510</v>
      </c>
      <c r="D652" s="27" t="s">
        <v>446</v>
      </c>
      <c r="E652" s="27" t="s">
        <v>447</v>
      </c>
      <c r="F652" s="4">
        <v>112</v>
      </c>
      <c r="G652" s="4">
        <v>9</v>
      </c>
      <c r="H652" s="4"/>
      <c r="I652" s="4"/>
      <c r="J652" s="4">
        <v>651</v>
      </c>
    </row>
    <row r="653" spans="1:10" customFormat="1" ht="15" x14ac:dyDescent="0.25">
      <c r="A653" s="27">
        <v>23</v>
      </c>
      <c r="B653" s="27" t="s">
        <v>505</v>
      </c>
      <c r="C653" s="27" t="s">
        <v>510</v>
      </c>
      <c r="D653" s="27" t="s">
        <v>446</v>
      </c>
      <c r="E653" s="27" t="s">
        <v>447</v>
      </c>
      <c r="F653" s="4">
        <v>113</v>
      </c>
      <c r="G653" s="4">
        <v>26</v>
      </c>
      <c r="H653" s="4"/>
      <c r="I653" s="4"/>
      <c r="J653" s="4">
        <v>652</v>
      </c>
    </row>
    <row r="654" spans="1:10" customFormat="1" ht="15" x14ac:dyDescent="0.25">
      <c r="A654" s="27">
        <v>23</v>
      </c>
      <c r="B654" s="27" t="s">
        <v>505</v>
      </c>
      <c r="C654" s="27" t="s">
        <v>510</v>
      </c>
      <c r="D654" s="27" t="s">
        <v>446</v>
      </c>
      <c r="E654" s="27" t="s">
        <v>447</v>
      </c>
      <c r="F654" s="4">
        <v>114</v>
      </c>
      <c r="G654" s="4">
        <v>9</v>
      </c>
      <c r="H654" s="4"/>
      <c r="I654" s="4"/>
      <c r="J654" s="4">
        <v>653</v>
      </c>
    </row>
    <row r="655" spans="1:10" customFormat="1" ht="15" x14ac:dyDescent="0.25">
      <c r="A655" s="27">
        <v>23</v>
      </c>
      <c r="B655" s="27" t="s">
        <v>505</v>
      </c>
      <c r="C655" s="27" t="s">
        <v>510</v>
      </c>
      <c r="D655" s="27" t="s">
        <v>446</v>
      </c>
      <c r="E655" s="27" t="s">
        <v>447</v>
      </c>
      <c r="F655" s="4">
        <v>115</v>
      </c>
      <c r="G655" s="4">
        <v>19</v>
      </c>
      <c r="H655" s="4"/>
      <c r="I655" s="4"/>
      <c r="J655" s="4">
        <v>654</v>
      </c>
    </row>
    <row r="656" spans="1:10" customFormat="1" ht="15" x14ac:dyDescent="0.25">
      <c r="A656" s="27">
        <v>23</v>
      </c>
      <c r="B656" s="27" t="s">
        <v>505</v>
      </c>
      <c r="C656" s="27" t="s">
        <v>510</v>
      </c>
      <c r="D656" s="27" t="s">
        <v>446</v>
      </c>
      <c r="E656" s="27" t="s">
        <v>447</v>
      </c>
      <c r="F656" s="4">
        <v>116</v>
      </c>
      <c r="G656" s="4">
        <v>2</v>
      </c>
      <c r="H656" s="4"/>
      <c r="I656" s="4"/>
      <c r="J656" s="4">
        <v>655</v>
      </c>
    </row>
    <row r="657" spans="1:10" customFormat="1" ht="15" x14ac:dyDescent="0.25">
      <c r="A657" s="27">
        <v>23</v>
      </c>
      <c r="B657" s="27" t="s">
        <v>505</v>
      </c>
      <c r="C657" s="27" t="s">
        <v>510</v>
      </c>
      <c r="D657" s="27" t="s">
        <v>446</v>
      </c>
      <c r="E657" s="27" t="s">
        <v>447</v>
      </c>
      <c r="F657" s="4">
        <v>117</v>
      </c>
      <c r="G657" s="4">
        <v>29</v>
      </c>
      <c r="H657" s="4"/>
      <c r="I657" s="4"/>
      <c r="J657" s="4">
        <v>656</v>
      </c>
    </row>
    <row r="658" spans="1:10" customFormat="1" ht="15" x14ac:dyDescent="0.25">
      <c r="A658" s="27">
        <v>23</v>
      </c>
      <c r="B658" s="27" t="s">
        <v>505</v>
      </c>
      <c r="C658" s="27" t="s">
        <v>510</v>
      </c>
      <c r="D658" s="27" t="s">
        <v>446</v>
      </c>
      <c r="E658" s="27" t="s">
        <v>447</v>
      </c>
      <c r="F658" s="4">
        <v>118</v>
      </c>
      <c r="G658" s="4">
        <v>176</v>
      </c>
      <c r="H658" s="4"/>
      <c r="I658" s="4"/>
      <c r="J658" s="4">
        <v>657</v>
      </c>
    </row>
    <row r="659" spans="1:10" customFormat="1" ht="15" x14ac:dyDescent="0.25">
      <c r="A659" s="27">
        <v>23</v>
      </c>
      <c r="B659" s="27" t="s">
        <v>505</v>
      </c>
      <c r="C659" s="27" t="s">
        <v>510</v>
      </c>
      <c r="D659" s="27" t="s">
        <v>446</v>
      </c>
      <c r="E659" s="27" t="s">
        <v>447</v>
      </c>
      <c r="F659" s="4">
        <v>119</v>
      </c>
      <c r="G659" s="4">
        <v>7</v>
      </c>
      <c r="H659" s="4"/>
      <c r="I659" s="4"/>
      <c r="J659" s="4">
        <v>658</v>
      </c>
    </row>
    <row r="660" spans="1:10" customFormat="1" ht="15" x14ac:dyDescent="0.25">
      <c r="A660" s="27">
        <v>23</v>
      </c>
      <c r="B660" s="27" t="s">
        <v>505</v>
      </c>
      <c r="C660" s="27" t="s">
        <v>510</v>
      </c>
      <c r="D660" s="27" t="s">
        <v>446</v>
      </c>
      <c r="E660" s="27" t="s">
        <v>447</v>
      </c>
      <c r="F660" s="4">
        <v>120</v>
      </c>
      <c r="G660" s="4">
        <v>8</v>
      </c>
      <c r="H660" s="4"/>
      <c r="I660" s="4"/>
      <c r="J660" s="4">
        <v>659</v>
      </c>
    </row>
    <row r="661" spans="1:10" customFormat="1" ht="15" x14ac:dyDescent="0.25">
      <c r="A661" s="27">
        <v>23</v>
      </c>
      <c r="B661" s="27" t="s">
        <v>505</v>
      </c>
      <c r="C661" s="27" t="s">
        <v>510</v>
      </c>
      <c r="D661" s="27" t="s">
        <v>446</v>
      </c>
      <c r="E661" s="27" t="s">
        <v>447</v>
      </c>
      <c r="F661" s="4">
        <v>121</v>
      </c>
      <c r="G661" s="4">
        <v>9</v>
      </c>
      <c r="H661" s="4"/>
      <c r="I661" s="4"/>
      <c r="J661" s="4">
        <v>660</v>
      </c>
    </row>
    <row r="662" spans="1:10" customFormat="1" ht="15" x14ac:dyDescent="0.25">
      <c r="A662" s="27">
        <v>23</v>
      </c>
      <c r="B662" s="27" t="s">
        <v>505</v>
      </c>
      <c r="C662" s="27" t="s">
        <v>510</v>
      </c>
      <c r="D662" s="27" t="s">
        <v>446</v>
      </c>
      <c r="E662" s="27" t="s">
        <v>447</v>
      </c>
      <c r="F662" s="4">
        <v>122</v>
      </c>
      <c r="G662" s="4">
        <v>4</v>
      </c>
      <c r="H662" s="4"/>
      <c r="I662" s="4"/>
      <c r="J662" s="4">
        <v>661</v>
      </c>
    </row>
    <row r="663" spans="1:10" customFormat="1" ht="15" x14ac:dyDescent="0.25">
      <c r="A663" s="27">
        <v>23</v>
      </c>
      <c r="B663" s="27" t="s">
        <v>505</v>
      </c>
      <c r="C663" s="27" t="s">
        <v>510</v>
      </c>
      <c r="D663" s="27" t="s">
        <v>446</v>
      </c>
      <c r="E663" s="27" t="s">
        <v>447</v>
      </c>
      <c r="F663" s="4">
        <v>123</v>
      </c>
      <c r="G663" s="4">
        <v>8</v>
      </c>
      <c r="H663" s="4"/>
      <c r="I663" s="4"/>
      <c r="J663" s="4">
        <v>662</v>
      </c>
    </row>
    <row r="664" spans="1:10" customFormat="1" ht="15" x14ac:dyDescent="0.25">
      <c r="A664" s="27">
        <v>23</v>
      </c>
      <c r="B664" s="27" t="s">
        <v>505</v>
      </c>
      <c r="C664" s="27" t="s">
        <v>510</v>
      </c>
      <c r="D664" s="27" t="s">
        <v>446</v>
      </c>
      <c r="E664" s="27" t="s">
        <v>447</v>
      </c>
      <c r="F664" s="4">
        <v>124</v>
      </c>
      <c r="G664" s="4">
        <v>5</v>
      </c>
      <c r="H664" s="4"/>
      <c r="I664" s="4"/>
      <c r="J664" s="4">
        <v>663</v>
      </c>
    </row>
    <row r="665" spans="1:10" customFormat="1" ht="15" x14ac:dyDescent="0.25">
      <c r="A665" s="27">
        <v>23</v>
      </c>
      <c r="B665" s="27" t="s">
        <v>505</v>
      </c>
      <c r="C665" s="27" t="s">
        <v>510</v>
      </c>
      <c r="D665" s="27" t="s">
        <v>446</v>
      </c>
      <c r="E665" s="27" t="s">
        <v>447</v>
      </c>
      <c r="F665" s="4">
        <v>125</v>
      </c>
      <c r="G665" s="4">
        <v>6</v>
      </c>
      <c r="H665" s="4"/>
      <c r="I665" s="4"/>
      <c r="J665" s="4">
        <v>664</v>
      </c>
    </row>
    <row r="666" spans="1:10" customFormat="1" ht="15" x14ac:dyDescent="0.25">
      <c r="A666" s="27">
        <v>23</v>
      </c>
      <c r="B666" s="27" t="s">
        <v>505</v>
      </c>
      <c r="C666" s="27" t="s">
        <v>510</v>
      </c>
      <c r="D666" s="27" t="s">
        <v>446</v>
      </c>
      <c r="E666" s="27" t="s">
        <v>447</v>
      </c>
      <c r="F666" s="4">
        <v>126</v>
      </c>
      <c r="G666" s="4">
        <v>5</v>
      </c>
      <c r="H666" s="4"/>
      <c r="I666" s="4"/>
      <c r="J666" s="4">
        <v>665</v>
      </c>
    </row>
    <row r="667" spans="1:10" customFormat="1" ht="15" x14ac:dyDescent="0.25">
      <c r="A667" s="27">
        <v>23</v>
      </c>
      <c r="B667" s="27" t="s">
        <v>505</v>
      </c>
      <c r="C667" s="27" t="s">
        <v>510</v>
      </c>
      <c r="D667" s="27" t="s">
        <v>446</v>
      </c>
      <c r="E667" s="27" t="s">
        <v>447</v>
      </c>
      <c r="F667" s="4">
        <v>127</v>
      </c>
      <c r="G667" s="4">
        <v>6</v>
      </c>
      <c r="H667" s="4"/>
      <c r="I667" s="4"/>
      <c r="J667" s="4">
        <v>666</v>
      </c>
    </row>
    <row r="668" spans="1:10" customFormat="1" ht="15" x14ac:dyDescent="0.25">
      <c r="A668" s="27">
        <v>23</v>
      </c>
      <c r="B668" s="27" t="s">
        <v>505</v>
      </c>
      <c r="C668" s="27" t="s">
        <v>510</v>
      </c>
      <c r="D668" s="27" t="s">
        <v>446</v>
      </c>
      <c r="E668" s="27" t="s">
        <v>447</v>
      </c>
      <c r="F668" s="4">
        <v>128</v>
      </c>
      <c r="G668" s="4">
        <v>8</v>
      </c>
      <c r="H668" s="4"/>
      <c r="I668" s="4"/>
      <c r="J668" s="4">
        <v>667</v>
      </c>
    </row>
    <row r="669" spans="1:10" customFormat="1" ht="15" x14ac:dyDescent="0.25">
      <c r="A669" s="27">
        <v>23</v>
      </c>
      <c r="B669" s="27" t="s">
        <v>505</v>
      </c>
      <c r="C669" s="27" t="s">
        <v>510</v>
      </c>
      <c r="D669" s="27" t="s">
        <v>446</v>
      </c>
      <c r="E669" s="27" t="s">
        <v>447</v>
      </c>
      <c r="F669" s="4">
        <v>129</v>
      </c>
      <c r="G669" s="4">
        <v>8</v>
      </c>
      <c r="H669" s="4"/>
      <c r="I669" s="4"/>
      <c r="J669" s="4">
        <v>668</v>
      </c>
    </row>
    <row r="670" spans="1:10" customFormat="1" ht="15" x14ac:dyDescent="0.25">
      <c r="A670" s="27">
        <v>23</v>
      </c>
      <c r="B670" s="27" t="s">
        <v>505</v>
      </c>
      <c r="C670" s="27" t="s">
        <v>510</v>
      </c>
      <c r="D670" s="27" t="s">
        <v>446</v>
      </c>
      <c r="E670" s="27" t="s">
        <v>447</v>
      </c>
      <c r="F670" s="4">
        <v>130</v>
      </c>
      <c r="G670" s="4">
        <v>3</v>
      </c>
      <c r="H670" s="4"/>
      <c r="I670" s="4"/>
      <c r="J670" s="4">
        <v>669</v>
      </c>
    </row>
    <row r="671" spans="1:10" customFormat="1" ht="15" x14ac:dyDescent="0.25">
      <c r="A671" s="27">
        <v>23</v>
      </c>
      <c r="B671" s="27" t="s">
        <v>505</v>
      </c>
      <c r="C671" s="27" t="s">
        <v>510</v>
      </c>
      <c r="D671" s="27" t="s">
        <v>446</v>
      </c>
      <c r="E671" s="27" t="s">
        <v>447</v>
      </c>
      <c r="F671" s="4">
        <v>131</v>
      </c>
      <c r="G671" s="4">
        <v>18</v>
      </c>
      <c r="H671" s="4"/>
      <c r="I671" s="4"/>
      <c r="J671" s="4">
        <v>670</v>
      </c>
    </row>
    <row r="672" spans="1:10" customFormat="1" ht="15" x14ac:dyDescent="0.25">
      <c r="A672" s="27">
        <v>23</v>
      </c>
      <c r="B672" s="27" t="s">
        <v>505</v>
      </c>
      <c r="C672" s="27" t="s">
        <v>510</v>
      </c>
      <c r="D672" s="27" t="s">
        <v>446</v>
      </c>
      <c r="E672" s="27" t="s">
        <v>447</v>
      </c>
      <c r="F672" s="4">
        <v>132</v>
      </c>
      <c r="G672" s="4">
        <v>3</v>
      </c>
      <c r="H672" s="4"/>
      <c r="I672" s="4"/>
      <c r="J672" s="4">
        <v>671</v>
      </c>
    </row>
    <row r="673" spans="1:10" customFormat="1" ht="15" x14ac:dyDescent="0.25">
      <c r="A673" s="6">
        <v>23</v>
      </c>
      <c r="B673" s="6" t="s">
        <v>505</v>
      </c>
      <c r="C673" s="6" t="s">
        <v>510</v>
      </c>
      <c r="D673" s="6" t="s">
        <v>446</v>
      </c>
      <c r="E673" s="6" t="s">
        <v>447</v>
      </c>
      <c r="F673">
        <v>133</v>
      </c>
      <c r="G673">
        <v>3</v>
      </c>
      <c r="J673">
        <v>672</v>
      </c>
    </row>
    <row r="674" spans="1:10" customFormat="1" ht="15" x14ac:dyDescent="0.25">
      <c r="A674" s="6">
        <v>23</v>
      </c>
      <c r="B674" s="6" t="s">
        <v>505</v>
      </c>
      <c r="C674" s="6" t="s">
        <v>510</v>
      </c>
      <c r="D674" s="6" t="s">
        <v>446</v>
      </c>
      <c r="E674" s="6" t="s">
        <v>447</v>
      </c>
      <c r="F674">
        <v>134</v>
      </c>
      <c r="G674">
        <v>21</v>
      </c>
      <c r="J674">
        <v>673</v>
      </c>
    </row>
    <row r="675" spans="1:10" customFormat="1" ht="15" x14ac:dyDescent="0.25">
      <c r="A675" s="6">
        <v>23</v>
      </c>
      <c r="B675" s="6" t="s">
        <v>505</v>
      </c>
      <c r="C675" s="6" t="s">
        <v>510</v>
      </c>
      <c r="D675" s="6" t="s">
        <v>446</v>
      </c>
      <c r="E675" s="6" t="s">
        <v>447</v>
      </c>
      <c r="F675">
        <v>135</v>
      </c>
      <c r="G675">
        <v>26</v>
      </c>
      <c r="J675">
        <v>674</v>
      </c>
    </row>
    <row r="676" spans="1:10" customFormat="1" ht="15" x14ac:dyDescent="0.25">
      <c r="A676" s="6">
        <v>23</v>
      </c>
      <c r="B676" s="6" t="s">
        <v>505</v>
      </c>
      <c r="C676" s="6" t="s">
        <v>510</v>
      </c>
      <c r="D676" s="6" t="s">
        <v>446</v>
      </c>
      <c r="E676" s="6" t="s">
        <v>447</v>
      </c>
      <c r="F676">
        <v>136</v>
      </c>
      <c r="G676">
        <v>9</v>
      </c>
      <c r="J676">
        <v>675</v>
      </c>
    </row>
    <row r="677" spans="1:10" customFormat="1" ht="15" x14ac:dyDescent="0.25">
      <c r="A677" s="6">
        <v>23</v>
      </c>
      <c r="B677" s="6" t="s">
        <v>505</v>
      </c>
      <c r="C677" s="6" t="s">
        <v>510</v>
      </c>
      <c r="D677" s="6" t="s">
        <v>446</v>
      </c>
      <c r="E677" s="6" t="s">
        <v>447</v>
      </c>
      <c r="F677">
        <v>137</v>
      </c>
      <c r="G677">
        <v>8</v>
      </c>
      <c r="J677">
        <v>676</v>
      </c>
    </row>
    <row r="678" spans="1:10" customFormat="1" ht="15" x14ac:dyDescent="0.25">
      <c r="A678" s="6">
        <v>23</v>
      </c>
      <c r="B678" s="6" t="s">
        <v>505</v>
      </c>
      <c r="C678" s="6" t="s">
        <v>510</v>
      </c>
      <c r="D678" s="6" t="s">
        <v>446</v>
      </c>
      <c r="E678" s="6" t="s">
        <v>447</v>
      </c>
      <c r="F678">
        <v>138</v>
      </c>
      <c r="G678">
        <v>24</v>
      </c>
      <c r="J678">
        <v>677</v>
      </c>
    </row>
    <row r="679" spans="1:10" customFormat="1" ht="15" x14ac:dyDescent="0.25">
      <c r="A679" s="6">
        <v>23</v>
      </c>
      <c r="B679" s="6" t="s">
        <v>505</v>
      </c>
      <c r="C679" s="6" t="s">
        <v>510</v>
      </c>
      <c r="D679" s="6" t="s">
        <v>446</v>
      </c>
      <c r="E679" s="6" t="s">
        <v>447</v>
      </c>
      <c r="F679">
        <v>139</v>
      </c>
      <c r="G679">
        <v>14</v>
      </c>
      <c r="J679">
        <v>678</v>
      </c>
    </row>
    <row r="680" spans="1:10" customFormat="1" ht="15" x14ac:dyDescent="0.25">
      <c r="A680" s="6">
        <v>23</v>
      </c>
      <c r="B680" s="6" t="s">
        <v>505</v>
      </c>
      <c r="C680" s="6" t="s">
        <v>510</v>
      </c>
      <c r="D680" s="6" t="s">
        <v>446</v>
      </c>
      <c r="E680" s="6" t="s">
        <v>447</v>
      </c>
      <c r="F680">
        <v>140</v>
      </c>
      <c r="G680">
        <v>10</v>
      </c>
      <c r="J680">
        <v>679</v>
      </c>
    </row>
    <row r="681" spans="1:10" customFormat="1" ht="15" x14ac:dyDescent="0.25">
      <c r="A681" s="6">
        <v>23</v>
      </c>
      <c r="B681" s="6" t="s">
        <v>505</v>
      </c>
      <c r="C681" s="6" t="s">
        <v>510</v>
      </c>
      <c r="D681" s="6" t="s">
        <v>446</v>
      </c>
      <c r="E681" s="6" t="s">
        <v>447</v>
      </c>
      <c r="F681">
        <v>141</v>
      </c>
      <c r="G681">
        <v>8</v>
      </c>
      <c r="J681">
        <v>680</v>
      </c>
    </row>
    <row r="682" spans="1:10" customFormat="1" ht="15" x14ac:dyDescent="0.25">
      <c r="A682" s="6">
        <v>23</v>
      </c>
      <c r="B682" s="6" t="s">
        <v>505</v>
      </c>
      <c r="C682" s="6" t="s">
        <v>510</v>
      </c>
      <c r="D682" s="6" t="s">
        <v>446</v>
      </c>
      <c r="E682" s="6" t="s">
        <v>447</v>
      </c>
      <c r="F682">
        <v>142</v>
      </c>
      <c r="G682">
        <v>12</v>
      </c>
      <c r="J682">
        <v>681</v>
      </c>
    </row>
    <row r="683" spans="1:10" customFormat="1" ht="15" x14ac:dyDescent="0.25">
      <c r="A683" s="6">
        <v>23</v>
      </c>
      <c r="B683" s="6" t="s">
        <v>505</v>
      </c>
      <c r="C683" s="6" t="s">
        <v>510</v>
      </c>
      <c r="D683" s="6" t="s">
        <v>446</v>
      </c>
      <c r="E683" s="6" t="s">
        <v>447</v>
      </c>
      <c r="F683">
        <v>143</v>
      </c>
      <c r="G683">
        <v>15</v>
      </c>
      <c r="J683">
        <v>682</v>
      </c>
    </row>
    <row r="684" spans="1:10" customFormat="1" ht="15" x14ac:dyDescent="0.25">
      <c r="A684" s="6">
        <v>23</v>
      </c>
      <c r="B684" s="6" t="s">
        <v>505</v>
      </c>
      <c r="C684" s="6" t="s">
        <v>510</v>
      </c>
      <c r="D684" s="6" t="s">
        <v>446</v>
      </c>
      <c r="E684" s="6" t="s">
        <v>447</v>
      </c>
      <c r="F684">
        <v>144</v>
      </c>
      <c r="G684">
        <v>21</v>
      </c>
      <c r="J684">
        <v>683</v>
      </c>
    </row>
    <row r="685" spans="1:10" customFormat="1" ht="15" x14ac:dyDescent="0.25">
      <c r="A685" s="6">
        <v>23</v>
      </c>
      <c r="B685" s="6" t="s">
        <v>505</v>
      </c>
      <c r="C685" s="6" t="s">
        <v>510</v>
      </c>
      <c r="D685" s="6" t="s">
        <v>446</v>
      </c>
      <c r="E685" s="6" t="s">
        <v>447</v>
      </c>
      <c r="F685">
        <v>145</v>
      </c>
      <c r="G685">
        <v>10</v>
      </c>
      <c r="J685">
        <v>684</v>
      </c>
    </row>
    <row r="686" spans="1:10" customFormat="1" ht="15" x14ac:dyDescent="0.25">
      <c r="A686" s="6">
        <v>23</v>
      </c>
      <c r="B686" s="6" t="s">
        <v>505</v>
      </c>
      <c r="C686" s="6" t="s">
        <v>510</v>
      </c>
      <c r="D686" s="6" t="s">
        <v>446</v>
      </c>
      <c r="E686" s="6" t="s">
        <v>447</v>
      </c>
      <c r="F686">
        <v>146</v>
      </c>
      <c r="G686">
        <v>11</v>
      </c>
      <c r="J686">
        <v>685</v>
      </c>
    </row>
    <row r="687" spans="1:10" customFormat="1" ht="15" x14ac:dyDescent="0.25">
      <c r="A687" s="6">
        <v>23</v>
      </c>
      <c r="B687" s="6" t="s">
        <v>505</v>
      </c>
      <c r="C687" s="6" t="s">
        <v>510</v>
      </c>
      <c r="D687" s="6" t="s">
        <v>446</v>
      </c>
      <c r="E687" s="6" t="s">
        <v>447</v>
      </c>
      <c r="F687">
        <v>147</v>
      </c>
      <c r="G687">
        <v>20</v>
      </c>
      <c r="J687">
        <v>686</v>
      </c>
    </row>
    <row r="688" spans="1:10" customFormat="1" ht="15" x14ac:dyDescent="0.25">
      <c r="A688" s="6">
        <v>23</v>
      </c>
      <c r="B688" s="6" t="s">
        <v>505</v>
      </c>
      <c r="C688" s="6" t="s">
        <v>510</v>
      </c>
      <c r="D688" s="6" t="s">
        <v>446</v>
      </c>
      <c r="E688" s="6" t="s">
        <v>447</v>
      </c>
      <c r="F688">
        <v>148</v>
      </c>
      <c r="G688">
        <v>14</v>
      </c>
      <c r="J688">
        <v>687</v>
      </c>
    </row>
    <row r="689" spans="1:10" customFormat="1" ht="15" x14ac:dyDescent="0.25">
      <c r="A689" s="6">
        <v>23</v>
      </c>
      <c r="B689" s="6" t="s">
        <v>505</v>
      </c>
      <c r="C689" s="6" t="s">
        <v>510</v>
      </c>
      <c r="D689" s="6" t="s">
        <v>446</v>
      </c>
      <c r="E689" s="6" t="s">
        <v>447</v>
      </c>
      <c r="F689">
        <v>149</v>
      </c>
      <c r="G689">
        <v>9</v>
      </c>
      <c r="J689">
        <v>688</v>
      </c>
    </row>
    <row r="690" spans="1:10" customFormat="1" thickBot="1" x14ac:dyDescent="0.3">
      <c r="A690" s="6">
        <v>23</v>
      </c>
      <c r="B690" s="6" t="s">
        <v>505</v>
      </c>
      <c r="C690" s="6" t="s">
        <v>510</v>
      </c>
      <c r="D690" s="16" t="s">
        <v>446</v>
      </c>
      <c r="E690" s="16" t="s">
        <v>447</v>
      </c>
      <c r="F690" s="17">
        <v>150</v>
      </c>
      <c r="G690" s="17">
        <v>5</v>
      </c>
      <c r="H690" s="17"/>
      <c r="I690" s="17">
        <v>150</v>
      </c>
      <c r="J690">
        <v>689</v>
      </c>
    </row>
    <row r="691" spans="1:10" customFormat="1" thickTop="1" x14ac:dyDescent="0.25">
      <c r="A691" s="6">
        <v>24</v>
      </c>
      <c r="B691" s="6" t="s">
        <v>505</v>
      </c>
      <c r="C691" s="6" t="s">
        <v>510</v>
      </c>
      <c r="D691" s="6" t="s">
        <v>450</v>
      </c>
      <c r="E691" s="6" t="s">
        <v>451</v>
      </c>
      <c r="F691">
        <v>1</v>
      </c>
      <c r="J691">
        <v>690</v>
      </c>
    </row>
    <row r="692" spans="1:10" customFormat="1" ht="15" x14ac:dyDescent="0.25">
      <c r="A692" s="6">
        <v>24</v>
      </c>
      <c r="B692" s="6" t="s">
        <v>505</v>
      </c>
      <c r="C692" s="6" t="s">
        <v>510</v>
      </c>
      <c r="D692" s="6" t="s">
        <v>450</v>
      </c>
      <c r="E692" s="6" t="s">
        <v>451</v>
      </c>
      <c r="F692">
        <v>2</v>
      </c>
      <c r="J692">
        <v>691</v>
      </c>
    </row>
    <row r="693" spans="1:10" customFormat="1" ht="15" x14ac:dyDescent="0.25">
      <c r="A693" s="6">
        <v>24</v>
      </c>
      <c r="B693" s="6" t="s">
        <v>505</v>
      </c>
      <c r="C693" s="6" t="s">
        <v>510</v>
      </c>
      <c r="D693" s="6" t="s">
        <v>450</v>
      </c>
      <c r="E693" s="6" t="s">
        <v>451</v>
      </c>
      <c r="F693">
        <v>3</v>
      </c>
      <c r="J693">
        <v>692</v>
      </c>
    </row>
    <row r="694" spans="1:10" customFormat="1" ht="15" x14ac:dyDescent="0.25">
      <c r="A694" s="6">
        <v>24</v>
      </c>
      <c r="B694" s="6" t="s">
        <v>505</v>
      </c>
      <c r="C694" s="6" t="s">
        <v>510</v>
      </c>
      <c r="D694" s="6" t="s">
        <v>450</v>
      </c>
      <c r="E694" s="6" t="s">
        <v>451</v>
      </c>
      <c r="F694">
        <v>4</v>
      </c>
      <c r="J694">
        <v>693</v>
      </c>
    </row>
    <row r="695" spans="1:10" customFormat="1" ht="15" x14ac:dyDescent="0.25">
      <c r="A695" s="6">
        <v>24</v>
      </c>
      <c r="B695" s="6" t="s">
        <v>505</v>
      </c>
      <c r="C695" s="6" t="s">
        <v>510</v>
      </c>
      <c r="D695" s="6" t="s">
        <v>450</v>
      </c>
      <c r="E695" s="6" t="s">
        <v>451</v>
      </c>
      <c r="F695">
        <v>5</v>
      </c>
      <c r="J695">
        <v>694</v>
      </c>
    </row>
    <row r="696" spans="1:10" customFormat="1" ht="15" x14ac:dyDescent="0.25">
      <c r="A696" s="6">
        <v>24</v>
      </c>
      <c r="B696" s="6" t="s">
        <v>505</v>
      </c>
      <c r="C696" s="6" t="s">
        <v>510</v>
      </c>
      <c r="D696" s="6" t="s">
        <v>450</v>
      </c>
      <c r="E696" s="6" t="s">
        <v>451</v>
      </c>
      <c r="F696">
        <v>6</v>
      </c>
      <c r="J696">
        <v>695</v>
      </c>
    </row>
    <row r="697" spans="1:10" customFormat="1" ht="15" x14ac:dyDescent="0.25">
      <c r="A697" s="6">
        <v>24</v>
      </c>
      <c r="B697" s="6" t="s">
        <v>505</v>
      </c>
      <c r="C697" s="6" t="s">
        <v>510</v>
      </c>
      <c r="D697" s="6" t="s">
        <v>450</v>
      </c>
      <c r="E697" s="6" t="s">
        <v>451</v>
      </c>
      <c r="F697">
        <v>7</v>
      </c>
      <c r="J697">
        <v>696</v>
      </c>
    </row>
    <row r="698" spans="1:10" customFormat="1" ht="15" x14ac:dyDescent="0.25">
      <c r="A698" s="6">
        <v>24</v>
      </c>
      <c r="B698" s="6" t="s">
        <v>505</v>
      </c>
      <c r="C698" s="6" t="s">
        <v>510</v>
      </c>
      <c r="D698" s="6" t="s">
        <v>450</v>
      </c>
      <c r="E698" s="6" t="s">
        <v>451</v>
      </c>
      <c r="F698">
        <v>8</v>
      </c>
      <c r="J698">
        <v>697</v>
      </c>
    </row>
    <row r="699" spans="1:10" customFormat="1" ht="15" x14ac:dyDescent="0.25">
      <c r="A699" s="6">
        <v>24</v>
      </c>
      <c r="B699" s="6" t="s">
        <v>505</v>
      </c>
      <c r="C699" s="6" t="s">
        <v>510</v>
      </c>
      <c r="D699" s="6" t="s">
        <v>450</v>
      </c>
      <c r="E699" s="6" t="s">
        <v>451</v>
      </c>
      <c r="F699">
        <v>9</v>
      </c>
      <c r="J699">
        <v>698</v>
      </c>
    </row>
    <row r="700" spans="1:10" customFormat="1" ht="15" x14ac:dyDescent="0.25">
      <c r="A700" s="6">
        <v>24</v>
      </c>
      <c r="B700" s="6" t="s">
        <v>505</v>
      </c>
      <c r="C700" s="6" t="s">
        <v>510</v>
      </c>
      <c r="D700" s="6" t="s">
        <v>450</v>
      </c>
      <c r="E700" s="6" t="s">
        <v>451</v>
      </c>
      <c r="F700">
        <v>10</v>
      </c>
      <c r="J700">
        <v>699</v>
      </c>
    </row>
    <row r="701" spans="1:10" customFormat="1" ht="15" x14ac:dyDescent="0.25">
      <c r="A701" s="6">
        <v>24</v>
      </c>
      <c r="B701" s="6" t="s">
        <v>505</v>
      </c>
      <c r="C701" s="6" t="s">
        <v>510</v>
      </c>
      <c r="D701" s="6" t="s">
        <v>450</v>
      </c>
      <c r="E701" s="6" t="s">
        <v>451</v>
      </c>
      <c r="F701">
        <v>11</v>
      </c>
      <c r="J701">
        <v>700</v>
      </c>
    </row>
    <row r="702" spans="1:10" customFormat="1" ht="15" x14ac:dyDescent="0.25">
      <c r="A702" s="6">
        <v>24</v>
      </c>
      <c r="B702" s="6" t="s">
        <v>505</v>
      </c>
      <c r="C702" s="6" t="s">
        <v>510</v>
      </c>
      <c r="D702" s="6" t="s">
        <v>450</v>
      </c>
      <c r="E702" s="6" t="s">
        <v>451</v>
      </c>
      <c r="F702">
        <v>12</v>
      </c>
      <c r="J702">
        <v>701</v>
      </c>
    </row>
    <row r="703" spans="1:10" customFormat="1" ht="15" x14ac:dyDescent="0.25">
      <c r="A703" s="6">
        <v>24</v>
      </c>
      <c r="B703" s="6" t="s">
        <v>505</v>
      </c>
      <c r="C703" s="6" t="s">
        <v>510</v>
      </c>
      <c r="D703" s="6" t="s">
        <v>450</v>
      </c>
      <c r="E703" s="6" t="s">
        <v>451</v>
      </c>
      <c r="F703">
        <v>13</v>
      </c>
      <c r="J703">
        <v>702</v>
      </c>
    </row>
    <row r="704" spans="1:10" customFormat="1" ht="15" x14ac:dyDescent="0.25">
      <c r="A704" s="6">
        <v>24</v>
      </c>
      <c r="B704" s="6" t="s">
        <v>505</v>
      </c>
      <c r="C704" s="6" t="s">
        <v>510</v>
      </c>
      <c r="D704" s="6" t="s">
        <v>450</v>
      </c>
      <c r="E704" s="6" t="s">
        <v>451</v>
      </c>
      <c r="F704">
        <v>14</v>
      </c>
      <c r="J704">
        <v>703</v>
      </c>
    </row>
    <row r="705" spans="1:10" customFormat="1" ht="15" x14ac:dyDescent="0.25">
      <c r="A705" s="6">
        <v>24</v>
      </c>
      <c r="B705" s="6" t="s">
        <v>505</v>
      </c>
      <c r="C705" s="6" t="s">
        <v>510</v>
      </c>
      <c r="D705" s="6" t="s">
        <v>450</v>
      </c>
      <c r="E705" s="6" t="s">
        <v>451</v>
      </c>
      <c r="F705">
        <v>15</v>
      </c>
      <c r="J705">
        <v>704</v>
      </c>
    </row>
    <row r="706" spans="1:10" customFormat="1" ht="15" x14ac:dyDescent="0.25">
      <c r="A706" s="6">
        <v>24</v>
      </c>
      <c r="B706" s="6" t="s">
        <v>505</v>
      </c>
      <c r="C706" s="6" t="s">
        <v>510</v>
      </c>
      <c r="D706" s="6" t="s">
        <v>450</v>
      </c>
      <c r="E706" s="6" t="s">
        <v>451</v>
      </c>
      <c r="F706">
        <v>16</v>
      </c>
      <c r="J706">
        <v>705</v>
      </c>
    </row>
    <row r="707" spans="1:10" customFormat="1" ht="15" x14ac:dyDescent="0.25">
      <c r="A707" s="6">
        <v>24</v>
      </c>
      <c r="B707" s="6" t="s">
        <v>505</v>
      </c>
      <c r="C707" s="6" t="s">
        <v>510</v>
      </c>
      <c r="D707" s="6" t="s">
        <v>450</v>
      </c>
      <c r="E707" s="6" t="s">
        <v>451</v>
      </c>
      <c r="F707">
        <v>17</v>
      </c>
      <c r="J707">
        <v>706</v>
      </c>
    </row>
    <row r="708" spans="1:10" customFormat="1" ht="15" x14ac:dyDescent="0.25">
      <c r="A708" s="6">
        <v>24</v>
      </c>
      <c r="B708" s="6" t="s">
        <v>505</v>
      </c>
      <c r="C708" s="6" t="s">
        <v>510</v>
      </c>
      <c r="D708" s="6" t="s">
        <v>450</v>
      </c>
      <c r="E708" s="6" t="s">
        <v>451</v>
      </c>
      <c r="F708">
        <v>18</v>
      </c>
      <c r="J708">
        <v>707</v>
      </c>
    </row>
    <row r="709" spans="1:10" customFormat="1" ht="15" x14ac:dyDescent="0.25">
      <c r="A709" s="6">
        <v>24</v>
      </c>
      <c r="B709" s="6" t="s">
        <v>505</v>
      </c>
      <c r="C709" s="6" t="s">
        <v>510</v>
      </c>
      <c r="D709" s="6" t="s">
        <v>450</v>
      </c>
      <c r="E709" s="6" t="s">
        <v>451</v>
      </c>
      <c r="F709">
        <v>19</v>
      </c>
      <c r="J709">
        <v>708</v>
      </c>
    </row>
    <row r="710" spans="1:10" customFormat="1" ht="15" x14ac:dyDescent="0.25">
      <c r="A710" s="6">
        <v>24</v>
      </c>
      <c r="B710" s="6" t="s">
        <v>505</v>
      </c>
      <c r="C710" s="6" t="s">
        <v>510</v>
      </c>
      <c r="D710" s="6" t="s">
        <v>450</v>
      </c>
      <c r="E710" s="6" t="s">
        <v>451</v>
      </c>
      <c r="F710">
        <v>20</v>
      </c>
      <c r="J710">
        <v>709</v>
      </c>
    </row>
    <row r="711" spans="1:10" customFormat="1" ht="15" x14ac:dyDescent="0.25">
      <c r="A711" s="6">
        <v>24</v>
      </c>
      <c r="B711" s="6" t="s">
        <v>505</v>
      </c>
      <c r="C711" s="6" t="s">
        <v>510</v>
      </c>
      <c r="D711" s="6" t="s">
        <v>450</v>
      </c>
      <c r="E711" s="6" t="s">
        <v>451</v>
      </c>
      <c r="F711">
        <v>21</v>
      </c>
      <c r="J711">
        <v>710</v>
      </c>
    </row>
    <row r="712" spans="1:10" customFormat="1" ht="15" x14ac:dyDescent="0.25">
      <c r="A712" s="6">
        <v>24</v>
      </c>
      <c r="B712" s="6" t="s">
        <v>505</v>
      </c>
      <c r="C712" s="6" t="s">
        <v>510</v>
      </c>
      <c r="D712" s="6" t="s">
        <v>450</v>
      </c>
      <c r="E712" s="6" t="s">
        <v>451</v>
      </c>
      <c r="F712">
        <v>22</v>
      </c>
      <c r="J712">
        <v>711</v>
      </c>
    </row>
    <row r="713" spans="1:10" customFormat="1" ht="15" x14ac:dyDescent="0.25">
      <c r="A713" s="6">
        <v>24</v>
      </c>
      <c r="B713" s="6" t="s">
        <v>505</v>
      </c>
      <c r="C713" s="6" t="s">
        <v>510</v>
      </c>
      <c r="D713" s="6" t="s">
        <v>450</v>
      </c>
      <c r="E713" s="6" t="s">
        <v>451</v>
      </c>
      <c r="F713">
        <v>23</v>
      </c>
      <c r="J713">
        <v>712</v>
      </c>
    </row>
    <row r="714" spans="1:10" customFormat="1" ht="15" x14ac:dyDescent="0.25">
      <c r="A714" s="6">
        <v>24</v>
      </c>
      <c r="B714" s="6" t="s">
        <v>505</v>
      </c>
      <c r="C714" s="6" t="s">
        <v>510</v>
      </c>
      <c r="D714" s="6" t="s">
        <v>450</v>
      </c>
      <c r="E714" s="6" t="s">
        <v>451</v>
      </c>
      <c r="F714">
        <v>24</v>
      </c>
      <c r="J714">
        <v>713</v>
      </c>
    </row>
    <row r="715" spans="1:10" customFormat="1" ht="15" x14ac:dyDescent="0.25">
      <c r="A715" s="6">
        <v>24</v>
      </c>
      <c r="B715" s="6" t="s">
        <v>505</v>
      </c>
      <c r="C715" s="6" t="s">
        <v>510</v>
      </c>
      <c r="D715" s="6" t="s">
        <v>450</v>
      </c>
      <c r="E715" s="6" t="s">
        <v>451</v>
      </c>
      <c r="F715">
        <v>25</v>
      </c>
      <c r="J715">
        <v>714</v>
      </c>
    </row>
    <row r="716" spans="1:10" customFormat="1" ht="15" x14ac:dyDescent="0.25">
      <c r="A716" s="6">
        <v>24</v>
      </c>
      <c r="B716" s="6" t="s">
        <v>505</v>
      </c>
      <c r="C716" s="6" t="s">
        <v>510</v>
      </c>
      <c r="D716" s="6" t="s">
        <v>450</v>
      </c>
      <c r="E716" s="6" t="s">
        <v>451</v>
      </c>
      <c r="F716">
        <v>26</v>
      </c>
      <c r="J716">
        <v>715</v>
      </c>
    </row>
    <row r="717" spans="1:10" customFormat="1" ht="15" x14ac:dyDescent="0.25">
      <c r="A717" s="6">
        <v>24</v>
      </c>
      <c r="B717" s="6" t="s">
        <v>505</v>
      </c>
      <c r="C717" s="6" t="s">
        <v>510</v>
      </c>
      <c r="D717" s="6" t="s">
        <v>450</v>
      </c>
      <c r="E717" s="6" t="s">
        <v>451</v>
      </c>
      <c r="F717">
        <v>27</v>
      </c>
      <c r="J717">
        <v>716</v>
      </c>
    </row>
    <row r="718" spans="1:10" customFormat="1" ht="15" x14ac:dyDescent="0.25">
      <c r="A718" s="6">
        <v>24</v>
      </c>
      <c r="B718" s="6" t="s">
        <v>505</v>
      </c>
      <c r="C718" s="6" t="s">
        <v>510</v>
      </c>
      <c r="D718" s="6" t="s">
        <v>450</v>
      </c>
      <c r="E718" s="6" t="s">
        <v>451</v>
      </c>
      <c r="F718">
        <v>28</v>
      </c>
      <c r="J718">
        <v>717</v>
      </c>
    </row>
    <row r="719" spans="1:10" customFormat="1" ht="15" x14ac:dyDescent="0.25">
      <c r="A719" s="6">
        <v>24</v>
      </c>
      <c r="B719" s="6" t="s">
        <v>505</v>
      </c>
      <c r="C719" s="6" t="s">
        <v>510</v>
      </c>
      <c r="D719" s="6" t="s">
        <v>450</v>
      </c>
      <c r="E719" s="6" t="s">
        <v>451</v>
      </c>
      <c r="F719">
        <v>29</v>
      </c>
      <c r="J719">
        <v>718</v>
      </c>
    </row>
    <row r="720" spans="1:10" customFormat="1" ht="15" x14ac:dyDescent="0.25">
      <c r="A720" s="6">
        <v>24</v>
      </c>
      <c r="B720" s="6" t="s">
        <v>505</v>
      </c>
      <c r="C720" s="6" t="s">
        <v>510</v>
      </c>
      <c r="D720" s="6" t="s">
        <v>450</v>
      </c>
      <c r="E720" s="6" t="s">
        <v>451</v>
      </c>
      <c r="F720">
        <v>30</v>
      </c>
      <c r="J720">
        <v>719</v>
      </c>
    </row>
    <row r="721" spans="1:10" customFormat="1" thickBot="1" x14ac:dyDescent="0.3">
      <c r="A721" s="6">
        <v>24</v>
      </c>
      <c r="B721" s="6" t="s">
        <v>505</v>
      </c>
      <c r="C721" s="6" t="s">
        <v>510</v>
      </c>
      <c r="D721" s="16" t="s">
        <v>450</v>
      </c>
      <c r="E721" s="16" t="s">
        <v>451</v>
      </c>
      <c r="F721" s="17">
        <v>31</v>
      </c>
      <c r="G721" s="17"/>
      <c r="H721" s="17"/>
      <c r="I721" s="17">
        <v>31</v>
      </c>
      <c r="J721">
        <v>720</v>
      </c>
    </row>
    <row r="722" spans="1:10" customFormat="1" thickTop="1" x14ac:dyDescent="0.25">
      <c r="A722" s="6">
        <v>25</v>
      </c>
      <c r="B722" s="6" t="s">
        <v>505</v>
      </c>
      <c r="C722" s="6" t="s">
        <v>510</v>
      </c>
      <c r="D722" s="6" t="s">
        <v>454</v>
      </c>
      <c r="E722" s="6" t="s">
        <v>455</v>
      </c>
      <c r="F722">
        <v>1</v>
      </c>
      <c r="J722">
        <v>721</v>
      </c>
    </row>
    <row r="723" spans="1:10" customFormat="1" ht="15" x14ac:dyDescent="0.25">
      <c r="A723" s="6">
        <v>25</v>
      </c>
      <c r="B723" s="6" t="s">
        <v>505</v>
      </c>
      <c r="C723" s="6" t="s">
        <v>510</v>
      </c>
      <c r="D723" s="6" t="s">
        <v>454</v>
      </c>
      <c r="E723" s="6" t="s">
        <v>455</v>
      </c>
      <c r="F723">
        <v>2</v>
      </c>
      <c r="J723">
        <v>722</v>
      </c>
    </row>
    <row r="724" spans="1:10" customFormat="1" ht="15" x14ac:dyDescent="0.25">
      <c r="A724" s="6">
        <v>25</v>
      </c>
      <c r="B724" s="6" t="s">
        <v>505</v>
      </c>
      <c r="C724" s="6" t="s">
        <v>510</v>
      </c>
      <c r="D724" s="6" t="s">
        <v>454</v>
      </c>
      <c r="E724" s="6" t="s">
        <v>455</v>
      </c>
      <c r="F724">
        <v>3</v>
      </c>
      <c r="J724">
        <v>723</v>
      </c>
    </row>
    <row r="725" spans="1:10" customFormat="1" ht="15" x14ac:dyDescent="0.25">
      <c r="A725" s="6">
        <v>25</v>
      </c>
      <c r="B725" s="6" t="s">
        <v>505</v>
      </c>
      <c r="C725" s="6" t="s">
        <v>510</v>
      </c>
      <c r="D725" s="6" t="s">
        <v>454</v>
      </c>
      <c r="E725" s="6" t="s">
        <v>455</v>
      </c>
      <c r="F725">
        <v>4</v>
      </c>
      <c r="J725">
        <v>724</v>
      </c>
    </row>
    <row r="726" spans="1:10" customFormat="1" ht="15" x14ac:dyDescent="0.25">
      <c r="A726" s="6">
        <v>25</v>
      </c>
      <c r="B726" s="6" t="s">
        <v>505</v>
      </c>
      <c r="C726" s="6" t="s">
        <v>510</v>
      </c>
      <c r="D726" s="6" t="s">
        <v>454</v>
      </c>
      <c r="E726" s="6" t="s">
        <v>455</v>
      </c>
      <c r="F726">
        <v>5</v>
      </c>
      <c r="J726">
        <v>725</v>
      </c>
    </row>
    <row r="727" spans="1:10" customFormat="1" ht="15" x14ac:dyDescent="0.25">
      <c r="A727" s="6">
        <v>25</v>
      </c>
      <c r="B727" s="6" t="s">
        <v>505</v>
      </c>
      <c r="C727" s="6" t="s">
        <v>510</v>
      </c>
      <c r="D727" s="6" t="s">
        <v>454</v>
      </c>
      <c r="E727" s="6" t="s">
        <v>455</v>
      </c>
      <c r="F727">
        <v>6</v>
      </c>
      <c r="J727">
        <v>726</v>
      </c>
    </row>
    <row r="728" spans="1:10" customFormat="1" ht="15" x14ac:dyDescent="0.25">
      <c r="A728" s="6">
        <v>25</v>
      </c>
      <c r="B728" s="6" t="s">
        <v>505</v>
      </c>
      <c r="C728" s="6" t="s">
        <v>510</v>
      </c>
      <c r="D728" s="6" t="s">
        <v>454</v>
      </c>
      <c r="E728" s="6" t="s">
        <v>455</v>
      </c>
      <c r="F728">
        <v>7</v>
      </c>
      <c r="J728">
        <v>727</v>
      </c>
    </row>
    <row r="729" spans="1:10" customFormat="1" ht="15" x14ac:dyDescent="0.25">
      <c r="A729" s="6">
        <v>25</v>
      </c>
      <c r="B729" s="6" t="s">
        <v>505</v>
      </c>
      <c r="C729" s="6" t="s">
        <v>510</v>
      </c>
      <c r="D729" s="6" t="s">
        <v>454</v>
      </c>
      <c r="E729" s="6" t="s">
        <v>455</v>
      </c>
      <c r="F729">
        <v>8</v>
      </c>
      <c r="J729">
        <v>728</v>
      </c>
    </row>
    <row r="730" spans="1:10" customFormat="1" ht="15" x14ac:dyDescent="0.25">
      <c r="A730" s="6">
        <v>25</v>
      </c>
      <c r="B730" s="6" t="s">
        <v>505</v>
      </c>
      <c r="C730" s="6" t="s">
        <v>510</v>
      </c>
      <c r="D730" s="6" t="s">
        <v>454</v>
      </c>
      <c r="E730" s="6" t="s">
        <v>455</v>
      </c>
      <c r="F730">
        <v>9</v>
      </c>
      <c r="J730">
        <v>729</v>
      </c>
    </row>
    <row r="731" spans="1:10" customFormat="1" ht="15" x14ac:dyDescent="0.25">
      <c r="A731" s="6">
        <v>25</v>
      </c>
      <c r="B731" s="6" t="s">
        <v>505</v>
      </c>
      <c r="C731" s="6" t="s">
        <v>510</v>
      </c>
      <c r="D731" s="6" t="s">
        <v>454</v>
      </c>
      <c r="E731" s="6" t="s">
        <v>455</v>
      </c>
      <c r="F731">
        <v>10</v>
      </c>
      <c r="J731">
        <v>730</v>
      </c>
    </row>
    <row r="732" spans="1:10" customFormat="1" ht="15" x14ac:dyDescent="0.25">
      <c r="A732" s="6">
        <v>25</v>
      </c>
      <c r="B732" s="6" t="s">
        <v>505</v>
      </c>
      <c r="C732" s="6" t="s">
        <v>510</v>
      </c>
      <c r="D732" s="6" t="s">
        <v>454</v>
      </c>
      <c r="E732" s="6" t="s">
        <v>455</v>
      </c>
      <c r="F732">
        <v>11</v>
      </c>
      <c r="J732">
        <v>731</v>
      </c>
    </row>
    <row r="733" spans="1:10" customFormat="1" thickBot="1" x14ac:dyDescent="0.3">
      <c r="A733" s="6">
        <v>25</v>
      </c>
      <c r="B733" s="6" t="s">
        <v>505</v>
      </c>
      <c r="C733" s="6" t="s">
        <v>510</v>
      </c>
      <c r="D733" s="16" t="s">
        <v>454</v>
      </c>
      <c r="E733" s="16" t="s">
        <v>455</v>
      </c>
      <c r="F733" s="17">
        <v>12</v>
      </c>
      <c r="G733" s="17"/>
      <c r="H733" s="17"/>
      <c r="I733" s="17">
        <v>12</v>
      </c>
      <c r="J733">
        <v>732</v>
      </c>
    </row>
    <row r="734" spans="1:10" customFormat="1" thickTop="1" x14ac:dyDescent="0.25">
      <c r="A734" s="6">
        <v>26</v>
      </c>
      <c r="B734" s="6" t="s">
        <v>505</v>
      </c>
      <c r="C734" s="6" t="s">
        <v>510</v>
      </c>
      <c r="D734" s="6" t="s">
        <v>458</v>
      </c>
      <c r="E734" s="6" t="s">
        <v>459</v>
      </c>
      <c r="F734">
        <v>1</v>
      </c>
      <c r="J734">
        <v>733</v>
      </c>
    </row>
    <row r="735" spans="1:10" customFormat="1" ht="15" x14ac:dyDescent="0.25">
      <c r="A735" s="6">
        <v>26</v>
      </c>
      <c r="B735" s="6" t="s">
        <v>505</v>
      </c>
      <c r="C735" s="6" t="s">
        <v>510</v>
      </c>
      <c r="D735" s="6" t="s">
        <v>458</v>
      </c>
      <c r="E735" s="6" t="s">
        <v>459</v>
      </c>
      <c r="F735">
        <v>2</v>
      </c>
      <c r="J735">
        <v>734</v>
      </c>
    </row>
    <row r="736" spans="1:10" customFormat="1" ht="15" x14ac:dyDescent="0.25">
      <c r="A736" s="6">
        <v>26</v>
      </c>
      <c r="B736" s="6" t="s">
        <v>505</v>
      </c>
      <c r="C736" s="6" t="s">
        <v>510</v>
      </c>
      <c r="D736" s="6" t="s">
        <v>458</v>
      </c>
      <c r="E736" s="6" t="s">
        <v>459</v>
      </c>
      <c r="F736">
        <v>3</v>
      </c>
      <c r="J736">
        <v>735</v>
      </c>
    </row>
    <row r="737" spans="1:10" customFormat="1" ht="15" x14ac:dyDescent="0.25">
      <c r="A737" s="6">
        <v>26</v>
      </c>
      <c r="B737" s="6" t="s">
        <v>505</v>
      </c>
      <c r="C737" s="6" t="s">
        <v>510</v>
      </c>
      <c r="D737" s="6" t="s">
        <v>458</v>
      </c>
      <c r="E737" s="6" t="s">
        <v>459</v>
      </c>
      <c r="F737">
        <v>4</v>
      </c>
      <c r="J737">
        <v>736</v>
      </c>
    </row>
    <row r="738" spans="1:10" customFormat="1" ht="15" x14ac:dyDescent="0.25">
      <c r="A738" s="6">
        <v>26</v>
      </c>
      <c r="B738" s="6" t="s">
        <v>505</v>
      </c>
      <c r="C738" s="6" t="s">
        <v>510</v>
      </c>
      <c r="D738" s="6" t="s">
        <v>458</v>
      </c>
      <c r="E738" s="6" t="s">
        <v>459</v>
      </c>
      <c r="F738">
        <v>5</v>
      </c>
      <c r="J738">
        <v>737</v>
      </c>
    </row>
    <row r="739" spans="1:10" customFormat="1" ht="15" x14ac:dyDescent="0.25">
      <c r="A739" s="6">
        <v>26</v>
      </c>
      <c r="B739" s="6" t="s">
        <v>505</v>
      </c>
      <c r="C739" s="6" t="s">
        <v>510</v>
      </c>
      <c r="D739" s="6" t="s">
        <v>458</v>
      </c>
      <c r="E739" s="6" t="s">
        <v>459</v>
      </c>
      <c r="F739">
        <v>6</v>
      </c>
      <c r="J739">
        <v>738</v>
      </c>
    </row>
    <row r="740" spans="1:10" customFormat="1" ht="15" x14ac:dyDescent="0.25">
      <c r="A740" s="6">
        <v>26</v>
      </c>
      <c r="B740" s="6" t="s">
        <v>505</v>
      </c>
      <c r="C740" s="6" t="s">
        <v>510</v>
      </c>
      <c r="D740" s="6" t="s">
        <v>458</v>
      </c>
      <c r="E740" s="6" t="s">
        <v>459</v>
      </c>
      <c r="F740">
        <v>7</v>
      </c>
      <c r="J740">
        <v>739</v>
      </c>
    </row>
    <row r="741" spans="1:10" customFormat="1" thickBot="1" x14ac:dyDescent="0.3">
      <c r="A741" s="6">
        <v>26</v>
      </c>
      <c r="B741" s="6" t="s">
        <v>505</v>
      </c>
      <c r="C741" s="6" t="s">
        <v>510</v>
      </c>
      <c r="D741" s="16" t="s">
        <v>458</v>
      </c>
      <c r="E741" s="16" t="s">
        <v>459</v>
      </c>
      <c r="F741" s="17">
        <v>8</v>
      </c>
      <c r="G741" s="17"/>
      <c r="H741" s="17"/>
      <c r="I741" s="17">
        <v>8</v>
      </c>
      <c r="J741">
        <v>740</v>
      </c>
    </row>
    <row r="742" spans="1:10" customFormat="1" thickTop="1" x14ac:dyDescent="0.25">
      <c r="A742" s="6">
        <v>27</v>
      </c>
      <c r="B742" s="6" t="s">
        <v>505</v>
      </c>
      <c r="C742" s="6" t="s">
        <v>510</v>
      </c>
      <c r="D742" s="6" t="s">
        <v>461</v>
      </c>
      <c r="E742" s="6" t="s">
        <v>462</v>
      </c>
      <c r="F742">
        <v>1</v>
      </c>
      <c r="J742">
        <v>741</v>
      </c>
    </row>
    <row r="743" spans="1:10" customFormat="1" ht="15" x14ac:dyDescent="0.25">
      <c r="A743" s="6">
        <v>27</v>
      </c>
      <c r="B743" s="6" t="s">
        <v>505</v>
      </c>
      <c r="C743" s="6" t="s">
        <v>510</v>
      </c>
      <c r="D743" s="6" t="s">
        <v>461</v>
      </c>
      <c r="E743" s="6" t="s">
        <v>462</v>
      </c>
      <c r="F743">
        <v>2</v>
      </c>
      <c r="J743">
        <v>742</v>
      </c>
    </row>
    <row r="744" spans="1:10" customFormat="1" ht="15" x14ac:dyDescent="0.25">
      <c r="A744" s="6">
        <v>27</v>
      </c>
      <c r="B744" s="6" t="s">
        <v>505</v>
      </c>
      <c r="C744" s="6" t="s">
        <v>510</v>
      </c>
      <c r="D744" s="6" t="s">
        <v>461</v>
      </c>
      <c r="E744" s="6" t="s">
        <v>462</v>
      </c>
      <c r="F744">
        <v>3</v>
      </c>
      <c r="J744">
        <v>743</v>
      </c>
    </row>
    <row r="745" spans="1:10" customFormat="1" ht="15" x14ac:dyDescent="0.25">
      <c r="A745" s="6">
        <v>27</v>
      </c>
      <c r="B745" s="6" t="s">
        <v>505</v>
      </c>
      <c r="C745" s="6" t="s">
        <v>510</v>
      </c>
      <c r="D745" s="6" t="s">
        <v>461</v>
      </c>
      <c r="E745" s="6" t="s">
        <v>462</v>
      </c>
      <c r="F745">
        <v>4</v>
      </c>
      <c r="J745">
        <v>744</v>
      </c>
    </row>
    <row r="746" spans="1:10" customFormat="1" ht="15" x14ac:dyDescent="0.25">
      <c r="A746" s="6">
        <v>27</v>
      </c>
      <c r="B746" s="6" t="s">
        <v>505</v>
      </c>
      <c r="C746" s="6" t="s">
        <v>510</v>
      </c>
      <c r="D746" s="6" t="s">
        <v>461</v>
      </c>
      <c r="E746" s="6" t="s">
        <v>462</v>
      </c>
      <c r="F746">
        <v>5</v>
      </c>
      <c r="J746">
        <v>745</v>
      </c>
    </row>
    <row r="747" spans="1:10" customFormat="1" ht="15" x14ac:dyDescent="0.25">
      <c r="A747" s="6">
        <v>27</v>
      </c>
      <c r="B747" s="6" t="s">
        <v>505</v>
      </c>
      <c r="C747" s="6" t="s">
        <v>510</v>
      </c>
      <c r="D747" s="6" t="s">
        <v>461</v>
      </c>
      <c r="E747" s="6" t="s">
        <v>462</v>
      </c>
      <c r="F747">
        <v>6</v>
      </c>
      <c r="J747">
        <v>746</v>
      </c>
    </row>
    <row r="748" spans="1:10" customFormat="1" ht="15" x14ac:dyDescent="0.25">
      <c r="A748" s="6">
        <v>27</v>
      </c>
      <c r="B748" s="6" t="s">
        <v>505</v>
      </c>
      <c r="C748" s="6" t="s">
        <v>510</v>
      </c>
      <c r="D748" s="6" t="s">
        <v>461</v>
      </c>
      <c r="E748" s="6" t="s">
        <v>462</v>
      </c>
      <c r="F748">
        <v>7</v>
      </c>
      <c r="J748">
        <v>747</v>
      </c>
    </row>
    <row r="749" spans="1:10" customFormat="1" ht="15" x14ac:dyDescent="0.25">
      <c r="A749" s="6">
        <v>27</v>
      </c>
      <c r="B749" s="6" t="s">
        <v>505</v>
      </c>
      <c r="C749" s="6" t="s">
        <v>510</v>
      </c>
      <c r="D749" s="6" t="s">
        <v>461</v>
      </c>
      <c r="E749" s="6" t="s">
        <v>462</v>
      </c>
      <c r="F749">
        <v>8</v>
      </c>
      <c r="J749">
        <v>748</v>
      </c>
    </row>
    <row r="750" spans="1:10" customFormat="1" ht="15" x14ac:dyDescent="0.25">
      <c r="A750" s="6">
        <v>27</v>
      </c>
      <c r="B750" s="6" t="s">
        <v>505</v>
      </c>
      <c r="C750" s="6" t="s">
        <v>510</v>
      </c>
      <c r="D750" s="6" t="s">
        <v>461</v>
      </c>
      <c r="E750" s="6" t="s">
        <v>462</v>
      </c>
      <c r="F750">
        <v>9</v>
      </c>
      <c r="J750">
        <v>749</v>
      </c>
    </row>
    <row r="751" spans="1:10" customFormat="1" ht="15" x14ac:dyDescent="0.25">
      <c r="A751" s="6">
        <v>27</v>
      </c>
      <c r="B751" s="6" t="s">
        <v>505</v>
      </c>
      <c r="C751" s="6" t="s">
        <v>510</v>
      </c>
      <c r="D751" s="6" t="s">
        <v>461</v>
      </c>
      <c r="E751" s="6" t="s">
        <v>462</v>
      </c>
      <c r="F751">
        <v>10</v>
      </c>
      <c r="J751">
        <v>750</v>
      </c>
    </row>
    <row r="752" spans="1:10" customFormat="1" ht="15" x14ac:dyDescent="0.25">
      <c r="A752" s="6">
        <v>27</v>
      </c>
      <c r="B752" s="6" t="s">
        <v>505</v>
      </c>
      <c r="C752" s="6" t="s">
        <v>510</v>
      </c>
      <c r="D752" s="6" t="s">
        <v>461</v>
      </c>
      <c r="E752" s="6" t="s">
        <v>462</v>
      </c>
      <c r="F752">
        <v>11</v>
      </c>
      <c r="J752">
        <v>751</v>
      </c>
    </row>
    <row r="753" spans="1:10" customFormat="1" ht="15" x14ac:dyDescent="0.25">
      <c r="A753" s="6">
        <v>27</v>
      </c>
      <c r="B753" s="6" t="s">
        <v>505</v>
      </c>
      <c r="C753" s="6" t="s">
        <v>510</v>
      </c>
      <c r="D753" s="6" t="s">
        <v>461</v>
      </c>
      <c r="E753" s="6" t="s">
        <v>462</v>
      </c>
      <c r="F753">
        <v>12</v>
      </c>
      <c r="J753">
        <v>752</v>
      </c>
    </row>
    <row r="754" spans="1:10" customFormat="1" ht="15" x14ac:dyDescent="0.25">
      <c r="A754" s="6">
        <v>27</v>
      </c>
      <c r="B754" s="6" t="s">
        <v>505</v>
      </c>
      <c r="C754" s="6" t="s">
        <v>510</v>
      </c>
      <c r="D754" s="6" t="s">
        <v>461</v>
      </c>
      <c r="E754" s="6" t="s">
        <v>462</v>
      </c>
      <c r="F754">
        <v>13</v>
      </c>
      <c r="J754">
        <v>753</v>
      </c>
    </row>
    <row r="755" spans="1:10" customFormat="1" ht="15" x14ac:dyDescent="0.25">
      <c r="A755" s="6">
        <v>27</v>
      </c>
      <c r="B755" s="6" t="s">
        <v>505</v>
      </c>
      <c r="C755" s="6" t="s">
        <v>510</v>
      </c>
      <c r="D755" s="6" t="s">
        <v>461</v>
      </c>
      <c r="E755" s="6" t="s">
        <v>462</v>
      </c>
      <c r="F755">
        <v>14</v>
      </c>
      <c r="J755">
        <v>754</v>
      </c>
    </row>
    <row r="756" spans="1:10" customFormat="1" ht="15" x14ac:dyDescent="0.25">
      <c r="A756" s="6">
        <v>27</v>
      </c>
      <c r="B756" s="6" t="s">
        <v>505</v>
      </c>
      <c r="C756" s="6" t="s">
        <v>510</v>
      </c>
      <c r="D756" s="6" t="s">
        <v>461</v>
      </c>
      <c r="E756" s="6" t="s">
        <v>462</v>
      </c>
      <c r="F756">
        <v>15</v>
      </c>
      <c r="J756">
        <v>755</v>
      </c>
    </row>
    <row r="757" spans="1:10" customFormat="1" ht="15" x14ac:dyDescent="0.25">
      <c r="A757" s="6">
        <v>27</v>
      </c>
      <c r="B757" s="6" t="s">
        <v>505</v>
      </c>
      <c r="C757" s="6" t="s">
        <v>510</v>
      </c>
      <c r="D757" s="6" t="s">
        <v>461</v>
      </c>
      <c r="E757" s="6" t="s">
        <v>462</v>
      </c>
      <c r="F757">
        <v>16</v>
      </c>
      <c r="J757">
        <v>756</v>
      </c>
    </row>
    <row r="758" spans="1:10" customFormat="1" ht="15" x14ac:dyDescent="0.25">
      <c r="A758" s="6">
        <v>27</v>
      </c>
      <c r="B758" s="6" t="s">
        <v>505</v>
      </c>
      <c r="C758" s="6" t="s">
        <v>510</v>
      </c>
      <c r="D758" s="6" t="s">
        <v>461</v>
      </c>
      <c r="E758" s="6" t="s">
        <v>462</v>
      </c>
      <c r="F758">
        <v>17</v>
      </c>
      <c r="J758">
        <v>757</v>
      </c>
    </row>
    <row r="759" spans="1:10" customFormat="1" ht="15" x14ac:dyDescent="0.25">
      <c r="A759" s="6">
        <v>27</v>
      </c>
      <c r="B759" s="6" t="s">
        <v>505</v>
      </c>
      <c r="C759" s="6" t="s">
        <v>510</v>
      </c>
      <c r="D759" s="6" t="s">
        <v>461</v>
      </c>
      <c r="E759" s="6" t="s">
        <v>462</v>
      </c>
      <c r="F759">
        <v>18</v>
      </c>
      <c r="J759">
        <v>758</v>
      </c>
    </row>
    <row r="760" spans="1:10" customFormat="1" thickBot="1" x14ac:dyDescent="0.3">
      <c r="A760" s="6">
        <v>27</v>
      </c>
      <c r="B760" s="6" t="s">
        <v>505</v>
      </c>
      <c r="C760" s="6" t="s">
        <v>510</v>
      </c>
      <c r="D760" s="16" t="s">
        <v>461</v>
      </c>
      <c r="E760" s="16" t="s">
        <v>462</v>
      </c>
      <c r="F760" s="17">
        <v>19</v>
      </c>
      <c r="G760" s="17"/>
      <c r="H760" s="17"/>
      <c r="I760" s="17">
        <v>19</v>
      </c>
      <c r="J760">
        <v>759</v>
      </c>
    </row>
    <row r="761" spans="1:10" customFormat="1" thickTop="1" x14ac:dyDescent="0.25">
      <c r="A761" s="6">
        <v>28</v>
      </c>
      <c r="B761" s="6" t="s">
        <v>505</v>
      </c>
      <c r="C761" s="6" t="s">
        <v>510</v>
      </c>
      <c r="D761" s="6" t="s">
        <v>463</v>
      </c>
      <c r="E761" s="6" t="s">
        <v>464</v>
      </c>
      <c r="F761">
        <v>1</v>
      </c>
      <c r="J761">
        <v>760</v>
      </c>
    </row>
    <row r="762" spans="1:10" customFormat="1" ht="15" x14ac:dyDescent="0.25">
      <c r="A762" s="6">
        <v>28</v>
      </c>
      <c r="B762" s="6" t="s">
        <v>505</v>
      </c>
      <c r="C762" s="6" t="s">
        <v>510</v>
      </c>
      <c r="D762" s="6" t="s">
        <v>463</v>
      </c>
      <c r="E762" s="6" t="s">
        <v>464</v>
      </c>
      <c r="F762">
        <v>2</v>
      </c>
      <c r="J762">
        <v>761</v>
      </c>
    </row>
    <row r="763" spans="1:10" customFormat="1" ht="15" x14ac:dyDescent="0.25">
      <c r="A763" s="6">
        <v>28</v>
      </c>
      <c r="B763" s="6" t="s">
        <v>505</v>
      </c>
      <c r="C763" s="6" t="s">
        <v>510</v>
      </c>
      <c r="D763" s="6" t="s">
        <v>463</v>
      </c>
      <c r="E763" s="6" t="s">
        <v>464</v>
      </c>
      <c r="F763">
        <v>3</v>
      </c>
      <c r="J763">
        <v>762</v>
      </c>
    </row>
    <row r="764" spans="1:10" customFormat="1" ht="15" x14ac:dyDescent="0.25">
      <c r="A764" s="6">
        <v>28</v>
      </c>
      <c r="B764" s="6" t="s">
        <v>505</v>
      </c>
      <c r="C764" s="6" t="s">
        <v>510</v>
      </c>
      <c r="D764" s="6" t="s">
        <v>463</v>
      </c>
      <c r="E764" s="6" t="s">
        <v>464</v>
      </c>
      <c r="F764">
        <v>4</v>
      </c>
      <c r="J764">
        <v>763</v>
      </c>
    </row>
    <row r="765" spans="1:10" customFormat="1" ht="15" x14ac:dyDescent="0.25">
      <c r="A765" s="6">
        <v>28</v>
      </c>
      <c r="B765" s="6" t="s">
        <v>505</v>
      </c>
      <c r="C765" s="6" t="s">
        <v>510</v>
      </c>
      <c r="D765" s="6" t="s">
        <v>463</v>
      </c>
      <c r="E765" s="6" t="s">
        <v>464</v>
      </c>
      <c r="F765">
        <v>5</v>
      </c>
      <c r="J765">
        <v>764</v>
      </c>
    </row>
    <row r="766" spans="1:10" customFormat="1" ht="15" x14ac:dyDescent="0.25">
      <c r="A766" s="6">
        <v>28</v>
      </c>
      <c r="B766" s="6" t="s">
        <v>505</v>
      </c>
      <c r="C766" s="6" t="s">
        <v>510</v>
      </c>
      <c r="D766" s="6" t="s">
        <v>463</v>
      </c>
      <c r="E766" s="6" t="s">
        <v>464</v>
      </c>
      <c r="F766">
        <v>6</v>
      </c>
      <c r="J766">
        <v>765</v>
      </c>
    </row>
    <row r="767" spans="1:10" customFormat="1" ht="15" x14ac:dyDescent="0.25">
      <c r="A767" s="6">
        <v>28</v>
      </c>
      <c r="B767" s="6" t="s">
        <v>505</v>
      </c>
      <c r="C767" s="6" t="s">
        <v>510</v>
      </c>
      <c r="D767" s="6" t="s">
        <v>463</v>
      </c>
      <c r="E767" s="6" t="s">
        <v>464</v>
      </c>
      <c r="F767">
        <v>7</v>
      </c>
      <c r="J767">
        <v>766</v>
      </c>
    </row>
    <row r="768" spans="1:10" customFormat="1" ht="15" x14ac:dyDescent="0.25">
      <c r="A768" s="6">
        <v>28</v>
      </c>
      <c r="B768" s="6" t="s">
        <v>505</v>
      </c>
      <c r="C768" s="6" t="s">
        <v>510</v>
      </c>
      <c r="D768" s="6" t="s">
        <v>463</v>
      </c>
      <c r="E768" s="6" t="s">
        <v>464</v>
      </c>
      <c r="F768">
        <v>8</v>
      </c>
      <c r="J768">
        <v>767</v>
      </c>
    </row>
    <row r="769" spans="1:10" customFormat="1" ht="15" x14ac:dyDescent="0.25">
      <c r="A769" s="6">
        <v>28</v>
      </c>
      <c r="B769" s="6" t="s">
        <v>505</v>
      </c>
      <c r="C769" s="6" t="s">
        <v>510</v>
      </c>
      <c r="D769" s="6" t="s">
        <v>463</v>
      </c>
      <c r="E769" s="6" t="s">
        <v>464</v>
      </c>
      <c r="F769">
        <v>9</v>
      </c>
      <c r="J769">
        <v>768</v>
      </c>
    </row>
    <row r="770" spans="1:10" customFormat="1" ht="15" x14ac:dyDescent="0.25">
      <c r="A770" s="6">
        <v>28</v>
      </c>
      <c r="B770" s="6" t="s">
        <v>505</v>
      </c>
      <c r="C770" s="6" t="s">
        <v>510</v>
      </c>
      <c r="D770" s="6" t="s">
        <v>463</v>
      </c>
      <c r="E770" s="6" t="s">
        <v>464</v>
      </c>
      <c r="F770">
        <v>10</v>
      </c>
      <c r="J770">
        <v>769</v>
      </c>
    </row>
    <row r="771" spans="1:10" customFormat="1" ht="15" x14ac:dyDescent="0.25">
      <c r="A771" s="6">
        <v>28</v>
      </c>
      <c r="B771" s="6" t="s">
        <v>505</v>
      </c>
      <c r="C771" s="6" t="s">
        <v>510</v>
      </c>
      <c r="D771" s="6" t="s">
        <v>463</v>
      </c>
      <c r="E771" s="6" t="s">
        <v>464</v>
      </c>
      <c r="F771">
        <v>11</v>
      </c>
      <c r="J771">
        <v>770</v>
      </c>
    </row>
    <row r="772" spans="1:10" customFormat="1" ht="15" x14ac:dyDescent="0.25">
      <c r="A772" s="6">
        <v>28</v>
      </c>
      <c r="B772" s="6" t="s">
        <v>505</v>
      </c>
      <c r="C772" s="6" t="s">
        <v>510</v>
      </c>
      <c r="D772" s="6" t="s">
        <v>463</v>
      </c>
      <c r="E772" s="6" t="s">
        <v>464</v>
      </c>
      <c r="F772">
        <v>12</v>
      </c>
      <c r="J772">
        <v>771</v>
      </c>
    </row>
    <row r="773" spans="1:10" customFormat="1" ht="15" x14ac:dyDescent="0.25">
      <c r="A773" s="6">
        <v>28</v>
      </c>
      <c r="B773" s="6" t="s">
        <v>505</v>
      </c>
      <c r="C773" s="6" t="s">
        <v>510</v>
      </c>
      <c r="D773" s="6" t="s">
        <v>463</v>
      </c>
      <c r="E773" s="6" t="s">
        <v>464</v>
      </c>
      <c r="F773">
        <v>13</v>
      </c>
      <c r="J773">
        <v>772</v>
      </c>
    </row>
    <row r="774" spans="1:10" customFormat="1" ht="15" x14ac:dyDescent="0.25">
      <c r="A774" s="6">
        <v>28</v>
      </c>
      <c r="B774" s="6" t="s">
        <v>505</v>
      </c>
      <c r="C774" s="6" t="s">
        <v>510</v>
      </c>
      <c r="D774" s="6" t="s">
        <v>463</v>
      </c>
      <c r="E774" s="6" t="s">
        <v>464</v>
      </c>
      <c r="F774">
        <v>14</v>
      </c>
      <c r="J774">
        <v>773</v>
      </c>
    </row>
    <row r="775" spans="1:10" customFormat="1" ht="15" x14ac:dyDescent="0.25">
      <c r="A775" s="6">
        <v>28</v>
      </c>
      <c r="B775" s="6" t="s">
        <v>505</v>
      </c>
      <c r="C775" s="6" t="s">
        <v>510</v>
      </c>
      <c r="D775" s="6" t="s">
        <v>463</v>
      </c>
      <c r="E775" s="6" t="s">
        <v>464</v>
      </c>
      <c r="F775">
        <v>15</v>
      </c>
      <c r="J775">
        <v>774</v>
      </c>
    </row>
    <row r="776" spans="1:10" customFormat="1" ht="15" x14ac:dyDescent="0.25">
      <c r="A776" s="6">
        <v>28</v>
      </c>
      <c r="B776" s="6" t="s">
        <v>505</v>
      </c>
      <c r="C776" s="6" t="s">
        <v>510</v>
      </c>
      <c r="D776" s="6" t="s">
        <v>463</v>
      </c>
      <c r="E776" s="6" t="s">
        <v>464</v>
      </c>
      <c r="F776">
        <v>16</v>
      </c>
      <c r="J776">
        <v>775</v>
      </c>
    </row>
    <row r="777" spans="1:10" customFormat="1" ht="15" x14ac:dyDescent="0.25">
      <c r="A777" s="6">
        <v>28</v>
      </c>
      <c r="B777" s="6" t="s">
        <v>505</v>
      </c>
      <c r="C777" s="6" t="s">
        <v>510</v>
      </c>
      <c r="D777" s="6" t="s">
        <v>463</v>
      </c>
      <c r="E777" s="6" t="s">
        <v>464</v>
      </c>
      <c r="F777">
        <v>17</v>
      </c>
      <c r="J777">
        <v>776</v>
      </c>
    </row>
    <row r="778" spans="1:10" customFormat="1" ht="15" x14ac:dyDescent="0.25">
      <c r="A778" s="6">
        <v>28</v>
      </c>
      <c r="B778" s="6" t="s">
        <v>505</v>
      </c>
      <c r="C778" s="6" t="s">
        <v>510</v>
      </c>
      <c r="D778" s="6" t="s">
        <v>463</v>
      </c>
      <c r="E778" s="6" t="s">
        <v>464</v>
      </c>
      <c r="F778">
        <v>18</v>
      </c>
      <c r="J778">
        <v>777</v>
      </c>
    </row>
    <row r="779" spans="1:10" customFormat="1" ht="15" x14ac:dyDescent="0.25">
      <c r="A779" s="6">
        <v>28</v>
      </c>
      <c r="B779" s="6" t="s">
        <v>505</v>
      </c>
      <c r="C779" s="6" t="s">
        <v>510</v>
      </c>
      <c r="D779" s="6" t="s">
        <v>463</v>
      </c>
      <c r="E779" s="6" t="s">
        <v>464</v>
      </c>
      <c r="F779">
        <v>19</v>
      </c>
      <c r="J779">
        <v>778</v>
      </c>
    </row>
    <row r="780" spans="1:10" customFormat="1" ht="15" x14ac:dyDescent="0.25">
      <c r="A780" s="6">
        <v>28</v>
      </c>
      <c r="B780" s="6" t="s">
        <v>505</v>
      </c>
      <c r="C780" s="6" t="s">
        <v>510</v>
      </c>
      <c r="D780" s="6" t="s">
        <v>463</v>
      </c>
      <c r="E780" s="6" t="s">
        <v>464</v>
      </c>
      <c r="F780">
        <v>20</v>
      </c>
      <c r="J780">
        <v>779</v>
      </c>
    </row>
    <row r="781" spans="1:10" customFormat="1" ht="15" x14ac:dyDescent="0.25">
      <c r="A781" s="6">
        <v>28</v>
      </c>
      <c r="B781" s="6" t="s">
        <v>505</v>
      </c>
      <c r="C781" s="6" t="s">
        <v>510</v>
      </c>
      <c r="D781" s="6" t="s">
        <v>463</v>
      </c>
      <c r="E781" s="6" t="s">
        <v>464</v>
      </c>
      <c r="F781">
        <v>21</v>
      </c>
      <c r="J781">
        <v>780</v>
      </c>
    </row>
    <row r="782" spans="1:10" customFormat="1" ht="15" x14ac:dyDescent="0.25">
      <c r="A782" s="6">
        <v>28</v>
      </c>
      <c r="B782" s="6" t="s">
        <v>505</v>
      </c>
      <c r="C782" s="6" t="s">
        <v>510</v>
      </c>
      <c r="D782" s="6" t="s">
        <v>463</v>
      </c>
      <c r="E782" s="6" t="s">
        <v>464</v>
      </c>
      <c r="F782">
        <v>22</v>
      </c>
      <c r="J782">
        <v>781</v>
      </c>
    </row>
    <row r="783" spans="1:10" customFormat="1" ht="15" x14ac:dyDescent="0.25">
      <c r="A783" s="6">
        <v>28</v>
      </c>
      <c r="B783" s="6" t="s">
        <v>505</v>
      </c>
      <c r="C783" s="6" t="s">
        <v>510</v>
      </c>
      <c r="D783" s="6" t="s">
        <v>463</v>
      </c>
      <c r="E783" s="6" t="s">
        <v>464</v>
      </c>
      <c r="F783">
        <v>23</v>
      </c>
      <c r="J783">
        <v>782</v>
      </c>
    </row>
    <row r="784" spans="1:10" customFormat="1" ht="15" x14ac:dyDescent="0.25">
      <c r="A784" s="6">
        <v>28</v>
      </c>
      <c r="B784" s="6" t="s">
        <v>505</v>
      </c>
      <c r="C784" s="6" t="s">
        <v>510</v>
      </c>
      <c r="D784" s="6" t="s">
        <v>463</v>
      </c>
      <c r="E784" s="6" t="s">
        <v>464</v>
      </c>
      <c r="F784">
        <v>24</v>
      </c>
      <c r="J784">
        <v>783</v>
      </c>
    </row>
    <row r="785" spans="1:10" customFormat="1" ht="15" x14ac:dyDescent="0.25">
      <c r="A785" s="6">
        <v>28</v>
      </c>
      <c r="B785" s="6" t="s">
        <v>505</v>
      </c>
      <c r="C785" s="6" t="s">
        <v>510</v>
      </c>
      <c r="D785" s="6" t="s">
        <v>463</v>
      </c>
      <c r="E785" s="6" t="s">
        <v>464</v>
      </c>
      <c r="F785">
        <v>25</v>
      </c>
      <c r="J785">
        <v>784</v>
      </c>
    </row>
    <row r="786" spans="1:10" customFormat="1" ht="15" x14ac:dyDescent="0.25">
      <c r="A786" s="6">
        <v>28</v>
      </c>
      <c r="B786" s="6" t="s">
        <v>505</v>
      </c>
      <c r="C786" s="6" t="s">
        <v>510</v>
      </c>
      <c r="D786" s="6" t="s">
        <v>463</v>
      </c>
      <c r="E786" s="6" t="s">
        <v>464</v>
      </c>
      <c r="F786">
        <v>26</v>
      </c>
      <c r="J786">
        <v>785</v>
      </c>
    </row>
    <row r="787" spans="1:10" customFormat="1" ht="15" x14ac:dyDescent="0.25">
      <c r="A787" s="6">
        <v>28</v>
      </c>
      <c r="B787" s="6" t="s">
        <v>505</v>
      </c>
      <c r="C787" s="6" t="s">
        <v>510</v>
      </c>
      <c r="D787" s="6" t="s">
        <v>463</v>
      </c>
      <c r="E787" s="6" t="s">
        <v>464</v>
      </c>
      <c r="F787">
        <v>27</v>
      </c>
      <c r="J787">
        <v>786</v>
      </c>
    </row>
    <row r="788" spans="1:10" customFormat="1" ht="15" x14ac:dyDescent="0.25">
      <c r="A788" s="6">
        <v>28</v>
      </c>
      <c r="B788" s="6" t="s">
        <v>505</v>
      </c>
      <c r="C788" s="6" t="s">
        <v>510</v>
      </c>
      <c r="D788" s="6" t="s">
        <v>463</v>
      </c>
      <c r="E788" s="6" t="s">
        <v>464</v>
      </c>
      <c r="F788">
        <v>28</v>
      </c>
      <c r="J788">
        <v>787</v>
      </c>
    </row>
    <row r="789" spans="1:10" customFormat="1" ht="15" x14ac:dyDescent="0.25">
      <c r="A789" s="6">
        <v>28</v>
      </c>
      <c r="B789" s="6" t="s">
        <v>505</v>
      </c>
      <c r="C789" s="6" t="s">
        <v>510</v>
      </c>
      <c r="D789" s="6" t="s">
        <v>463</v>
      </c>
      <c r="E789" s="6" t="s">
        <v>464</v>
      </c>
      <c r="F789">
        <v>29</v>
      </c>
      <c r="J789">
        <v>788</v>
      </c>
    </row>
    <row r="790" spans="1:10" customFormat="1" ht="15" x14ac:dyDescent="0.25">
      <c r="A790" s="6">
        <v>28</v>
      </c>
      <c r="B790" s="6" t="s">
        <v>505</v>
      </c>
      <c r="C790" s="6" t="s">
        <v>510</v>
      </c>
      <c r="D790" s="6" t="s">
        <v>463</v>
      </c>
      <c r="E790" s="6" t="s">
        <v>464</v>
      </c>
      <c r="F790">
        <v>30</v>
      </c>
      <c r="J790">
        <v>789</v>
      </c>
    </row>
    <row r="791" spans="1:10" customFormat="1" ht="15" x14ac:dyDescent="0.25">
      <c r="A791" s="6">
        <v>28</v>
      </c>
      <c r="B791" s="6" t="s">
        <v>505</v>
      </c>
      <c r="C791" s="6" t="s">
        <v>510</v>
      </c>
      <c r="D791" s="6" t="s">
        <v>463</v>
      </c>
      <c r="E791" s="6" t="s">
        <v>464</v>
      </c>
      <c r="F791">
        <v>31</v>
      </c>
      <c r="J791">
        <v>790</v>
      </c>
    </row>
    <row r="792" spans="1:10" customFormat="1" ht="15" x14ac:dyDescent="0.25">
      <c r="A792" s="6">
        <v>28</v>
      </c>
      <c r="B792" s="6" t="s">
        <v>505</v>
      </c>
      <c r="C792" s="6" t="s">
        <v>510</v>
      </c>
      <c r="D792" s="6" t="s">
        <v>463</v>
      </c>
      <c r="E792" s="6" t="s">
        <v>464</v>
      </c>
      <c r="F792">
        <v>32</v>
      </c>
      <c r="J792">
        <v>791</v>
      </c>
    </row>
    <row r="793" spans="1:10" customFormat="1" ht="15" x14ac:dyDescent="0.25">
      <c r="A793" s="6">
        <v>28</v>
      </c>
      <c r="B793" s="6" t="s">
        <v>505</v>
      </c>
      <c r="C793" s="6" t="s">
        <v>510</v>
      </c>
      <c r="D793" s="6" t="s">
        <v>463</v>
      </c>
      <c r="E793" s="6" t="s">
        <v>464</v>
      </c>
      <c r="F793">
        <v>33</v>
      </c>
      <c r="J793">
        <v>792</v>
      </c>
    </row>
    <row r="794" spans="1:10" customFormat="1" ht="15" x14ac:dyDescent="0.25">
      <c r="A794" s="6">
        <v>28</v>
      </c>
      <c r="B794" s="6" t="s">
        <v>505</v>
      </c>
      <c r="C794" s="6" t="s">
        <v>510</v>
      </c>
      <c r="D794" s="6" t="s">
        <v>463</v>
      </c>
      <c r="E794" s="6" t="s">
        <v>464</v>
      </c>
      <c r="F794">
        <v>34</v>
      </c>
      <c r="J794">
        <v>793</v>
      </c>
    </row>
    <row r="795" spans="1:10" customFormat="1" ht="15" x14ac:dyDescent="0.25">
      <c r="A795" s="6">
        <v>28</v>
      </c>
      <c r="B795" s="6" t="s">
        <v>505</v>
      </c>
      <c r="C795" s="6" t="s">
        <v>510</v>
      </c>
      <c r="D795" s="6" t="s">
        <v>463</v>
      </c>
      <c r="E795" s="6" t="s">
        <v>464</v>
      </c>
      <c r="F795">
        <v>35</v>
      </c>
      <c r="J795">
        <v>794</v>
      </c>
    </row>
    <row r="796" spans="1:10" customFormat="1" ht="15" x14ac:dyDescent="0.25">
      <c r="A796" s="6">
        <v>28</v>
      </c>
      <c r="B796" s="6" t="s">
        <v>505</v>
      </c>
      <c r="C796" s="6" t="s">
        <v>510</v>
      </c>
      <c r="D796" s="6" t="s">
        <v>463</v>
      </c>
      <c r="E796" s="6" t="s">
        <v>464</v>
      </c>
      <c r="F796">
        <v>36</v>
      </c>
      <c r="J796">
        <v>795</v>
      </c>
    </row>
    <row r="797" spans="1:10" customFormat="1" ht="15" x14ac:dyDescent="0.25">
      <c r="A797" s="6">
        <v>28</v>
      </c>
      <c r="B797" s="6" t="s">
        <v>505</v>
      </c>
      <c r="C797" s="6" t="s">
        <v>510</v>
      </c>
      <c r="D797" s="6" t="s">
        <v>463</v>
      </c>
      <c r="E797" s="6" t="s">
        <v>464</v>
      </c>
      <c r="F797">
        <v>37</v>
      </c>
      <c r="J797">
        <v>796</v>
      </c>
    </row>
    <row r="798" spans="1:10" customFormat="1" ht="15" x14ac:dyDescent="0.25">
      <c r="A798" s="6">
        <v>28</v>
      </c>
      <c r="B798" s="6" t="s">
        <v>505</v>
      </c>
      <c r="C798" s="6" t="s">
        <v>510</v>
      </c>
      <c r="D798" s="6" t="s">
        <v>463</v>
      </c>
      <c r="E798" s="6" t="s">
        <v>464</v>
      </c>
      <c r="F798">
        <v>38</v>
      </c>
      <c r="J798">
        <v>797</v>
      </c>
    </row>
    <row r="799" spans="1:10" customFormat="1" ht="15" x14ac:dyDescent="0.25">
      <c r="A799" s="6">
        <v>28</v>
      </c>
      <c r="B799" s="6" t="s">
        <v>505</v>
      </c>
      <c r="C799" s="6" t="s">
        <v>510</v>
      </c>
      <c r="D799" s="6" t="s">
        <v>463</v>
      </c>
      <c r="E799" s="6" t="s">
        <v>464</v>
      </c>
      <c r="F799">
        <v>39</v>
      </c>
      <c r="J799">
        <v>798</v>
      </c>
    </row>
    <row r="800" spans="1:10" customFormat="1" ht="15" x14ac:dyDescent="0.25">
      <c r="A800" s="6">
        <v>28</v>
      </c>
      <c r="B800" s="6" t="s">
        <v>505</v>
      </c>
      <c r="C800" s="6" t="s">
        <v>510</v>
      </c>
      <c r="D800" s="6" t="s">
        <v>463</v>
      </c>
      <c r="E800" s="6" t="s">
        <v>464</v>
      </c>
      <c r="F800">
        <v>40</v>
      </c>
      <c r="J800">
        <v>799</v>
      </c>
    </row>
    <row r="801" spans="1:10" customFormat="1" ht="15" x14ac:dyDescent="0.25">
      <c r="A801" s="6">
        <v>28</v>
      </c>
      <c r="B801" s="6" t="s">
        <v>505</v>
      </c>
      <c r="C801" s="6" t="s">
        <v>510</v>
      </c>
      <c r="D801" s="6" t="s">
        <v>463</v>
      </c>
      <c r="E801" s="6" t="s">
        <v>464</v>
      </c>
      <c r="F801">
        <v>41</v>
      </c>
      <c r="J801">
        <v>800</v>
      </c>
    </row>
    <row r="802" spans="1:10" customFormat="1" ht="15" x14ac:dyDescent="0.25">
      <c r="A802" s="6">
        <v>28</v>
      </c>
      <c r="B802" s="6" t="s">
        <v>505</v>
      </c>
      <c r="C802" s="6" t="s">
        <v>510</v>
      </c>
      <c r="D802" s="6" t="s">
        <v>463</v>
      </c>
      <c r="E802" s="6" t="s">
        <v>464</v>
      </c>
      <c r="F802">
        <v>42</v>
      </c>
      <c r="J802">
        <v>801</v>
      </c>
    </row>
    <row r="803" spans="1:10" customFormat="1" ht="15" x14ac:dyDescent="0.25">
      <c r="A803" s="6">
        <v>28</v>
      </c>
      <c r="B803" s="6" t="s">
        <v>505</v>
      </c>
      <c r="C803" s="6" t="s">
        <v>510</v>
      </c>
      <c r="D803" s="6" t="s">
        <v>463</v>
      </c>
      <c r="E803" s="6" t="s">
        <v>464</v>
      </c>
      <c r="F803">
        <v>43</v>
      </c>
      <c r="J803">
        <v>802</v>
      </c>
    </row>
    <row r="804" spans="1:10" customFormat="1" ht="15" x14ac:dyDescent="0.25">
      <c r="A804" s="6">
        <v>28</v>
      </c>
      <c r="B804" s="6" t="s">
        <v>505</v>
      </c>
      <c r="C804" s="6" t="s">
        <v>510</v>
      </c>
      <c r="D804" s="6" t="s">
        <v>463</v>
      </c>
      <c r="E804" s="6" t="s">
        <v>464</v>
      </c>
      <c r="F804">
        <v>44</v>
      </c>
      <c r="J804">
        <v>803</v>
      </c>
    </row>
    <row r="805" spans="1:10" customFormat="1" ht="15" x14ac:dyDescent="0.25">
      <c r="A805" s="6">
        <v>28</v>
      </c>
      <c r="B805" s="6" t="s">
        <v>505</v>
      </c>
      <c r="C805" s="6" t="s">
        <v>510</v>
      </c>
      <c r="D805" s="6" t="s">
        <v>463</v>
      </c>
      <c r="E805" s="6" t="s">
        <v>464</v>
      </c>
      <c r="F805">
        <v>45</v>
      </c>
      <c r="J805">
        <v>804</v>
      </c>
    </row>
    <row r="806" spans="1:10" customFormat="1" ht="15" x14ac:dyDescent="0.25">
      <c r="A806" s="6">
        <v>28</v>
      </c>
      <c r="B806" s="6" t="s">
        <v>505</v>
      </c>
      <c r="C806" s="6" t="s">
        <v>510</v>
      </c>
      <c r="D806" s="6" t="s">
        <v>463</v>
      </c>
      <c r="E806" s="6" t="s">
        <v>464</v>
      </c>
      <c r="F806">
        <v>46</v>
      </c>
      <c r="J806">
        <v>805</v>
      </c>
    </row>
    <row r="807" spans="1:10" customFormat="1" ht="15" x14ac:dyDescent="0.25">
      <c r="A807" s="6">
        <v>28</v>
      </c>
      <c r="B807" s="6" t="s">
        <v>505</v>
      </c>
      <c r="C807" s="6" t="s">
        <v>510</v>
      </c>
      <c r="D807" s="6" t="s">
        <v>463</v>
      </c>
      <c r="E807" s="6" t="s">
        <v>464</v>
      </c>
      <c r="F807">
        <v>47</v>
      </c>
      <c r="J807">
        <v>806</v>
      </c>
    </row>
    <row r="808" spans="1:10" customFormat="1" ht="15" x14ac:dyDescent="0.25">
      <c r="A808" s="6">
        <v>28</v>
      </c>
      <c r="B808" s="6" t="s">
        <v>505</v>
      </c>
      <c r="C808" s="6" t="s">
        <v>510</v>
      </c>
      <c r="D808" s="6" t="s">
        <v>463</v>
      </c>
      <c r="E808" s="6" t="s">
        <v>464</v>
      </c>
      <c r="F808">
        <v>48</v>
      </c>
      <c r="J808">
        <v>807</v>
      </c>
    </row>
    <row r="809" spans="1:10" customFormat="1" ht="15" x14ac:dyDescent="0.25">
      <c r="A809" s="6">
        <v>28</v>
      </c>
      <c r="B809" s="6" t="s">
        <v>505</v>
      </c>
      <c r="C809" s="6" t="s">
        <v>510</v>
      </c>
      <c r="D809" s="6" t="s">
        <v>463</v>
      </c>
      <c r="E809" s="6" t="s">
        <v>464</v>
      </c>
      <c r="F809">
        <v>49</v>
      </c>
      <c r="J809">
        <v>808</v>
      </c>
    </row>
    <row r="810" spans="1:10" customFormat="1" ht="15" x14ac:dyDescent="0.25">
      <c r="A810" s="6">
        <v>28</v>
      </c>
      <c r="B810" s="6" t="s">
        <v>505</v>
      </c>
      <c r="C810" s="6" t="s">
        <v>510</v>
      </c>
      <c r="D810" s="6" t="s">
        <v>463</v>
      </c>
      <c r="E810" s="6" t="s">
        <v>464</v>
      </c>
      <c r="F810">
        <v>50</v>
      </c>
      <c r="J810">
        <v>809</v>
      </c>
    </row>
    <row r="811" spans="1:10" customFormat="1" thickBot="1" x14ac:dyDescent="0.3">
      <c r="A811" s="6">
        <v>28</v>
      </c>
      <c r="B811" s="6" t="s">
        <v>505</v>
      </c>
      <c r="C811" s="6" t="s">
        <v>510</v>
      </c>
      <c r="D811" s="16" t="s">
        <v>463</v>
      </c>
      <c r="E811" s="16" t="s">
        <v>464</v>
      </c>
      <c r="F811" s="17">
        <v>51</v>
      </c>
      <c r="G811" s="17"/>
      <c r="H811" s="17"/>
      <c r="I811" s="17">
        <v>51</v>
      </c>
      <c r="J811">
        <v>810</v>
      </c>
    </row>
    <row r="812" spans="1:10" customFormat="1" thickTop="1" x14ac:dyDescent="0.25">
      <c r="A812" s="6">
        <v>29</v>
      </c>
      <c r="B812" s="6" t="s">
        <v>505</v>
      </c>
      <c r="C812" s="6" t="s">
        <v>511</v>
      </c>
      <c r="D812" s="6" t="s">
        <v>465</v>
      </c>
      <c r="E812" s="6" t="s">
        <v>466</v>
      </c>
      <c r="F812">
        <v>1</v>
      </c>
      <c r="J812">
        <v>811</v>
      </c>
    </row>
    <row r="813" spans="1:10" customFormat="1" ht="15" x14ac:dyDescent="0.25">
      <c r="A813" s="6">
        <v>29</v>
      </c>
      <c r="B813" s="6" t="s">
        <v>505</v>
      </c>
      <c r="C813" s="6" t="s">
        <v>511</v>
      </c>
      <c r="D813" s="6" t="s">
        <v>465</v>
      </c>
      <c r="E813" s="6" t="s">
        <v>466</v>
      </c>
      <c r="F813">
        <v>2</v>
      </c>
      <c r="J813">
        <v>812</v>
      </c>
    </row>
    <row r="814" spans="1:10" customFormat="1" ht="15" x14ac:dyDescent="0.25">
      <c r="A814" s="6">
        <v>29</v>
      </c>
      <c r="B814" s="6" t="s">
        <v>505</v>
      </c>
      <c r="C814" s="6" t="s">
        <v>511</v>
      </c>
      <c r="D814" s="6" t="s">
        <v>465</v>
      </c>
      <c r="E814" s="6" t="s">
        <v>466</v>
      </c>
      <c r="F814">
        <v>3</v>
      </c>
      <c r="J814">
        <v>813</v>
      </c>
    </row>
    <row r="815" spans="1:10" customFormat="1" ht="15" x14ac:dyDescent="0.25">
      <c r="A815" s="6">
        <v>29</v>
      </c>
      <c r="B815" s="6" t="s">
        <v>505</v>
      </c>
      <c r="C815" s="6" t="s">
        <v>511</v>
      </c>
      <c r="D815" s="6" t="s">
        <v>465</v>
      </c>
      <c r="E815" s="6" t="s">
        <v>466</v>
      </c>
      <c r="F815">
        <v>4</v>
      </c>
      <c r="J815">
        <v>814</v>
      </c>
    </row>
    <row r="816" spans="1:10" customFormat="1" ht="15" x14ac:dyDescent="0.25">
      <c r="A816" s="6">
        <v>29</v>
      </c>
      <c r="B816" s="6" t="s">
        <v>505</v>
      </c>
      <c r="C816" s="6" t="s">
        <v>511</v>
      </c>
      <c r="D816" s="6" t="s">
        <v>465</v>
      </c>
      <c r="E816" s="6" t="s">
        <v>466</v>
      </c>
      <c r="F816">
        <v>5</v>
      </c>
      <c r="J816">
        <v>815</v>
      </c>
    </row>
    <row r="817" spans="1:10" customFormat="1" ht="15" x14ac:dyDescent="0.25">
      <c r="A817" s="6">
        <v>29</v>
      </c>
      <c r="B817" s="6" t="s">
        <v>505</v>
      </c>
      <c r="C817" s="6" t="s">
        <v>511</v>
      </c>
      <c r="D817" s="6" t="s">
        <v>465</v>
      </c>
      <c r="E817" s="6" t="s">
        <v>466</v>
      </c>
      <c r="F817">
        <v>6</v>
      </c>
      <c r="J817">
        <v>816</v>
      </c>
    </row>
    <row r="818" spans="1:10" customFormat="1" ht="15" x14ac:dyDescent="0.25">
      <c r="A818" s="6">
        <v>29</v>
      </c>
      <c r="B818" s="6" t="s">
        <v>505</v>
      </c>
      <c r="C818" s="6" t="s">
        <v>511</v>
      </c>
      <c r="D818" s="6" t="s">
        <v>465</v>
      </c>
      <c r="E818" s="6" t="s">
        <v>466</v>
      </c>
      <c r="F818">
        <v>7</v>
      </c>
      <c r="J818">
        <v>817</v>
      </c>
    </row>
    <row r="819" spans="1:10" customFormat="1" ht="15" x14ac:dyDescent="0.25">
      <c r="A819" s="6">
        <v>29</v>
      </c>
      <c r="B819" s="6" t="s">
        <v>505</v>
      </c>
      <c r="C819" s="6" t="s">
        <v>511</v>
      </c>
      <c r="D819" s="6" t="s">
        <v>465</v>
      </c>
      <c r="E819" s="6" t="s">
        <v>466</v>
      </c>
      <c r="F819">
        <v>8</v>
      </c>
      <c r="J819">
        <v>818</v>
      </c>
    </row>
    <row r="820" spans="1:10" customFormat="1" ht="15" x14ac:dyDescent="0.25">
      <c r="A820" s="6">
        <v>29</v>
      </c>
      <c r="B820" s="6" t="s">
        <v>505</v>
      </c>
      <c r="C820" s="6" t="s">
        <v>511</v>
      </c>
      <c r="D820" s="6" t="s">
        <v>465</v>
      </c>
      <c r="E820" s="6" t="s">
        <v>466</v>
      </c>
      <c r="F820">
        <v>9</v>
      </c>
      <c r="J820">
        <v>819</v>
      </c>
    </row>
    <row r="821" spans="1:10" customFormat="1" ht="15" x14ac:dyDescent="0.25">
      <c r="A821" s="6">
        <v>29</v>
      </c>
      <c r="B821" s="6" t="s">
        <v>505</v>
      </c>
      <c r="C821" s="6" t="s">
        <v>511</v>
      </c>
      <c r="D821" s="6" t="s">
        <v>465</v>
      </c>
      <c r="E821" s="6" t="s">
        <v>466</v>
      </c>
      <c r="F821">
        <v>10</v>
      </c>
      <c r="J821">
        <v>820</v>
      </c>
    </row>
    <row r="822" spans="1:10" customFormat="1" ht="15" x14ac:dyDescent="0.25">
      <c r="A822" s="6">
        <v>29</v>
      </c>
      <c r="B822" s="6" t="s">
        <v>505</v>
      </c>
      <c r="C822" s="6" t="s">
        <v>511</v>
      </c>
      <c r="D822" s="6" t="s">
        <v>465</v>
      </c>
      <c r="E822" s="6" t="s">
        <v>466</v>
      </c>
      <c r="F822">
        <v>11</v>
      </c>
      <c r="J822">
        <v>821</v>
      </c>
    </row>
    <row r="823" spans="1:10" customFormat="1" ht="15" x14ac:dyDescent="0.25">
      <c r="A823" s="6">
        <v>29</v>
      </c>
      <c r="B823" s="6" t="s">
        <v>505</v>
      </c>
      <c r="C823" s="6" t="s">
        <v>511</v>
      </c>
      <c r="D823" s="6" t="s">
        <v>465</v>
      </c>
      <c r="E823" s="6" t="s">
        <v>466</v>
      </c>
      <c r="F823">
        <v>12</v>
      </c>
      <c r="J823">
        <v>822</v>
      </c>
    </row>
    <row r="824" spans="1:10" customFormat="1" ht="15" x14ac:dyDescent="0.25">
      <c r="A824" s="6">
        <v>29</v>
      </c>
      <c r="B824" s="6" t="s">
        <v>505</v>
      </c>
      <c r="C824" s="6" t="s">
        <v>511</v>
      </c>
      <c r="D824" s="6" t="s">
        <v>465</v>
      </c>
      <c r="E824" s="6" t="s">
        <v>466</v>
      </c>
      <c r="F824">
        <v>13</v>
      </c>
      <c r="J824">
        <v>823</v>
      </c>
    </row>
    <row r="825" spans="1:10" customFormat="1" ht="15" x14ac:dyDescent="0.25">
      <c r="A825" s="6">
        <v>29</v>
      </c>
      <c r="B825" s="6" t="s">
        <v>505</v>
      </c>
      <c r="C825" s="6" t="s">
        <v>511</v>
      </c>
      <c r="D825" s="6" t="s">
        <v>465</v>
      </c>
      <c r="E825" s="6" t="s">
        <v>466</v>
      </c>
      <c r="F825">
        <v>14</v>
      </c>
      <c r="J825">
        <v>824</v>
      </c>
    </row>
    <row r="826" spans="1:10" customFormat="1" ht="15" x14ac:dyDescent="0.25">
      <c r="A826" s="6">
        <v>29</v>
      </c>
      <c r="B826" s="6" t="s">
        <v>505</v>
      </c>
      <c r="C826" s="6" t="s">
        <v>511</v>
      </c>
      <c r="D826" s="6" t="s">
        <v>465</v>
      </c>
      <c r="E826" s="6" t="s">
        <v>466</v>
      </c>
      <c r="F826">
        <v>15</v>
      </c>
      <c r="J826">
        <v>825</v>
      </c>
    </row>
    <row r="827" spans="1:10" customFormat="1" ht="15" x14ac:dyDescent="0.25">
      <c r="A827" s="6">
        <v>29</v>
      </c>
      <c r="B827" s="6" t="s">
        <v>505</v>
      </c>
      <c r="C827" s="6" t="s">
        <v>511</v>
      </c>
      <c r="D827" s="6" t="s">
        <v>465</v>
      </c>
      <c r="E827" s="6" t="s">
        <v>466</v>
      </c>
      <c r="F827">
        <v>16</v>
      </c>
      <c r="J827">
        <v>826</v>
      </c>
    </row>
    <row r="828" spans="1:10" customFormat="1" ht="15" x14ac:dyDescent="0.25">
      <c r="A828" s="6">
        <v>29</v>
      </c>
      <c r="B828" s="6" t="s">
        <v>505</v>
      </c>
      <c r="C828" s="6" t="s">
        <v>511</v>
      </c>
      <c r="D828" s="6" t="s">
        <v>465</v>
      </c>
      <c r="E828" s="6" t="s">
        <v>466</v>
      </c>
      <c r="F828">
        <v>17</v>
      </c>
      <c r="J828">
        <v>827</v>
      </c>
    </row>
    <row r="829" spans="1:10" customFormat="1" ht="15" x14ac:dyDescent="0.25">
      <c r="A829" s="6">
        <v>29</v>
      </c>
      <c r="B829" s="6" t="s">
        <v>505</v>
      </c>
      <c r="C829" s="6" t="s">
        <v>511</v>
      </c>
      <c r="D829" s="6" t="s">
        <v>465</v>
      </c>
      <c r="E829" s="6" t="s">
        <v>466</v>
      </c>
      <c r="F829">
        <v>18</v>
      </c>
      <c r="J829">
        <v>828</v>
      </c>
    </row>
    <row r="830" spans="1:10" customFormat="1" ht="15" x14ac:dyDescent="0.25">
      <c r="A830" s="6">
        <v>29</v>
      </c>
      <c r="B830" s="6" t="s">
        <v>505</v>
      </c>
      <c r="C830" s="6" t="s">
        <v>511</v>
      </c>
      <c r="D830" s="6" t="s">
        <v>465</v>
      </c>
      <c r="E830" s="6" t="s">
        <v>466</v>
      </c>
      <c r="F830">
        <v>19</v>
      </c>
      <c r="J830">
        <v>829</v>
      </c>
    </row>
    <row r="831" spans="1:10" customFormat="1" ht="15" x14ac:dyDescent="0.25">
      <c r="A831" s="6">
        <v>29</v>
      </c>
      <c r="B831" s="6" t="s">
        <v>505</v>
      </c>
      <c r="C831" s="6" t="s">
        <v>511</v>
      </c>
      <c r="D831" s="6" t="s">
        <v>465</v>
      </c>
      <c r="E831" s="6" t="s">
        <v>466</v>
      </c>
      <c r="F831">
        <v>20</v>
      </c>
      <c r="J831">
        <v>830</v>
      </c>
    </row>
    <row r="832" spans="1:10" customFormat="1" ht="15" x14ac:dyDescent="0.25">
      <c r="A832" s="6">
        <v>29</v>
      </c>
      <c r="B832" s="6" t="s">
        <v>505</v>
      </c>
      <c r="C832" s="6" t="s">
        <v>511</v>
      </c>
      <c r="D832" s="6" t="s">
        <v>465</v>
      </c>
      <c r="E832" s="6" t="s">
        <v>466</v>
      </c>
      <c r="F832">
        <v>21</v>
      </c>
      <c r="J832">
        <v>831</v>
      </c>
    </row>
    <row r="833" spans="1:10" customFormat="1" ht="15" x14ac:dyDescent="0.25">
      <c r="A833" s="6">
        <v>29</v>
      </c>
      <c r="B833" s="6" t="s">
        <v>505</v>
      </c>
      <c r="C833" s="6" t="s">
        <v>511</v>
      </c>
      <c r="D833" s="6" t="s">
        <v>465</v>
      </c>
      <c r="E833" s="6" t="s">
        <v>466</v>
      </c>
      <c r="F833">
        <v>22</v>
      </c>
      <c r="J833">
        <v>832</v>
      </c>
    </row>
    <row r="834" spans="1:10" customFormat="1" ht="15" x14ac:dyDescent="0.25">
      <c r="A834" s="6">
        <v>29</v>
      </c>
      <c r="B834" s="6" t="s">
        <v>505</v>
      </c>
      <c r="C834" s="6" t="s">
        <v>511</v>
      </c>
      <c r="D834" s="6" t="s">
        <v>465</v>
      </c>
      <c r="E834" s="6" t="s">
        <v>466</v>
      </c>
      <c r="F834">
        <v>23</v>
      </c>
      <c r="J834">
        <v>833</v>
      </c>
    </row>
    <row r="835" spans="1:10" customFormat="1" ht="15" x14ac:dyDescent="0.25">
      <c r="A835" s="6">
        <v>29</v>
      </c>
      <c r="B835" s="6" t="s">
        <v>505</v>
      </c>
      <c r="C835" s="6" t="s">
        <v>511</v>
      </c>
      <c r="D835" s="6" t="s">
        <v>465</v>
      </c>
      <c r="E835" s="6" t="s">
        <v>466</v>
      </c>
      <c r="F835">
        <v>24</v>
      </c>
      <c r="J835">
        <v>834</v>
      </c>
    </row>
    <row r="836" spans="1:10" customFormat="1" ht="15" x14ac:dyDescent="0.25">
      <c r="A836" s="6">
        <v>29</v>
      </c>
      <c r="B836" s="6" t="s">
        <v>505</v>
      </c>
      <c r="C836" s="6" t="s">
        <v>511</v>
      </c>
      <c r="D836" s="6" t="s">
        <v>465</v>
      </c>
      <c r="E836" s="6" t="s">
        <v>466</v>
      </c>
      <c r="F836">
        <v>25</v>
      </c>
      <c r="J836">
        <v>835</v>
      </c>
    </row>
    <row r="837" spans="1:10" customFormat="1" ht="15" x14ac:dyDescent="0.25">
      <c r="A837" s="6">
        <v>29</v>
      </c>
      <c r="B837" s="6" t="s">
        <v>505</v>
      </c>
      <c r="C837" s="6" t="s">
        <v>511</v>
      </c>
      <c r="D837" s="6" t="s">
        <v>465</v>
      </c>
      <c r="E837" s="6" t="s">
        <v>466</v>
      </c>
      <c r="F837">
        <v>26</v>
      </c>
      <c r="J837">
        <v>836</v>
      </c>
    </row>
    <row r="838" spans="1:10" customFormat="1" ht="15" x14ac:dyDescent="0.25">
      <c r="A838" s="6">
        <v>29</v>
      </c>
      <c r="B838" s="6" t="s">
        <v>505</v>
      </c>
      <c r="C838" s="6" t="s">
        <v>511</v>
      </c>
      <c r="D838" s="6" t="s">
        <v>465</v>
      </c>
      <c r="E838" s="6" t="s">
        <v>466</v>
      </c>
      <c r="F838">
        <v>27</v>
      </c>
      <c r="J838">
        <v>837</v>
      </c>
    </row>
    <row r="839" spans="1:10" customFormat="1" ht="15" x14ac:dyDescent="0.25">
      <c r="A839" s="6">
        <v>29</v>
      </c>
      <c r="B839" s="6" t="s">
        <v>505</v>
      </c>
      <c r="C839" s="6" t="s">
        <v>511</v>
      </c>
      <c r="D839" s="6" t="s">
        <v>465</v>
      </c>
      <c r="E839" s="6" t="s">
        <v>466</v>
      </c>
      <c r="F839">
        <v>28</v>
      </c>
      <c r="J839">
        <v>838</v>
      </c>
    </row>
    <row r="840" spans="1:10" customFormat="1" ht="15" x14ac:dyDescent="0.25">
      <c r="A840" s="6">
        <v>29</v>
      </c>
      <c r="B840" s="6" t="s">
        <v>505</v>
      </c>
      <c r="C840" s="6" t="s">
        <v>511</v>
      </c>
      <c r="D840" s="6" t="s">
        <v>465</v>
      </c>
      <c r="E840" s="6" t="s">
        <v>466</v>
      </c>
      <c r="F840">
        <v>29</v>
      </c>
      <c r="J840">
        <v>839</v>
      </c>
    </row>
    <row r="841" spans="1:10" customFormat="1" ht="15" x14ac:dyDescent="0.25">
      <c r="A841" s="6">
        <v>29</v>
      </c>
      <c r="B841" s="6" t="s">
        <v>505</v>
      </c>
      <c r="C841" s="6" t="s">
        <v>511</v>
      </c>
      <c r="D841" s="6" t="s">
        <v>465</v>
      </c>
      <c r="E841" s="6" t="s">
        <v>466</v>
      </c>
      <c r="F841">
        <v>30</v>
      </c>
      <c r="J841">
        <v>840</v>
      </c>
    </row>
    <row r="842" spans="1:10" customFormat="1" ht="15" x14ac:dyDescent="0.25">
      <c r="A842" s="6">
        <v>29</v>
      </c>
      <c r="B842" s="6" t="s">
        <v>505</v>
      </c>
      <c r="C842" s="6" t="s">
        <v>511</v>
      </c>
      <c r="D842" s="6" t="s">
        <v>465</v>
      </c>
      <c r="E842" s="6" t="s">
        <v>466</v>
      </c>
      <c r="F842">
        <v>31</v>
      </c>
      <c r="J842">
        <v>841</v>
      </c>
    </row>
    <row r="843" spans="1:10" customFormat="1" ht="15" x14ac:dyDescent="0.25">
      <c r="A843" s="6">
        <v>29</v>
      </c>
      <c r="B843" s="6" t="s">
        <v>505</v>
      </c>
      <c r="C843" s="6" t="s">
        <v>511</v>
      </c>
      <c r="D843" s="6" t="s">
        <v>465</v>
      </c>
      <c r="E843" s="6" t="s">
        <v>466</v>
      </c>
      <c r="F843">
        <v>32</v>
      </c>
      <c r="J843">
        <v>842</v>
      </c>
    </row>
    <row r="844" spans="1:10" customFormat="1" ht="15" x14ac:dyDescent="0.25">
      <c r="A844" s="6">
        <v>29</v>
      </c>
      <c r="B844" s="6" t="s">
        <v>505</v>
      </c>
      <c r="C844" s="6" t="s">
        <v>511</v>
      </c>
      <c r="D844" s="6" t="s">
        <v>465</v>
      </c>
      <c r="E844" s="6" t="s">
        <v>466</v>
      </c>
      <c r="F844">
        <v>33</v>
      </c>
      <c r="J844">
        <v>843</v>
      </c>
    </row>
    <row r="845" spans="1:10" customFormat="1" ht="15" x14ac:dyDescent="0.25">
      <c r="A845" s="6">
        <v>29</v>
      </c>
      <c r="B845" s="6" t="s">
        <v>505</v>
      </c>
      <c r="C845" s="6" t="s">
        <v>511</v>
      </c>
      <c r="D845" s="6" t="s">
        <v>465</v>
      </c>
      <c r="E845" s="6" t="s">
        <v>466</v>
      </c>
      <c r="F845">
        <v>34</v>
      </c>
      <c r="J845">
        <v>844</v>
      </c>
    </row>
    <row r="846" spans="1:10" customFormat="1" ht="15" x14ac:dyDescent="0.25">
      <c r="A846" s="6">
        <v>29</v>
      </c>
      <c r="B846" s="6" t="s">
        <v>505</v>
      </c>
      <c r="C846" s="6" t="s">
        <v>511</v>
      </c>
      <c r="D846" s="6" t="s">
        <v>465</v>
      </c>
      <c r="E846" s="6" t="s">
        <v>466</v>
      </c>
      <c r="F846">
        <v>35</v>
      </c>
      <c r="J846">
        <v>845</v>
      </c>
    </row>
    <row r="847" spans="1:10" customFormat="1" ht="15" x14ac:dyDescent="0.25">
      <c r="A847" s="6">
        <v>29</v>
      </c>
      <c r="B847" s="6" t="s">
        <v>505</v>
      </c>
      <c r="C847" s="6" t="s">
        <v>511</v>
      </c>
      <c r="D847" s="6" t="s">
        <v>465</v>
      </c>
      <c r="E847" s="6" t="s">
        <v>466</v>
      </c>
      <c r="F847">
        <v>36</v>
      </c>
      <c r="J847">
        <v>846</v>
      </c>
    </row>
    <row r="848" spans="1:10" customFormat="1" ht="15" x14ac:dyDescent="0.25">
      <c r="A848" s="6">
        <v>29</v>
      </c>
      <c r="B848" s="6" t="s">
        <v>505</v>
      </c>
      <c r="C848" s="6" t="s">
        <v>511</v>
      </c>
      <c r="D848" s="6" t="s">
        <v>465</v>
      </c>
      <c r="E848" s="6" t="s">
        <v>466</v>
      </c>
      <c r="F848">
        <v>37</v>
      </c>
      <c r="J848">
        <v>847</v>
      </c>
    </row>
    <row r="849" spans="1:10" customFormat="1" ht="15" x14ac:dyDescent="0.25">
      <c r="A849" s="6">
        <v>29</v>
      </c>
      <c r="B849" s="6" t="s">
        <v>505</v>
      </c>
      <c r="C849" s="6" t="s">
        <v>511</v>
      </c>
      <c r="D849" s="6" t="s">
        <v>465</v>
      </c>
      <c r="E849" s="6" t="s">
        <v>466</v>
      </c>
      <c r="F849">
        <v>38</v>
      </c>
      <c r="J849">
        <v>848</v>
      </c>
    </row>
    <row r="850" spans="1:10" customFormat="1" ht="15" x14ac:dyDescent="0.25">
      <c r="A850" s="6">
        <v>29</v>
      </c>
      <c r="B850" s="6" t="s">
        <v>505</v>
      </c>
      <c r="C850" s="6" t="s">
        <v>511</v>
      </c>
      <c r="D850" s="6" t="s">
        <v>465</v>
      </c>
      <c r="E850" s="6" t="s">
        <v>466</v>
      </c>
      <c r="F850">
        <v>39</v>
      </c>
      <c r="J850">
        <v>849</v>
      </c>
    </row>
    <row r="851" spans="1:10" customFormat="1" ht="15" x14ac:dyDescent="0.25">
      <c r="A851" s="6">
        <v>29</v>
      </c>
      <c r="B851" s="6" t="s">
        <v>505</v>
      </c>
      <c r="C851" s="6" t="s">
        <v>511</v>
      </c>
      <c r="D851" s="6" t="s">
        <v>465</v>
      </c>
      <c r="E851" s="6" t="s">
        <v>466</v>
      </c>
      <c r="F851">
        <v>40</v>
      </c>
      <c r="J851">
        <v>850</v>
      </c>
    </row>
    <row r="852" spans="1:10" customFormat="1" ht="15" x14ac:dyDescent="0.25">
      <c r="A852" s="6">
        <v>29</v>
      </c>
      <c r="B852" s="6" t="s">
        <v>505</v>
      </c>
      <c r="C852" s="6" t="s">
        <v>511</v>
      </c>
      <c r="D852" s="6" t="s">
        <v>465</v>
      </c>
      <c r="E852" s="6" t="s">
        <v>466</v>
      </c>
      <c r="F852">
        <v>41</v>
      </c>
      <c r="J852">
        <v>851</v>
      </c>
    </row>
    <row r="853" spans="1:10" customFormat="1" ht="15" x14ac:dyDescent="0.25">
      <c r="A853" s="6">
        <v>29</v>
      </c>
      <c r="B853" s="6" t="s">
        <v>505</v>
      </c>
      <c r="C853" s="6" t="s">
        <v>511</v>
      </c>
      <c r="D853" s="6" t="s">
        <v>465</v>
      </c>
      <c r="E853" s="6" t="s">
        <v>466</v>
      </c>
      <c r="F853">
        <v>42</v>
      </c>
      <c r="J853">
        <v>852</v>
      </c>
    </row>
    <row r="854" spans="1:10" customFormat="1" ht="15" x14ac:dyDescent="0.25">
      <c r="A854" s="6">
        <v>29</v>
      </c>
      <c r="B854" s="6" t="s">
        <v>505</v>
      </c>
      <c r="C854" s="6" t="s">
        <v>511</v>
      </c>
      <c r="D854" s="6" t="s">
        <v>465</v>
      </c>
      <c r="E854" s="6" t="s">
        <v>466</v>
      </c>
      <c r="F854">
        <v>43</v>
      </c>
      <c r="J854">
        <v>853</v>
      </c>
    </row>
    <row r="855" spans="1:10" customFormat="1" ht="15" x14ac:dyDescent="0.25">
      <c r="A855" s="6">
        <v>29</v>
      </c>
      <c r="B855" s="6" t="s">
        <v>505</v>
      </c>
      <c r="C855" s="6" t="s">
        <v>511</v>
      </c>
      <c r="D855" s="6" t="s">
        <v>465</v>
      </c>
      <c r="E855" s="6" t="s">
        <v>466</v>
      </c>
      <c r="F855">
        <v>44</v>
      </c>
      <c r="J855">
        <v>854</v>
      </c>
    </row>
    <row r="856" spans="1:10" customFormat="1" ht="15" x14ac:dyDescent="0.25">
      <c r="A856" s="6">
        <v>29</v>
      </c>
      <c r="B856" s="6" t="s">
        <v>505</v>
      </c>
      <c r="C856" s="6" t="s">
        <v>511</v>
      </c>
      <c r="D856" s="6" t="s">
        <v>465</v>
      </c>
      <c r="E856" s="6" t="s">
        <v>466</v>
      </c>
      <c r="F856">
        <v>45</v>
      </c>
      <c r="J856">
        <v>855</v>
      </c>
    </row>
    <row r="857" spans="1:10" customFormat="1" ht="15" x14ac:dyDescent="0.25">
      <c r="A857" s="6">
        <v>29</v>
      </c>
      <c r="B857" s="6" t="s">
        <v>505</v>
      </c>
      <c r="C857" s="6" t="s">
        <v>511</v>
      </c>
      <c r="D857" s="6" t="s">
        <v>465</v>
      </c>
      <c r="E857" s="6" t="s">
        <v>466</v>
      </c>
      <c r="F857">
        <v>46</v>
      </c>
      <c r="J857">
        <v>856</v>
      </c>
    </row>
    <row r="858" spans="1:10" customFormat="1" ht="15" x14ac:dyDescent="0.25">
      <c r="A858" s="6">
        <v>29</v>
      </c>
      <c r="B858" s="6" t="s">
        <v>505</v>
      </c>
      <c r="C858" s="6" t="s">
        <v>511</v>
      </c>
      <c r="D858" s="6" t="s">
        <v>465</v>
      </c>
      <c r="E858" s="6" t="s">
        <v>466</v>
      </c>
      <c r="F858">
        <v>47</v>
      </c>
      <c r="J858">
        <v>857</v>
      </c>
    </row>
    <row r="859" spans="1:10" customFormat="1" ht="15" x14ac:dyDescent="0.25">
      <c r="A859" s="6">
        <v>29</v>
      </c>
      <c r="B859" s="6" t="s">
        <v>505</v>
      </c>
      <c r="C859" s="6" t="s">
        <v>511</v>
      </c>
      <c r="D859" s="6" t="s">
        <v>465</v>
      </c>
      <c r="E859" s="6" t="s">
        <v>466</v>
      </c>
      <c r="F859">
        <v>48</v>
      </c>
      <c r="J859">
        <v>858</v>
      </c>
    </row>
    <row r="860" spans="1:10" customFormat="1" ht="15" x14ac:dyDescent="0.25">
      <c r="A860" s="6">
        <v>29</v>
      </c>
      <c r="B860" s="6" t="s">
        <v>505</v>
      </c>
      <c r="C860" s="6" t="s">
        <v>511</v>
      </c>
      <c r="D860" s="6" t="s">
        <v>465</v>
      </c>
      <c r="E860" s="6" t="s">
        <v>466</v>
      </c>
      <c r="F860">
        <v>49</v>
      </c>
      <c r="J860">
        <v>859</v>
      </c>
    </row>
    <row r="861" spans="1:10" customFormat="1" ht="15" x14ac:dyDescent="0.25">
      <c r="A861" s="6">
        <v>29</v>
      </c>
      <c r="B861" s="6" t="s">
        <v>505</v>
      </c>
      <c r="C861" s="6" t="s">
        <v>511</v>
      </c>
      <c r="D861" s="6" t="s">
        <v>465</v>
      </c>
      <c r="E861" s="6" t="s">
        <v>466</v>
      </c>
      <c r="F861">
        <v>50</v>
      </c>
      <c r="J861">
        <v>860</v>
      </c>
    </row>
    <row r="862" spans="1:10" customFormat="1" ht="15" x14ac:dyDescent="0.25">
      <c r="A862" s="6">
        <v>29</v>
      </c>
      <c r="B862" s="6" t="s">
        <v>505</v>
      </c>
      <c r="C862" s="6" t="s">
        <v>511</v>
      </c>
      <c r="D862" s="6" t="s">
        <v>465</v>
      </c>
      <c r="E862" s="6" t="s">
        <v>466</v>
      </c>
      <c r="F862">
        <v>51</v>
      </c>
      <c r="J862">
        <v>861</v>
      </c>
    </row>
    <row r="863" spans="1:10" customFormat="1" ht="15" x14ac:dyDescent="0.25">
      <c r="A863" s="6">
        <v>29</v>
      </c>
      <c r="B863" s="6" t="s">
        <v>505</v>
      </c>
      <c r="C863" s="6" t="s">
        <v>511</v>
      </c>
      <c r="D863" s="6" t="s">
        <v>465</v>
      </c>
      <c r="E863" s="6" t="s">
        <v>466</v>
      </c>
      <c r="F863">
        <v>52</v>
      </c>
      <c r="J863">
        <v>862</v>
      </c>
    </row>
    <row r="864" spans="1:10" customFormat="1" ht="15" x14ac:dyDescent="0.25">
      <c r="A864" s="6">
        <v>29</v>
      </c>
      <c r="B864" s="6" t="s">
        <v>505</v>
      </c>
      <c r="C864" s="6" t="s">
        <v>511</v>
      </c>
      <c r="D864" s="6" t="s">
        <v>465</v>
      </c>
      <c r="E864" s="6" t="s">
        <v>466</v>
      </c>
      <c r="F864">
        <v>53</v>
      </c>
      <c r="J864">
        <v>863</v>
      </c>
    </row>
    <row r="865" spans="1:10" customFormat="1" ht="15" x14ac:dyDescent="0.25">
      <c r="A865" s="6">
        <v>29</v>
      </c>
      <c r="B865" s="6" t="s">
        <v>505</v>
      </c>
      <c r="C865" s="6" t="s">
        <v>511</v>
      </c>
      <c r="D865" s="6" t="s">
        <v>465</v>
      </c>
      <c r="E865" s="6" t="s">
        <v>466</v>
      </c>
      <c r="F865">
        <v>54</v>
      </c>
      <c r="J865">
        <v>864</v>
      </c>
    </row>
    <row r="866" spans="1:10" customFormat="1" ht="15" x14ac:dyDescent="0.25">
      <c r="A866" s="6">
        <v>29</v>
      </c>
      <c r="B866" s="6" t="s">
        <v>505</v>
      </c>
      <c r="C866" s="6" t="s">
        <v>511</v>
      </c>
      <c r="D866" s="6" t="s">
        <v>465</v>
      </c>
      <c r="E866" s="6" t="s">
        <v>466</v>
      </c>
      <c r="F866">
        <v>55</v>
      </c>
      <c r="J866">
        <v>865</v>
      </c>
    </row>
    <row r="867" spans="1:10" customFormat="1" ht="15" x14ac:dyDescent="0.25">
      <c r="A867" s="6">
        <v>29</v>
      </c>
      <c r="B867" s="6" t="s">
        <v>505</v>
      </c>
      <c r="C867" s="6" t="s">
        <v>511</v>
      </c>
      <c r="D867" s="6" t="s">
        <v>465</v>
      </c>
      <c r="E867" s="6" t="s">
        <v>466</v>
      </c>
      <c r="F867">
        <v>56</v>
      </c>
      <c r="J867">
        <v>866</v>
      </c>
    </row>
    <row r="868" spans="1:10" customFormat="1" ht="15" x14ac:dyDescent="0.25">
      <c r="A868" s="6">
        <v>29</v>
      </c>
      <c r="B868" s="6" t="s">
        <v>505</v>
      </c>
      <c r="C868" s="6" t="s">
        <v>511</v>
      </c>
      <c r="D868" s="6" t="s">
        <v>465</v>
      </c>
      <c r="E868" s="6" t="s">
        <v>466</v>
      </c>
      <c r="F868">
        <v>57</v>
      </c>
      <c r="J868">
        <v>867</v>
      </c>
    </row>
    <row r="869" spans="1:10" customFormat="1" ht="15" x14ac:dyDescent="0.25">
      <c r="A869" s="6">
        <v>29</v>
      </c>
      <c r="B869" s="6" t="s">
        <v>505</v>
      </c>
      <c r="C869" s="6" t="s">
        <v>511</v>
      </c>
      <c r="D869" s="6" t="s">
        <v>465</v>
      </c>
      <c r="E869" s="6" t="s">
        <v>466</v>
      </c>
      <c r="F869">
        <v>58</v>
      </c>
      <c r="J869">
        <v>868</v>
      </c>
    </row>
    <row r="870" spans="1:10" customFormat="1" ht="15" x14ac:dyDescent="0.25">
      <c r="A870" s="6">
        <v>29</v>
      </c>
      <c r="B870" s="6" t="s">
        <v>505</v>
      </c>
      <c r="C870" s="6" t="s">
        <v>511</v>
      </c>
      <c r="D870" s="6" t="s">
        <v>465</v>
      </c>
      <c r="E870" s="6" t="s">
        <v>466</v>
      </c>
      <c r="F870">
        <v>59</v>
      </c>
      <c r="J870">
        <v>869</v>
      </c>
    </row>
    <row r="871" spans="1:10" customFormat="1" ht="15" x14ac:dyDescent="0.25">
      <c r="A871" s="6">
        <v>29</v>
      </c>
      <c r="B871" s="6" t="s">
        <v>505</v>
      </c>
      <c r="C871" s="6" t="s">
        <v>511</v>
      </c>
      <c r="D871" s="6" t="s">
        <v>465</v>
      </c>
      <c r="E871" s="6" t="s">
        <v>466</v>
      </c>
      <c r="F871">
        <v>60</v>
      </c>
      <c r="J871">
        <v>870</v>
      </c>
    </row>
    <row r="872" spans="1:10" customFormat="1" ht="15" x14ac:dyDescent="0.25">
      <c r="A872" s="6">
        <v>29</v>
      </c>
      <c r="B872" s="6" t="s">
        <v>505</v>
      </c>
      <c r="C872" s="6" t="s">
        <v>511</v>
      </c>
      <c r="D872" s="6" t="s">
        <v>465</v>
      </c>
      <c r="E872" s="6" t="s">
        <v>466</v>
      </c>
      <c r="F872">
        <v>61</v>
      </c>
      <c r="J872">
        <v>871</v>
      </c>
    </row>
    <row r="873" spans="1:10" customFormat="1" ht="15" x14ac:dyDescent="0.25">
      <c r="A873" s="6">
        <v>29</v>
      </c>
      <c r="B873" s="6" t="s">
        <v>505</v>
      </c>
      <c r="C873" s="6" t="s">
        <v>511</v>
      </c>
      <c r="D873" s="6" t="s">
        <v>465</v>
      </c>
      <c r="E873" s="6" t="s">
        <v>466</v>
      </c>
      <c r="F873">
        <v>62</v>
      </c>
      <c r="J873">
        <v>872</v>
      </c>
    </row>
    <row r="874" spans="1:10" customFormat="1" ht="15" x14ac:dyDescent="0.25">
      <c r="A874" s="6">
        <v>29</v>
      </c>
      <c r="B874" s="6" t="s">
        <v>505</v>
      </c>
      <c r="C874" s="6" t="s">
        <v>511</v>
      </c>
      <c r="D874" s="6" t="s">
        <v>465</v>
      </c>
      <c r="E874" s="6" t="s">
        <v>466</v>
      </c>
      <c r="F874">
        <v>63</v>
      </c>
      <c r="J874">
        <v>873</v>
      </c>
    </row>
    <row r="875" spans="1:10" customFormat="1" ht="15" x14ac:dyDescent="0.25">
      <c r="A875" s="6">
        <v>29</v>
      </c>
      <c r="B875" s="6" t="s">
        <v>505</v>
      </c>
      <c r="C875" s="6" t="s">
        <v>511</v>
      </c>
      <c r="D875" s="6" t="s">
        <v>465</v>
      </c>
      <c r="E875" s="6" t="s">
        <v>466</v>
      </c>
      <c r="F875">
        <v>64</v>
      </c>
      <c r="J875">
        <v>874</v>
      </c>
    </row>
    <row r="876" spans="1:10" customFormat="1" ht="15" x14ac:dyDescent="0.25">
      <c r="A876" s="6">
        <v>29</v>
      </c>
      <c r="B876" s="6" t="s">
        <v>505</v>
      </c>
      <c r="C876" s="6" t="s">
        <v>511</v>
      </c>
      <c r="D876" s="6" t="s">
        <v>465</v>
      </c>
      <c r="E876" s="6" t="s">
        <v>466</v>
      </c>
      <c r="F876">
        <v>65</v>
      </c>
      <c r="J876">
        <v>875</v>
      </c>
    </row>
    <row r="877" spans="1:10" customFormat="1" thickBot="1" x14ac:dyDescent="0.3">
      <c r="A877" s="6">
        <v>29</v>
      </c>
      <c r="B877" s="6" t="s">
        <v>505</v>
      </c>
      <c r="C877" s="6" t="s">
        <v>511</v>
      </c>
      <c r="D877" s="16" t="s">
        <v>465</v>
      </c>
      <c r="E877" s="16" t="s">
        <v>466</v>
      </c>
      <c r="F877" s="17">
        <v>66</v>
      </c>
      <c r="G877" s="17"/>
      <c r="H877" s="17"/>
      <c r="I877" s="17">
        <v>66</v>
      </c>
      <c r="J877">
        <v>876</v>
      </c>
    </row>
    <row r="878" spans="1:10" customFormat="1" thickTop="1" x14ac:dyDescent="0.25">
      <c r="A878" s="6">
        <v>30</v>
      </c>
      <c r="B878" s="6" t="s">
        <v>505</v>
      </c>
      <c r="C878" s="6" t="s">
        <v>511</v>
      </c>
      <c r="D878" s="6" t="s">
        <v>467</v>
      </c>
      <c r="E878" s="6" t="s">
        <v>468</v>
      </c>
      <c r="F878">
        <v>1</v>
      </c>
      <c r="J878">
        <v>877</v>
      </c>
    </row>
    <row r="879" spans="1:10" customFormat="1" ht="15" x14ac:dyDescent="0.25">
      <c r="A879" s="6">
        <v>30</v>
      </c>
      <c r="B879" s="6" t="s">
        <v>505</v>
      </c>
      <c r="C879" s="6" t="s">
        <v>511</v>
      </c>
      <c r="D879" s="6" t="s">
        <v>467</v>
      </c>
      <c r="E879" s="6" t="s">
        <v>468</v>
      </c>
      <c r="F879">
        <v>2</v>
      </c>
      <c r="J879">
        <v>878</v>
      </c>
    </row>
    <row r="880" spans="1:10" customFormat="1" ht="15" x14ac:dyDescent="0.25">
      <c r="A880" s="6">
        <v>30</v>
      </c>
      <c r="B880" s="6" t="s">
        <v>505</v>
      </c>
      <c r="C880" s="6" t="s">
        <v>511</v>
      </c>
      <c r="D880" s="6" t="s">
        <v>467</v>
      </c>
      <c r="E880" s="6" t="s">
        <v>468</v>
      </c>
      <c r="F880">
        <v>3</v>
      </c>
      <c r="J880">
        <v>879</v>
      </c>
    </row>
    <row r="881" spans="1:10" customFormat="1" ht="15" x14ac:dyDescent="0.25">
      <c r="A881" s="6">
        <v>30</v>
      </c>
      <c r="B881" s="6" t="s">
        <v>505</v>
      </c>
      <c r="C881" s="6" t="s">
        <v>511</v>
      </c>
      <c r="D881" s="6" t="s">
        <v>467</v>
      </c>
      <c r="E881" s="6" t="s">
        <v>468</v>
      </c>
      <c r="F881">
        <v>4</v>
      </c>
      <c r="J881">
        <v>880</v>
      </c>
    </row>
    <row r="882" spans="1:10" customFormat="1" ht="15" x14ac:dyDescent="0.25">
      <c r="A882" s="6">
        <v>30</v>
      </c>
      <c r="B882" s="6" t="s">
        <v>505</v>
      </c>
      <c r="C882" s="6" t="s">
        <v>511</v>
      </c>
      <c r="D882" s="6" t="s">
        <v>467</v>
      </c>
      <c r="E882" s="6" t="s">
        <v>468</v>
      </c>
      <c r="F882">
        <v>5</v>
      </c>
      <c r="J882">
        <v>881</v>
      </c>
    </row>
    <row r="883" spans="1:10" customFormat="1" ht="15" x14ac:dyDescent="0.25">
      <c r="A883" s="6">
        <v>30</v>
      </c>
      <c r="B883" s="6" t="s">
        <v>505</v>
      </c>
      <c r="C883" s="6" t="s">
        <v>511</v>
      </c>
      <c r="D883" s="6" t="s">
        <v>467</v>
      </c>
      <c r="E883" s="6" t="s">
        <v>468</v>
      </c>
      <c r="F883">
        <v>6</v>
      </c>
      <c r="J883">
        <v>882</v>
      </c>
    </row>
    <row r="884" spans="1:10" customFormat="1" ht="15" x14ac:dyDescent="0.25">
      <c r="A884" s="6">
        <v>30</v>
      </c>
      <c r="B884" s="6" t="s">
        <v>505</v>
      </c>
      <c r="C884" s="6" t="s">
        <v>511</v>
      </c>
      <c r="D884" s="6" t="s">
        <v>467</v>
      </c>
      <c r="E884" s="6" t="s">
        <v>468</v>
      </c>
      <c r="F884">
        <v>7</v>
      </c>
      <c r="J884">
        <v>883</v>
      </c>
    </row>
    <row r="885" spans="1:10" customFormat="1" ht="15" x14ac:dyDescent="0.25">
      <c r="A885" s="6">
        <v>30</v>
      </c>
      <c r="B885" s="6" t="s">
        <v>505</v>
      </c>
      <c r="C885" s="6" t="s">
        <v>511</v>
      </c>
      <c r="D885" s="6" t="s">
        <v>467</v>
      </c>
      <c r="E885" s="6" t="s">
        <v>468</v>
      </c>
      <c r="F885">
        <v>8</v>
      </c>
      <c r="J885">
        <v>884</v>
      </c>
    </row>
    <row r="886" spans="1:10" customFormat="1" ht="15" x14ac:dyDescent="0.25">
      <c r="A886" s="6">
        <v>30</v>
      </c>
      <c r="B886" s="6" t="s">
        <v>505</v>
      </c>
      <c r="C886" s="6" t="s">
        <v>511</v>
      </c>
      <c r="D886" s="6" t="s">
        <v>467</v>
      </c>
      <c r="E886" s="6" t="s">
        <v>468</v>
      </c>
      <c r="F886">
        <v>9</v>
      </c>
      <c r="J886">
        <v>885</v>
      </c>
    </row>
    <row r="887" spans="1:10" customFormat="1" ht="15" x14ac:dyDescent="0.25">
      <c r="A887" s="6">
        <v>30</v>
      </c>
      <c r="B887" s="6" t="s">
        <v>505</v>
      </c>
      <c r="C887" s="6" t="s">
        <v>511</v>
      </c>
      <c r="D887" s="6" t="s">
        <v>467</v>
      </c>
      <c r="E887" s="6" t="s">
        <v>468</v>
      </c>
      <c r="F887">
        <v>10</v>
      </c>
      <c r="J887">
        <v>886</v>
      </c>
    </row>
    <row r="888" spans="1:10" customFormat="1" ht="15" x14ac:dyDescent="0.25">
      <c r="A888" s="6">
        <v>30</v>
      </c>
      <c r="B888" s="6" t="s">
        <v>505</v>
      </c>
      <c r="C888" s="6" t="s">
        <v>511</v>
      </c>
      <c r="D888" s="6" t="s">
        <v>467</v>
      </c>
      <c r="E888" s="6" t="s">
        <v>468</v>
      </c>
      <c r="F888">
        <v>11</v>
      </c>
      <c r="J888">
        <v>887</v>
      </c>
    </row>
    <row r="889" spans="1:10" customFormat="1" ht="15" x14ac:dyDescent="0.25">
      <c r="A889" s="6">
        <v>30</v>
      </c>
      <c r="B889" s="6" t="s">
        <v>505</v>
      </c>
      <c r="C889" s="6" t="s">
        <v>511</v>
      </c>
      <c r="D889" s="6" t="s">
        <v>467</v>
      </c>
      <c r="E889" s="6" t="s">
        <v>468</v>
      </c>
      <c r="F889">
        <v>12</v>
      </c>
      <c r="J889">
        <v>888</v>
      </c>
    </row>
    <row r="890" spans="1:10" customFormat="1" ht="15" x14ac:dyDescent="0.25">
      <c r="A890" s="6">
        <v>30</v>
      </c>
      <c r="B890" s="6" t="s">
        <v>505</v>
      </c>
      <c r="C890" s="6" t="s">
        <v>511</v>
      </c>
      <c r="D890" s="6" t="s">
        <v>467</v>
      </c>
      <c r="E890" s="6" t="s">
        <v>468</v>
      </c>
      <c r="F890">
        <v>13</v>
      </c>
      <c r="J890">
        <v>889</v>
      </c>
    </row>
    <row r="891" spans="1:10" customFormat="1" ht="15" x14ac:dyDescent="0.25">
      <c r="A891" s="6">
        <v>30</v>
      </c>
      <c r="B891" s="6" t="s">
        <v>505</v>
      </c>
      <c r="C891" s="6" t="s">
        <v>511</v>
      </c>
      <c r="D891" s="6" t="s">
        <v>467</v>
      </c>
      <c r="E891" s="6" t="s">
        <v>468</v>
      </c>
      <c r="F891">
        <v>14</v>
      </c>
      <c r="J891">
        <v>890</v>
      </c>
    </row>
    <row r="892" spans="1:10" customFormat="1" ht="15" x14ac:dyDescent="0.25">
      <c r="A892" s="6">
        <v>30</v>
      </c>
      <c r="B892" s="6" t="s">
        <v>505</v>
      </c>
      <c r="C892" s="6" t="s">
        <v>511</v>
      </c>
      <c r="D892" s="6" t="s">
        <v>467</v>
      </c>
      <c r="E892" s="6" t="s">
        <v>468</v>
      </c>
      <c r="F892">
        <v>15</v>
      </c>
      <c r="J892">
        <v>891</v>
      </c>
    </row>
    <row r="893" spans="1:10" customFormat="1" ht="15" x14ac:dyDescent="0.25">
      <c r="A893" s="6">
        <v>30</v>
      </c>
      <c r="B893" s="6" t="s">
        <v>505</v>
      </c>
      <c r="C893" s="6" t="s">
        <v>511</v>
      </c>
      <c r="D893" s="6" t="s">
        <v>467</v>
      </c>
      <c r="E893" s="6" t="s">
        <v>468</v>
      </c>
      <c r="F893">
        <v>16</v>
      </c>
      <c r="J893">
        <v>892</v>
      </c>
    </row>
    <row r="894" spans="1:10" customFormat="1" ht="15" x14ac:dyDescent="0.25">
      <c r="A894" s="6">
        <v>30</v>
      </c>
      <c r="B894" s="6" t="s">
        <v>505</v>
      </c>
      <c r="C894" s="6" t="s">
        <v>511</v>
      </c>
      <c r="D894" s="6" t="s">
        <v>467</v>
      </c>
      <c r="E894" s="6" t="s">
        <v>468</v>
      </c>
      <c r="F894">
        <v>17</v>
      </c>
      <c r="J894">
        <v>893</v>
      </c>
    </row>
    <row r="895" spans="1:10" customFormat="1" ht="15" x14ac:dyDescent="0.25">
      <c r="A895" s="6">
        <v>30</v>
      </c>
      <c r="B895" s="6" t="s">
        <v>505</v>
      </c>
      <c r="C895" s="6" t="s">
        <v>511</v>
      </c>
      <c r="D895" s="6" t="s">
        <v>467</v>
      </c>
      <c r="E895" s="6" t="s">
        <v>468</v>
      </c>
      <c r="F895">
        <v>18</v>
      </c>
      <c r="J895">
        <v>894</v>
      </c>
    </row>
    <row r="896" spans="1:10" customFormat="1" ht="15" x14ac:dyDescent="0.25">
      <c r="A896" s="6">
        <v>30</v>
      </c>
      <c r="B896" s="6" t="s">
        <v>505</v>
      </c>
      <c r="C896" s="6" t="s">
        <v>511</v>
      </c>
      <c r="D896" s="6" t="s">
        <v>467</v>
      </c>
      <c r="E896" s="6" t="s">
        <v>468</v>
      </c>
      <c r="F896">
        <v>19</v>
      </c>
      <c r="J896">
        <v>895</v>
      </c>
    </row>
    <row r="897" spans="1:10" customFormat="1" ht="15" x14ac:dyDescent="0.25">
      <c r="A897" s="6">
        <v>30</v>
      </c>
      <c r="B897" s="6" t="s">
        <v>505</v>
      </c>
      <c r="C897" s="6" t="s">
        <v>511</v>
      </c>
      <c r="D897" s="6" t="s">
        <v>467</v>
      </c>
      <c r="E897" s="6" t="s">
        <v>468</v>
      </c>
      <c r="F897">
        <v>20</v>
      </c>
      <c r="J897">
        <v>896</v>
      </c>
    </row>
    <row r="898" spans="1:10" customFormat="1" ht="15" x14ac:dyDescent="0.25">
      <c r="A898" s="6">
        <v>30</v>
      </c>
      <c r="B898" s="6" t="s">
        <v>505</v>
      </c>
      <c r="C898" s="6" t="s">
        <v>511</v>
      </c>
      <c r="D898" s="6" t="s">
        <v>467</v>
      </c>
      <c r="E898" s="6" t="s">
        <v>468</v>
      </c>
      <c r="F898">
        <v>21</v>
      </c>
      <c r="J898">
        <v>897</v>
      </c>
    </row>
    <row r="899" spans="1:10" customFormat="1" ht="15" x14ac:dyDescent="0.25">
      <c r="A899" s="6">
        <v>30</v>
      </c>
      <c r="B899" s="6" t="s">
        <v>505</v>
      </c>
      <c r="C899" s="6" t="s">
        <v>511</v>
      </c>
      <c r="D899" s="6" t="s">
        <v>467</v>
      </c>
      <c r="E899" s="6" t="s">
        <v>468</v>
      </c>
      <c r="F899">
        <v>22</v>
      </c>
      <c r="J899">
        <v>898</v>
      </c>
    </row>
    <row r="900" spans="1:10" customFormat="1" ht="15" x14ac:dyDescent="0.25">
      <c r="A900" s="6">
        <v>30</v>
      </c>
      <c r="B900" s="6" t="s">
        <v>505</v>
      </c>
      <c r="C900" s="6" t="s">
        <v>511</v>
      </c>
      <c r="D900" s="6" t="s">
        <v>467</v>
      </c>
      <c r="E900" s="6" t="s">
        <v>468</v>
      </c>
      <c r="F900">
        <v>23</v>
      </c>
      <c r="J900">
        <v>899</v>
      </c>
    </row>
    <row r="901" spans="1:10" customFormat="1" ht="15" x14ac:dyDescent="0.25">
      <c r="A901" s="6">
        <v>30</v>
      </c>
      <c r="B901" s="6" t="s">
        <v>505</v>
      </c>
      <c r="C901" s="6" t="s">
        <v>511</v>
      </c>
      <c r="D901" s="6" t="s">
        <v>467</v>
      </c>
      <c r="E901" s="6" t="s">
        <v>468</v>
      </c>
      <c r="F901">
        <v>24</v>
      </c>
      <c r="J901">
        <v>900</v>
      </c>
    </row>
    <row r="902" spans="1:10" customFormat="1" ht="15" x14ac:dyDescent="0.25">
      <c r="A902" s="6">
        <v>30</v>
      </c>
      <c r="B902" s="6" t="s">
        <v>505</v>
      </c>
      <c r="C902" s="6" t="s">
        <v>511</v>
      </c>
      <c r="D902" s="6" t="s">
        <v>467</v>
      </c>
      <c r="E902" s="6" t="s">
        <v>468</v>
      </c>
      <c r="F902">
        <v>25</v>
      </c>
      <c r="J902">
        <v>901</v>
      </c>
    </row>
    <row r="903" spans="1:10" customFormat="1" ht="15" x14ac:dyDescent="0.25">
      <c r="A903" s="6">
        <v>30</v>
      </c>
      <c r="B903" s="6" t="s">
        <v>505</v>
      </c>
      <c r="C903" s="6" t="s">
        <v>511</v>
      </c>
      <c r="D903" s="6" t="s">
        <v>467</v>
      </c>
      <c r="E903" s="6" t="s">
        <v>468</v>
      </c>
      <c r="F903">
        <v>26</v>
      </c>
      <c r="J903">
        <v>902</v>
      </c>
    </row>
    <row r="904" spans="1:10" customFormat="1" ht="15" x14ac:dyDescent="0.25">
      <c r="A904" s="6">
        <v>30</v>
      </c>
      <c r="B904" s="6" t="s">
        <v>505</v>
      </c>
      <c r="C904" s="6" t="s">
        <v>511</v>
      </c>
      <c r="D904" s="6" t="s">
        <v>467</v>
      </c>
      <c r="E904" s="6" t="s">
        <v>468</v>
      </c>
      <c r="F904">
        <v>27</v>
      </c>
      <c r="J904">
        <v>903</v>
      </c>
    </row>
    <row r="905" spans="1:10" customFormat="1" ht="15" x14ac:dyDescent="0.25">
      <c r="A905" s="6">
        <v>30</v>
      </c>
      <c r="B905" s="6" t="s">
        <v>505</v>
      </c>
      <c r="C905" s="6" t="s">
        <v>511</v>
      </c>
      <c r="D905" s="6" t="s">
        <v>467</v>
      </c>
      <c r="E905" s="6" t="s">
        <v>468</v>
      </c>
      <c r="F905">
        <v>28</v>
      </c>
      <c r="J905">
        <v>904</v>
      </c>
    </row>
    <row r="906" spans="1:10" customFormat="1" ht="15" x14ac:dyDescent="0.25">
      <c r="A906" s="6">
        <v>30</v>
      </c>
      <c r="B906" s="6" t="s">
        <v>505</v>
      </c>
      <c r="C906" s="6" t="s">
        <v>511</v>
      </c>
      <c r="D906" s="6" t="s">
        <v>467</v>
      </c>
      <c r="E906" s="6" t="s">
        <v>468</v>
      </c>
      <c r="F906">
        <v>29</v>
      </c>
      <c r="J906">
        <v>905</v>
      </c>
    </row>
    <row r="907" spans="1:10" customFormat="1" ht="15" x14ac:dyDescent="0.25">
      <c r="A907" s="6">
        <v>30</v>
      </c>
      <c r="B907" s="6" t="s">
        <v>505</v>
      </c>
      <c r="C907" s="6" t="s">
        <v>511</v>
      </c>
      <c r="D907" s="6" t="s">
        <v>467</v>
      </c>
      <c r="E907" s="6" t="s">
        <v>468</v>
      </c>
      <c r="F907">
        <v>30</v>
      </c>
      <c r="J907">
        <v>906</v>
      </c>
    </row>
    <row r="908" spans="1:10" customFormat="1" ht="15" x14ac:dyDescent="0.25">
      <c r="A908" s="6">
        <v>30</v>
      </c>
      <c r="B908" s="6" t="s">
        <v>505</v>
      </c>
      <c r="C908" s="6" t="s">
        <v>511</v>
      </c>
      <c r="D908" s="6" t="s">
        <v>467</v>
      </c>
      <c r="E908" s="6" t="s">
        <v>468</v>
      </c>
      <c r="F908">
        <v>31</v>
      </c>
      <c r="J908">
        <v>907</v>
      </c>
    </row>
    <row r="909" spans="1:10" customFormat="1" ht="15" x14ac:dyDescent="0.25">
      <c r="A909" s="6">
        <v>30</v>
      </c>
      <c r="B909" s="6" t="s">
        <v>505</v>
      </c>
      <c r="C909" s="6" t="s">
        <v>511</v>
      </c>
      <c r="D909" s="6" t="s">
        <v>467</v>
      </c>
      <c r="E909" s="6" t="s">
        <v>468</v>
      </c>
      <c r="F909">
        <v>32</v>
      </c>
      <c r="J909">
        <v>908</v>
      </c>
    </row>
    <row r="910" spans="1:10" customFormat="1" ht="15" x14ac:dyDescent="0.25">
      <c r="A910" s="6">
        <v>30</v>
      </c>
      <c r="B910" s="6" t="s">
        <v>505</v>
      </c>
      <c r="C910" s="6" t="s">
        <v>511</v>
      </c>
      <c r="D910" s="6" t="s">
        <v>467</v>
      </c>
      <c r="E910" s="6" t="s">
        <v>468</v>
      </c>
      <c r="F910">
        <v>33</v>
      </c>
      <c r="J910">
        <v>909</v>
      </c>
    </row>
    <row r="911" spans="1:10" customFormat="1" ht="15" x14ac:dyDescent="0.25">
      <c r="A911" s="6">
        <v>30</v>
      </c>
      <c r="B911" s="6" t="s">
        <v>505</v>
      </c>
      <c r="C911" s="6" t="s">
        <v>511</v>
      </c>
      <c r="D911" s="6" t="s">
        <v>467</v>
      </c>
      <c r="E911" s="6" t="s">
        <v>468</v>
      </c>
      <c r="F911">
        <v>34</v>
      </c>
      <c r="J911">
        <v>910</v>
      </c>
    </row>
    <row r="912" spans="1:10" customFormat="1" ht="15" x14ac:dyDescent="0.25">
      <c r="A912" s="6">
        <v>30</v>
      </c>
      <c r="B912" s="6" t="s">
        <v>505</v>
      </c>
      <c r="C912" s="6" t="s">
        <v>511</v>
      </c>
      <c r="D912" s="6" t="s">
        <v>467</v>
      </c>
      <c r="E912" s="6" t="s">
        <v>468</v>
      </c>
      <c r="F912">
        <v>35</v>
      </c>
      <c r="J912">
        <v>911</v>
      </c>
    </row>
    <row r="913" spans="1:10" customFormat="1" ht="15" x14ac:dyDescent="0.25">
      <c r="A913" s="6">
        <v>30</v>
      </c>
      <c r="B913" s="6" t="s">
        <v>505</v>
      </c>
      <c r="C913" s="6" t="s">
        <v>511</v>
      </c>
      <c r="D913" s="6" t="s">
        <v>467</v>
      </c>
      <c r="E913" s="6" t="s">
        <v>468</v>
      </c>
      <c r="F913">
        <v>36</v>
      </c>
      <c r="J913">
        <v>912</v>
      </c>
    </row>
    <row r="914" spans="1:10" customFormat="1" ht="15" x14ac:dyDescent="0.25">
      <c r="A914" s="6">
        <v>30</v>
      </c>
      <c r="B914" s="6" t="s">
        <v>505</v>
      </c>
      <c r="C914" s="6" t="s">
        <v>511</v>
      </c>
      <c r="D914" s="6" t="s">
        <v>467</v>
      </c>
      <c r="E914" s="6" t="s">
        <v>468</v>
      </c>
      <c r="F914">
        <v>37</v>
      </c>
      <c r="J914">
        <v>913</v>
      </c>
    </row>
    <row r="915" spans="1:10" customFormat="1" ht="15" x14ac:dyDescent="0.25">
      <c r="A915" s="6">
        <v>30</v>
      </c>
      <c r="B915" s="6" t="s">
        <v>505</v>
      </c>
      <c r="C915" s="6" t="s">
        <v>511</v>
      </c>
      <c r="D915" s="6" t="s">
        <v>467</v>
      </c>
      <c r="E915" s="6" t="s">
        <v>468</v>
      </c>
      <c r="F915">
        <v>38</v>
      </c>
      <c r="J915">
        <v>914</v>
      </c>
    </row>
    <row r="916" spans="1:10" customFormat="1" ht="15" x14ac:dyDescent="0.25">
      <c r="A916" s="6">
        <v>30</v>
      </c>
      <c r="B916" s="6" t="s">
        <v>505</v>
      </c>
      <c r="C916" s="6" t="s">
        <v>511</v>
      </c>
      <c r="D916" s="6" t="s">
        <v>467</v>
      </c>
      <c r="E916" s="6" t="s">
        <v>468</v>
      </c>
      <c r="F916">
        <v>39</v>
      </c>
      <c r="J916">
        <v>915</v>
      </c>
    </row>
    <row r="917" spans="1:10" customFormat="1" ht="15" x14ac:dyDescent="0.25">
      <c r="A917" s="6">
        <v>30</v>
      </c>
      <c r="B917" s="6" t="s">
        <v>505</v>
      </c>
      <c r="C917" s="6" t="s">
        <v>511</v>
      </c>
      <c r="D917" s="6" t="s">
        <v>467</v>
      </c>
      <c r="E917" s="6" t="s">
        <v>468</v>
      </c>
      <c r="F917">
        <v>40</v>
      </c>
      <c r="J917">
        <v>916</v>
      </c>
    </row>
    <row r="918" spans="1:10" customFormat="1" ht="15" x14ac:dyDescent="0.25">
      <c r="A918" s="6">
        <v>30</v>
      </c>
      <c r="B918" s="6" t="s">
        <v>505</v>
      </c>
      <c r="C918" s="6" t="s">
        <v>511</v>
      </c>
      <c r="D918" s="6" t="s">
        <v>467</v>
      </c>
      <c r="E918" s="6" t="s">
        <v>468</v>
      </c>
      <c r="F918">
        <v>41</v>
      </c>
      <c r="J918">
        <v>917</v>
      </c>
    </row>
    <row r="919" spans="1:10" customFormat="1" ht="15" x14ac:dyDescent="0.25">
      <c r="A919" s="6">
        <v>30</v>
      </c>
      <c r="B919" s="6" t="s">
        <v>505</v>
      </c>
      <c r="C919" s="6" t="s">
        <v>511</v>
      </c>
      <c r="D919" s="6" t="s">
        <v>467</v>
      </c>
      <c r="E919" s="6" t="s">
        <v>468</v>
      </c>
      <c r="F919">
        <v>42</v>
      </c>
      <c r="J919">
        <v>918</v>
      </c>
    </row>
    <row r="920" spans="1:10" customFormat="1" ht="15" x14ac:dyDescent="0.25">
      <c r="A920" s="6">
        <v>30</v>
      </c>
      <c r="B920" s="6" t="s">
        <v>505</v>
      </c>
      <c r="C920" s="6" t="s">
        <v>511</v>
      </c>
      <c r="D920" s="6" t="s">
        <v>467</v>
      </c>
      <c r="E920" s="6" t="s">
        <v>468</v>
      </c>
      <c r="F920">
        <v>43</v>
      </c>
      <c r="J920">
        <v>919</v>
      </c>
    </row>
    <row r="921" spans="1:10" customFormat="1" ht="15" x14ac:dyDescent="0.25">
      <c r="A921" s="6">
        <v>30</v>
      </c>
      <c r="B921" s="6" t="s">
        <v>505</v>
      </c>
      <c r="C921" s="6" t="s">
        <v>511</v>
      </c>
      <c r="D921" s="6" t="s">
        <v>467</v>
      </c>
      <c r="E921" s="6" t="s">
        <v>468</v>
      </c>
      <c r="F921">
        <v>44</v>
      </c>
      <c r="J921">
        <v>920</v>
      </c>
    </row>
    <row r="922" spans="1:10" customFormat="1" ht="15" x14ac:dyDescent="0.25">
      <c r="A922" s="6">
        <v>30</v>
      </c>
      <c r="B922" s="6" t="s">
        <v>505</v>
      </c>
      <c r="C922" s="6" t="s">
        <v>511</v>
      </c>
      <c r="D922" s="6" t="s">
        <v>467</v>
      </c>
      <c r="E922" s="6" t="s">
        <v>468</v>
      </c>
      <c r="F922">
        <v>45</v>
      </c>
      <c r="J922">
        <v>921</v>
      </c>
    </row>
    <row r="923" spans="1:10" customFormat="1" ht="15" x14ac:dyDescent="0.25">
      <c r="A923" s="6">
        <v>30</v>
      </c>
      <c r="B923" s="6" t="s">
        <v>505</v>
      </c>
      <c r="C923" s="6" t="s">
        <v>511</v>
      </c>
      <c r="D923" s="6" t="s">
        <v>467</v>
      </c>
      <c r="E923" s="6" t="s">
        <v>468</v>
      </c>
      <c r="F923">
        <v>46</v>
      </c>
      <c r="J923">
        <v>922</v>
      </c>
    </row>
    <row r="924" spans="1:10" customFormat="1" ht="15" x14ac:dyDescent="0.25">
      <c r="A924" s="6">
        <v>30</v>
      </c>
      <c r="B924" s="6" t="s">
        <v>505</v>
      </c>
      <c r="C924" s="6" t="s">
        <v>511</v>
      </c>
      <c r="D924" s="6" t="s">
        <v>467</v>
      </c>
      <c r="E924" s="6" t="s">
        <v>468</v>
      </c>
      <c r="F924">
        <v>47</v>
      </c>
      <c r="J924">
        <v>923</v>
      </c>
    </row>
    <row r="925" spans="1:10" customFormat="1" ht="15" x14ac:dyDescent="0.25">
      <c r="A925" s="6">
        <v>30</v>
      </c>
      <c r="B925" s="6" t="s">
        <v>505</v>
      </c>
      <c r="C925" s="6" t="s">
        <v>511</v>
      </c>
      <c r="D925" s="6" t="s">
        <v>467</v>
      </c>
      <c r="E925" s="6" t="s">
        <v>468</v>
      </c>
      <c r="F925">
        <v>48</v>
      </c>
      <c r="J925">
        <v>924</v>
      </c>
    </row>
    <row r="926" spans="1:10" customFormat="1" ht="15" x14ac:dyDescent="0.25">
      <c r="A926" s="6">
        <v>30</v>
      </c>
      <c r="B926" s="6" t="s">
        <v>505</v>
      </c>
      <c r="C926" s="6" t="s">
        <v>511</v>
      </c>
      <c r="D926" s="6" t="s">
        <v>467</v>
      </c>
      <c r="E926" s="6" t="s">
        <v>468</v>
      </c>
      <c r="F926">
        <v>49</v>
      </c>
      <c r="J926">
        <v>925</v>
      </c>
    </row>
    <row r="927" spans="1:10" customFormat="1" ht="15" x14ac:dyDescent="0.25">
      <c r="A927" s="6">
        <v>30</v>
      </c>
      <c r="B927" s="6" t="s">
        <v>505</v>
      </c>
      <c r="C927" s="6" t="s">
        <v>511</v>
      </c>
      <c r="D927" s="6" t="s">
        <v>467</v>
      </c>
      <c r="E927" s="6" t="s">
        <v>468</v>
      </c>
      <c r="F927">
        <v>50</v>
      </c>
      <c r="J927">
        <v>926</v>
      </c>
    </row>
    <row r="928" spans="1:10" customFormat="1" ht="15" x14ac:dyDescent="0.25">
      <c r="A928" s="6">
        <v>30</v>
      </c>
      <c r="B928" s="6" t="s">
        <v>505</v>
      </c>
      <c r="C928" s="6" t="s">
        <v>511</v>
      </c>
      <c r="D928" s="6" t="s">
        <v>467</v>
      </c>
      <c r="E928" s="6" t="s">
        <v>468</v>
      </c>
      <c r="F928">
        <v>51</v>
      </c>
      <c r="J928">
        <v>927</v>
      </c>
    </row>
    <row r="929" spans="1:10" customFormat="1" thickBot="1" x14ac:dyDescent="0.3">
      <c r="A929" s="6">
        <v>30</v>
      </c>
      <c r="B929" s="6" t="s">
        <v>505</v>
      </c>
      <c r="C929" s="6" t="s">
        <v>511</v>
      </c>
      <c r="D929" s="16" t="s">
        <v>467</v>
      </c>
      <c r="E929" s="16" t="s">
        <v>468</v>
      </c>
      <c r="F929" s="17">
        <v>52</v>
      </c>
      <c r="G929" s="17"/>
      <c r="H929" s="17"/>
      <c r="I929" s="17">
        <v>52</v>
      </c>
      <c r="J929">
        <v>928</v>
      </c>
    </row>
    <row r="930" spans="1:10" customFormat="1" thickTop="1" x14ac:dyDescent="0.25">
      <c r="A930" s="6">
        <v>31</v>
      </c>
      <c r="B930" s="6" t="s">
        <v>505</v>
      </c>
      <c r="C930" s="6" t="s">
        <v>511</v>
      </c>
      <c r="D930" s="6" t="s">
        <v>469</v>
      </c>
      <c r="E930" s="6" t="s">
        <v>470</v>
      </c>
      <c r="F930">
        <v>1</v>
      </c>
      <c r="J930">
        <v>929</v>
      </c>
    </row>
    <row r="931" spans="1:10" customFormat="1" ht="15" x14ac:dyDescent="0.25">
      <c r="A931" s="6">
        <v>31</v>
      </c>
      <c r="B931" s="6" t="s">
        <v>505</v>
      </c>
      <c r="C931" s="6" t="s">
        <v>511</v>
      </c>
      <c r="D931" s="6" t="s">
        <v>469</v>
      </c>
      <c r="E931" s="6" t="s">
        <v>470</v>
      </c>
      <c r="F931">
        <v>2</v>
      </c>
      <c r="J931">
        <v>930</v>
      </c>
    </row>
    <row r="932" spans="1:10" customFormat="1" ht="15" x14ac:dyDescent="0.25">
      <c r="A932" s="6">
        <v>31</v>
      </c>
      <c r="B932" s="6" t="s">
        <v>505</v>
      </c>
      <c r="C932" s="6" t="s">
        <v>511</v>
      </c>
      <c r="D932" s="6" t="s">
        <v>469</v>
      </c>
      <c r="E932" s="6" t="s">
        <v>470</v>
      </c>
      <c r="F932">
        <v>3</v>
      </c>
      <c r="J932">
        <v>931</v>
      </c>
    </row>
    <row r="933" spans="1:10" customFormat="1" ht="15" x14ac:dyDescent="0.25">
      <c r="A933" s="6">
        <v>31</v>
      </c>
      <c r="B933" s="6" t="s">
        <v>505</v>
      </c>
      <c r="C933" s="6" t="s">
        <v>511</v>
      </c>
      <c r="D933" s="6" t="s">
        <v>469</v>
      </c>
      <c r="E933" s="6" t="s">
        <v>470</v>
      </c>
      <c r="F933">
        <v>4</v>
      </c>
      <c r="J933">
        <v>932</v>
      </c>
    </row>
    <row r="934" spans="1:10" customFormat="1" thickBot="1" x14ac:dyDescent="0.3">
      <c r="A934" s="6">
        <v>31</v>
      </c>
      <c r="B934" s="6" t="s">
        <v>505</v>
      </c>
      <c r="C934" s="6" t="s">
        <v>511</v>
      </c>
      <c r="D934" s="16" t="s">
        <v>469</v>
      </c>
      <c r="E934" s="16" t="s">
        <v>470</v>
      </c>
      <c r="F934" s="17">
        <v>5</v>
      </c>
      <c r="G934" s="17"/>
      <c r="H934" s="17"/>
      <c r="I934" s="17">
        <v>5</v>
      </c>
      <c r="J934">
        <v>933</v>
      </c>
    </row>
    <row r="935" spans="1:10" customFormat="1" thickTop="1" x14ac:dyDescent="0.25">
      <c r="A935" s="6">
        <v>32</v>
      </c>
      <c r="B935" s="6" t="s">
        <v>505</v>
      </c>
      <c r="C935" s="6" t="s">
        <v>511</v>
      </c>
      <c r="D935" s="6" t="s">
        <v>471</v>
      </c>
      <c r="E935" s="6" t="s">
        <v>472</v>
      </c>
      <c r="F935">
        <v>1</v>
      </c>
      <c r="J935">
        <v>934</v>
      </c>
    </row>
    <row r="936" spans="1:10" customFormat="1" ht="15" x14ac:dyDescent="0.25">
      <c r="A936" s="6">
        <v>32</v>
      </c>
      <c r="B936" s="6" t="s">
        <v>505</v>
      </c>
      <c r="C936" s="6" t="s">
        <v>511</v>
      </c>
      <c r="D936" s="6" t="s">
        <v>471</v>
      </c>
      <c r="E936" s="6" t="s">
        <v>472</v>
      </c>
      <c r="F936">
        <v>2</v>
      </c>
      <c r="J936">
        <v>935</v>
      </c>
    </row>
    <row r="937" spans="1:10" customFormat="1" ht="15" x14ac:dyDescent="0.25">
      <c r="A937" s="6">
        <v>32</v>
      </c>
      <c r="B937" s="6" t="s">
        <v>505</v>
      </c>
      <c r="C937" s="6" t="s">
        <v>511</v>
      </c>
      <c r="D937" s="6" t="s">
        <v>471</v>
      </c>
      <c r="E937" s="6" t="s">
        <v>472</v>
      </c>
      <c r="F937">
        <v>3</v>
      </c>
      <c r="J937">
        <v>936</v>
      </c>
    </row>
    <row r="938" spans="1:10" customFormat="1" ht="15" x14ac:dyDescent="0.25">
      <c r="A938" s="6">
        <v>32</v>
      </c>
      <c r="B938" s="6" t="s">
        <v>505</v>
      </c>
      <c r="C938" s="6" t="s">
        <v>511</v>
      </c>
      <c r="D938" s="6" t="s">
        <v>471</v>
      </c>
      <c r="E938" s="6" t="s">
        <v>472</v>
      </c>
      <c r="F938">
        <v>4</v>
      </c>
      <c r="J938">
        <v>937</v>
      </c>
    </row>
    <row r="939" spans="1:10" customFormat="1" ht="15" x14ac:dyDescent="0.25">
      <c r="A939" s="6">
        <v>32</v>
      </c>
      <c r="B939" s="6" t="s">
        <v>505</v>
      </c>
      <c r="C939" s="6" t="s">
        <v>511</v>
      </c>
      <c r="D939" s="6" t="s">
        <v>471</v>
      </c>
      <c r="E939" s="6" t="s">
        <v>472</v>
      </c>
      <c r="F939">
        <v>5</v>
      </c>
      <c r="J939">
        <v>938</v>
      </c>
    </row>
    <row r="940" spans="1:10" customFormat="1" thickBot="1" x14ac:dyDescent="0.3">
      <c r="A940" s="6">
        <v>32</v>
      </c>
      <c r="B940" s="6" t="s">
        <v>505</v>
      </c>
      <c r="C940" s="6" t="s">
        <v>511</v>
      </c>
      <c r="D940" s="16" t="s">
        <v>471</v>
      </c>
      <c r="E940" s="16" t="s">
        <v>472</v>
      </c>
      <c r="F940" s="17">
        <v>6</v>
      </c>
      <c r="G940" s="17"/>
      <c r="H940" s="17"/>
      <c r="I940" s="17">
        <v>6</v>
      </c>
      <c r="J940">
        <v>939</v>
      </c>
    </row>
    <row r="941" spans="1:10" customFormat="1" thickTop="1" x14ac:dyDescent="0.25">
      <c r="A941" s="6">
        <v>33</v>
      </c>
      <c r="B941" s="6" t="s">
        <v>505</v>
      </c>
      <c r="C941" s="6" t="s">
        <v>511</v>
      </c>
      <c r="D941" s="6" t="s">
        <v>473</v>
      </c>
      <c r="E941" s="6" t="s">
        <v>474</v>
      </c>
      <c r="F941">
        <v>1</v>
      </c>
      <c r="J941">
        <v>940</v>
      </c>
    </row>
    <row r="942" spans="1:10" customFormat="1" ht="15" x14ac:dyDescent="0.25">
      <c r="A942" s="6">
        <v>33</v>
      </c>
      <c r="B942" s="6" t="s">
        <v>505</v>
      </c>
      <c r="C942" s="6" t="s">
        <v>511</v>
      </c>
      <c r="D942" s="6" t="s">
        <v>473</v>
      </c>
      <c r="E942" s="6" t="s">
        <v>474</v>
      </c>
      <c r="F942">
        <v>2</v>
      </c>
      <c r="J942">
        <v>941</v>
      </c>
    </row>
    <row r="943" spans="1:10" customFormat="1" ht="15" x14ac:dyDescent="0.25">
      <c r="A943" s="6">
        <v>33</v>
      </c>
      <c r="B943" s="6" t="s">
        <v>505</v>
      </c>
      <c r="C943" s="6" t="s">
        <v>511</v>
      </c>
      <c r="D943" s="6" t="s">
        <v>473</v>
      </c>
      <c r="E943" s="6" t="s">
        <v>474</v>
      </c>
      <c r="F943">
        <v>3</v>
      </c>
      <c r="J943">
        <v>942</v>
      </c>
    </row>
    <row r="944" spans="1:10" customFormat="1" ht="15" x14ac:dyDescent="0.25">
      <c r="A944" s="6">
        <v>33</v>
      </c>
      <c r="B944" s="6" t="s">
        <v>505</v>
      </c>
      <c r="C944" s="6" t="s">
        <v>511</v>
      </c>
      <c r="D944" s="6" t="s">
        <v>473</v>
      </c>
      <c r="E944" s="6" t="s">
        <v>474</v>
      </c>
      <c r="F944">
        <v>4</v>
      </c>
      <c r="J944">
        <v>943</v>
      </c>
    </row>
    <row r="945" spans="1:10" customFormat="1" ht="15" x14ac:dyDescent="0.25">
      <c r="A945" s="6">
        <v>33</v>
      </c>
      <c r="B945" s="6" t="s">
        <v>505</v>
      </c>
      <c r="C945" s="6" t="s">
        <v>511</v>
      </c>
      <c r="D945" s="6" t="s">
        <v>473</v>
      </c>
      <c r="E945" s="6" t="s">
        <v>474</v>
      </c>
      <c r="F945">
        <v>5</v>
      </c>
      <c r="J945">
        <v>944</v>
      </c>
    </row>
    <row r="946" spans="1:10" customFormat="1" ht="15" x14ac:dyDescent="0.25">
      <c r="A946" s="6">
        <v>33</v>
      </c>
      <c r="B946" s="6" t="s">
        <v>505</v>
      </c>
      <c r="C946" s="6" t="s">
        <v>511</v>
      </c>
      <c r="D946" s="6" t="s">
        <v>473</v>
      </c>
      <c r="E946" s="6" t="s">
        <v>474</v>
      </c>
      <c r="F946">
        <v>6</v>
      </c>
      <c r="J946">
        <v>945</v>
      </c>
    </row>
    <row r="947" spans="1:10" customFormat="1" ht="15" x14ac:dyDescent="0.25">
      <c r="A947" s="6">
        <v>33</v>
      </c>
      <c r="B947" s="6" t="s">
        <v>505</v>
      </c>
      <c r="C947" s="6" t="s">
        <v>511</v>
      </c>
      <c r="D947" s="6" t="s">
        <v>473</v>
      </c>
      <c r="E947" s="6" t="s">
        <v>474</v>
      </c>
      <c r="F947">
        <v>7</v>
      </c>
      <c r="J947">
        <v>946</v>
      </c>
    </row>
    <row r="948" spans="1:10" customFormat="1" ht="15" x14ac:dyDescent="0.25">
      <c r="A948" s="6">
        <v>33</v>
      </c>
      <c r="B948" s="6" t="s">
        <v>505</v>
      </c>
      <c r="C948" s="6" t="s">
        <v>511</v>
      </c>
      <c r="D948" s="6" t="s">
        <v>473</v>
      </c>
      <c r="E948" s="6" t="s">
        <v>474</v>
      </c>
      <c r="F948">
        <v>8</v>
      </c>
      <c r="J948">
        <v>947</v>
      </c>
    </row>
    <row r="949" spans="1:10" customFormat="1" ht="15" x14ac:dyDescent="0.25">
      <c r="A949" s="6">
        <v>33</v>
      </c>
      <c r="B949" s="6" t="s">
        <v>505</v>
      </c>
      <c r="C949" s="6" t="s">
        <v>511</v>
      </c>
      <c r="D949" s="6" t="s">
        <v>473</v>
      </c>
      <c r="E949" s="6" t="s">
        <v>474</v>
      </c>
      <c r="F949">
        <v>9</v>
      </c>
      <c r="J949">
        <v>948</v>
      </c>
    </row>
    <row r="950" spans="1:10" customFormat="1" ht="15" x14ac:dyDescent="0.25">
      <c r="A950" s="6">
        <v>33</v>
      </c>
      <c r="B950" s="6" t="s">
        <v>505</v>
      </c>
      <c r="C950" s="6" t="s">
        <v>511</v>
      </c>
      <c r="D950" s="6" t="s">
        <v>473</v>
      </c>
      <c r="E950" s="6" t="s">
        <v>474</v>
      </c>
      <c r="F950">
        <v>10</v>
      </c>
      <c r="J950">
        <v>949</v>
      </c>
    </row>
    <row r="951" spans="1:10" customFormat="1" ht="15" x14ac:dyDescent="0.25">
      <c r="A951" s="6">
        <v>33</v>
      </c>
      <c r="B951" s="6" t="s">
        <v>505</v>
      </c>
      <c r="C951" s="6" t="s">
        <v>511</v>
      </c>
      <c r="D951" s="6" t="s">
        <v>473</v>
      </c>
      <c r="E951" s="6" t="s">
        <v>474</v>
      </c>
      <c r="F951">
        <v>11</v>
      </c>
      <c r="J951">
        <v>950</v>
      </c>
    </row>
    <row r="952" spans="1:10" customFormat="1" ht="15" x14ac:dyDescent="0.25">
      <c r="A952" s="6">
        <v>33</v>
      </c>
      <c r="B952" s="6" t="s">
        <v>505</v>
      </c>
      <c r="C952" s="6" t="s">
        <v>511</v>
      </c>
      <c r="D952" s="6" t="s">
        <v>473</v>
      </c>
      <c r="E952" s="6" t="s">
        <v>474</v>
      </c>
      <c r="F952">
        <v>12</v>
      </c>
      <c r="J952">
        <v>951</v>
      </c>
    </row>
    <row r="953" spans="1:10" customFormat="1" ht="15" x14ac:dyDescent="0.25">
      <c r="A953" s="6">
        <v>33</v>
      </c>
      <c r="B953" s="6" t="s">
        <v>505</v>
      </c>
      <c r="C953" s="6" t="s">
        <v>511</v>
      </c>
      <c r="D953" s="6" t="s">
        <v>473</v>
      </c>
      <c r="E953" s="6" t="s">
        <v>474</v>
      </c>
      <c r="F953">
        <v>13</v>
      </c>
      <c r="J953">
        <v>952</v>
      </c>
    </row>
    <row r="954" spans="1:10" customFormat="1" ht="15" x14ac:dyDescent="0.25">
      <c r="A954" s="6">
        <v>33</v>
      </c>
      <c r="B954" s="6" t="s">
        <v>505</v>
      </c>
      <c r="C954" s="6" t="s">
        <v>511</v>
      </c>
      <c r="D954" s="6" t="s">
        <v>473</v>
      </c>
      <c r="E954" s="6" t="s">
        <v>474</v>
      </c>
      <c r="F954">
        <v>14</v>
      </c>
      <c r="J954">
        <v>953</v>
      </c>
    </row>
    <row r="955" spans="1:10" customFormat="1" ht="15" x14ac:dyDescent="0.25">
      <c r="A955" s="6">
        <v>33</v>
      </c>
      <c r="B955" s="6" t="s">
        <v>505</v>
      </c>
      <c r="C955" s="6" t="s">
        <v>511</v>
      </c>
      <c r="D955" s="6" t="s">
        <v>473</v>
      </c>
      <c r="E955" s="6" t="s">
        <v>474</v>
      </c>
      <c r="F955">
        <v>15</v>
      </c>
      <c r="J955">
        <v>954</v>
      </c>
    </row>
    <row r="956" spans="1:10" customFormat="1" ht="15" x14ac:dyDescent="0.25">
      <c r="A956" s="6">
        <v>33</v>
      </c>
      <c r="B956" s="6" t="s">
        <v>505</v>
      </c>
      <c r="C956" s="6" t="s">
        <v>511</v>
      </c>
      <c r="D956" s="6" t="s">
        <v>473</v>
      </c>
      <c r="E956" s="6" t="s">
        <v>474</v>
      </c>
      <c r="F956">
        <v>16</v>
      </c>
      <c r="J956">
        <v>955</v>
      </c>
    </row>
    <row r="957" spans="1:10" customFormat="1" ht="15" x14ac:dyDescent="0.25">
      <c r="A957" s="6">
        <v>33</v>
      </c>
      <c r="B957" s="6" t="s">
        <v>505</v>
      </c>
      <c r="C957" s="6" t="s">
        <v>511</v>
      </c>
      <c r="D957" s="6" t="s">
        <v>473</v>
      </c>
      <c r="E957" s="6" t="s">
        <v>474</v>
      </c>
      <c r="F957">
        <v>17</v>
      </c>
      <c r="J957">
        <v>956</v>
      </c>
    </row>
    <row r="958" spans="1:10" customFormat="1" ht="15" x14ac:dyDescent="0.25">
      <c r="A958" s="6">
        <v>33</v>
      </c>
      <c r="B958" s="6" t="s">
        <v>505</v>
      </c>
      <c r="C958" s="6" t="s">
        <v>511</v>
      </c>
      <c r="D958" s="6" t="s">
        <v>473</v>
      </c>
      <c r="E958" s="6" t="s">
        <v>474</v>
      </c>
      <c r="F958">
        <v>18</v>
      </c>
      <c r="J958">
        <v>957</v>
      </c>
    </row>
    <row r="959" spans="1:10" customFormat="1" ht="15" x14ac:dyDescent="0.25">
      <c r="A959" s="6">
        <v>33</v>
      </c>
      <c r="B959" s="6" t="s">
        <v>505</v>
      </c>
      <c r="C959" s="6" t="s">
        <v>511</v>
      </c>
      <c r="D959" s="6" t="s">
        <v>473</v>
      </c>
      <c r="E959" s="6" t="s">
        <v>474</v>
      </c>
      <c r="F959">
        <v>19</v>
      </c>
      <c r="J959">
        <v>958</v>
      </c>
    </row>
    <row r="960" spans="1:10" customFormat="1" ht="15" x14ac:dyDescent="0.25">
      <c r="A960" s="6">
        <v>33</v>
      </c>
      <c r="B960" s="6" t="s">
        <v>505</v>
      </c>
      <c r="C960" s="6" t="s">
        <v>511</v>
      </c>
      <c r="D960" s="6" t="s">
        <v>473</v>
      </c>
      <c r="E960" s="6" t="s">
        <v>474</v>
      </c>
      <c r="F960">
        <v>20</v>
      </c>
      <c r="J960">
        <v>959</v>
      </c>
    </row>
    <row r="961" spans="1:10" customFormat="1" ht="15" x14ac:dyDescent="0.25">
      <c r="A961" s="6">
        <v>33</v>
      </c>
      <c r="B961" s="6" t="s">
        <v>505</v>
      </c>
      <c r="C961" s="6" t="s">
        <v>511</v>
      </c>
      <c r="D961" s="6" t="s">
        <v>473</v>
      </c>
      <c r="E961" s="6" t="s">
        <v>474</v>
      </c>
      <c r="F961">
        <v>21</v>
      </c>
      <c r="J961">
        <v>960</v>
      </c>
    </row>
    <row r="962" spans="1:10" customFormat="1" ht="15" x14ac:dyDescent="0.25">
      <c r="A962" s="6">
        <v>33</v>
      </c>
      <c r="B962" s="6" t="s">
        <v>505</v>
      </c>
      <c r="C962" s="6" t="s">
        <v>511</v>
      </c>
      <c r="D962" s="6" t="s">
        <v>473</v>
      </c>
      <c r="E962" s="6" t="s">
        <v>474</v>
      </c>
      <c r="F962">
        <v>22</v>
      </c>
      <c r="J962">
        <v>961</v>
      </c>
    </row>
    <row r="963" spans="1:10" customFormat="1" ht="15" x14ac:dyDescent="0.25">
      <c r="A963" s="6">
        <v>33</v>
      </c>
      <c r="B963" s="6" t="s">
        <v>505</v>
      </c>
      <c r="C963" s="6" t="s">
        <v>511</v>
      </c>
      <c r="D963" s="6" t="s">
        <v>473</v>
      </c>
      <c r="E963" s="6" t="s">
        <v>474</v>
      </c>
      <c r="F963">
        <v>23</v>
      </c>
      <c r="J963">
        <v>962</v>
      </c>
    </row>
    <row r="964" spans="1:10" customFormat="1" ht="15" x14ac:dyDescent="0.25">
      <c r="A964" s="6">
        <v>33</v>
      </c>
      <c r="B964" s="6" t="s">
        <v>505</v>
      </c>
      <c r="C964" s="6" t="s">
        <v>511</v>
      </c>
      <c r="D964" s="6" t="s">
        <v>473</v>
      </c>
      <c r="E964" s="6" t="s">
        <v>474</v>
      </c>
      <c r="F964">
        <v>24</v>
      </c>
      <c r="J964">
        <v>963</v>
      </c>
    </row>
    <row r="965" spans="1:10" customFormat="1" ht="15" x14ac:dyDescent="0.25">
      <c r="A965" s="6">
        <v>33</v>
      </c>
      <c r="B965" s="6" t="s">
        <v>505</v>
      </c>
      <c r="C965" s="6" t="s">
        <v>511</v>
      </c>
      <c r="D965" s="6" t="s">
        <v>473</v>
      </c>
      <c r="E965" s="6" t="s">
        <v>474</v>
      </c>
      <c r="F965">
        <v>25</v>
      </c>
      <c r="J965">
        <v>964</v>
      </c>
    </row>
    <row r="966" spans="1:10" customFormat="1" ht="15" x14ac:dyDescent="0.25">
      <c r="A966" s="6">
        <v>33</v>
      </c>
      <c r="B966" s="6" t="s">
        <v>505</v>
      </c>
      <c r="C966" s="6" t="s">
        <v>511</v>
      </c>
      <c r="D966" s="6" t="s">
        <v>473</v>
      </c>
      <c r="E966" s="6" t="s">
        <v>474</v>
      </c>
      <c r="F966">
        <v>26</v>
      </c>
      <c r="J966">
        <v>965</v>
      </c>
    </row>
    <row r="967" spans="1:10" customFormat="1" ht="15" x14ac:dyDescent="0.25">
      <c r="A967" s="6">
        <v>33</v>
      </c>
      <c r="B967" s="6" t="s">
        <v>505</v>
      </c>
      <c r="C967" s="6" t="s">
        <v>511</v>
      </c>
      <c r="D967" s="6" t="s">
        <v>473</v>
      </c>
      <c r="E967" s="6" t="s">
        <v>474</v>
      </c>
      <c r="F967">
        <v>27</v>
      </c>
      <c r="J967">
        <v>966</v>
      </c>
    </row>
    <row r="968" spans="1:10" customFormat="1" ht="15" x14ac:dyDescent="0.25">
      <c r="A968" s="6">
        <v>33</v>
      </c>
      <c r="B968" s="6" t="s">
        <v>505</v>
      </c>
      <c r="C968" s="6" t="s">
        <v>511</v>
      </c>
      <c r="D968" s="6" t="s">
        <v>473</v>
      </c>
      <c r="E968" s="6" t="s">
        <v>474</v>
      </c>
      <c r="F968">
        <v>28</v>
      </c>
      <c r="J968">
        <v>967</v>
      </c>
    </row>
    <row r="969" spans="1:10" customFormat="1" ht="15" x14ac:dyDescent="0.25">
      <c r="A969" s="6">
        <v>33</v>
      </c>
      <c r="B969" s="6" t="s">
        <v>505</v>
      </c>
      <c r="C969" s="6" t="s">
        <v>511</v>
      </c>
      <c r="D969" s="6" t="s">
        <v>473</v>
      </c>
      <c r="E969" s="6" t="s">
        <v>474</v>
      </c>
      <c r="F969">
        <v>29</v>
      </c>
      <c r="J969">
        <v>968</v>
      </c>
    </row>
    <row r="970" spans="1:10" customFormat="1" ht="15" x14ac:dyDescent="0.25">
      <c r="A970" s="6">
        <v>33</v>
      </c>
      <c r="B970" s="6" t="s">
        <v>505</v>
      </c>
      <c r="C970" s="6" t="s">
        <v>511</v>
      </c>
      <c r="D970" s="6" t="s">
        <v>473</v>
      </c>
      <c r="E970" s="6" t="s">
        <v>474</v>
      </c>
      <c r="F970">
        <v>30</v>
      </c>
      <c r="J970">
        <v>969</v>
      </c>
    </row>
    <row r="971" spans="1:10" customFormat="1" ht="15" x14ac:dyDescent="0.25">
      <c r="A971" s="6">
        <v>33</v>
      </c>
      <c r="B971" s="6" t="s">
        <v>505</v>
      </c>
      <c r="C971" s="6" t="s">
        <v>511</v>
      </c>
      <c r="D971" s="6" t="s">
        <v>473</v>
      </c>
      <c r="E971" s="6" t="s">
        <v>474</v>
      </c>
      <c r="F971">
        <v>31</v>
      </c>
      <c r="J971">
        <v>970</v>
      </c>
    </row>
    <row r="972" spans="1:10" customFormat="1" ht="15" x14ac:dyDescent="0.25">
      <c r="A972" s="6">
        <v>33</v>
      </c>
      <c r="B972" s="6" t="s">
        <v>505</v>
      </c>
      <c r="C972" s="6" t="s">
        <v>511</v>
      </c>
      <c r="D972" s="6" t="s">
        <v>473</v>
      </c>
      <c r="E972" s="6" t="s">
        <v>474</v>
      </c>
      <c r="F972">
        <v>32</v>
      </c>
      <c r="J972">
        <v>971</v>
      </c>
    </row>
    <row r="973" spans="1:10" customFormat="1" ht="15" x14ac:dyDescent="0.25">
      <c r="A973" s="6">
        <v>33</v>
      </c>
      <c r="B973" s="6" t="s">
        <v>505</v>
      </c>
      <c r="C973" s="6" t="s">
        <v>511</v>
      </c>
      <c r="D973" s="6" t="s">
        <v>473</v>
      </c>
      <c r="E973" s="6" t="s">
        <v>474</v>
      </c>
      <c r="F973">
        <v>33</v>
      </c>
      <c r="J973">
        <v>972</v>
      </c>
    </row>
    <row r="974" spans="1:10" customFormat="1" ht="15" x14ac:dyDescent="0.25">
      <c r="A974" s="6">
        <v>33</v>
      </c>
      <c r="B974" s="6" t="s">
        <v>505</v>
      </c>
      <c r="C974" s="6" t="s">
        <v>511</v>
      </c>
      <c r="D974" s="6" t="s">
        <v>473</v>
      </c>
      <c r="E974" s="6" t="s">
        <v>474</v>
      </c>
      <c r="F974">
        <v>34</v>
      </c>
      <c r="J974">
        <v>973</v>
      </c>
    </row>
    <row r="975" spans="1:10" customFormat="1" ht="15" x14ac:dyDescent="0.25">
      <c r="A975" s="6">
        <v>33</v>
      </c>
      <c r="B975" s="6" t="s">
        <v>505</v>
      </c>
      <c r="C975" s="6" t="s">
        <v>511</v>
      </c>
      <c r="D975" s="6" t="s">
        <v>473</v>
      </c>
      <c r="E975" s="6" t="s">
        <v>474</v>
      </c>
      <c r="F975">
        <v>35</v>
      </c>
      <c r="J975">
        <v>974</v>
      </c>
    </row>
    <row r="976" spans="1:10" customFormat="1" ht="15" x14ac:dyDescent="0.25">
      <c r="A976" s="6">
        <v>33</v>
      </c>
      <c r="B976" s="6" t="s">
        <v>505</v>
      </c>
      <c r="C976" s="6" t="s">
        <v>511</v>
      </c>
      <c r="D976" s="6" t="s">
        <v>473</v>
      </c>
      <c r="E976" s="6" t="s">
        <v>474</v>
      </c>
      <c r="F976">
        <v>36</v>
      </c>
      <c r="J976">
        <v>975</v>
      </c>
    </row>
    <row r="977" spans="1:10" customFormat="1" ht="15" x14ac:dyDescent="0.25">
      <c r="A977" s="6">
        <v>33</v>
      </c>
      <c r="B977" s="6" t="s">
        <v>505</v>
      </c>
      <c r="C977" s="6" t="s">
        <v>511</v>
      </c>
      <c r="D977" s="6" t="s">
        <v>473</v>
      </c>
      <c r="E977" s="6" t="s">
        <v>474</v>
      </c>
      <c r="F977">
        <v>37</v>
      </c>
      <c r="J977">
        <v>976</v>
      </c>
    </row>
    <row r="978" spans="1:10" customFormat="1" ht="15" x14ac:dyDescent="0.25">
      <c r="A978" s="6">
        <v>33</v>
      </c>
      <c r="B978" s="6" t="s">
        <v>505</v>
      </c>
      <c r="C978" s="6" t="s">
        <v>511</v>
      </c>
      <c r="D978" s="6" t="s">
        <v>473</v>
      </c>
      <c r="E978" s="6" t="s">
        <v>474</v>
      </c>
      <c r="F978">
        <v>38</v>
      </c>
      <c r="J978">
        <v>977</v>
      </c>
    </row>
    <row r="979" spans="1:10" customFormat="1" ht="15" x14ac:dyDescent="0.25">
      <c r="A979" s="6">
        <v>33</v>
      </c>
      <c r="B979" s="6" t="s">
        <v>505</v>
      </c>
      <c r="C979" s="6" t="s">
        <v>511</v>
      </c>
      <c r="D979" s="6" t="s">
        <v>473</v>
      </c>
      <c r="E979" s="6" t="s">
        <v>474</v>
      </c>
      <c r="F979">
        <v>39</v>
      </c>
      <c r="J979">
        <v>978</v>
      </c>
    </row>
    <row r="980" spans="1:10" customFormat="1" ht="15" x14ac:dyDescent="0.25">
      <c r="A980" s="6">
        <v>33</v>
      </c>
      <c r="B980" s="6" t="s">
        <v>505</v>
      </c>
      <c r="C980" s="6" t="s">
        <v>511</v>
      </c>
      <c r="D980" s="6" t="s">
        <v>473</v>
      </c>
      <c r="E980" s="6" t="s">
        <v>474</v>
      </c>
      <c r="F980">
        <v>40</v>
      </c>
      <c r="J980">
        <v>979</v>
      </c>
    </row>
    <row r="981" spans="1:10" customFormat="1" ht="15" x14ac:dyDescent="0.25">
      <c r="A981" s="6">
        <v>33</v>
      </c>
      <c r="B981" s="6" t="s">
        <v>505</v>
      </c>
      <c r="C981" s="6" t="s">
        <v>511</v>
      </c>
      <c r="D981" s="6" t="s">
        <v>473</v>
      </c>
      <c r="E981" s="6" t="s">
        <v>474</v>
      </c>
      <c r="F981">
        <v>41</v>
      </c>
      <c r="J981">
        <v>980</v>
      </c>
    </row>
    <row r="982" spans="1:10" customFormat="1" ht="15" x14ac:dyDescent="0.25">
      <c r="A982" s="6">
        <v>33</v>
      </c>
      <c r="B982" s="6" t="s">
        <v>505</v>
      </c>
      <c r="C982" s="6" t="s">
        <v>511</v>
      </c>
      <c r="D982" s="6" t="s">
        <v>473</v>
      </c>
      <c r="E982" s="6" t="s">
        <v>474</v>
      </c>
      <c r="F982">
        <v>42</v>
      </c>
      <c r="J982">
        <v>981</v>
      </c>
    </row>
    <row r="983" spans="1:10" customFormat="1" ht="15" x14ac:dyDescent="0.25">
      <c r="A983" s="6">
        <v>33</v>
      </c>
      <c r="B983" s="6" t="s">
        <v>505</v>
      </c>
      <c r="C983" s="6" t="s">
        <v>511</v>
      </c>
      <c r="D983" s="6" t="s">
        <v>473</v>
      </c>
      <c r="E983" s="6" t="s">
        <v>474</v>
      </c>
      <c r="F983">
        <v>43</v>
      </c>
      <c r="J983">
        <v>982</v>
      </c>
    </row>
    <row r="984" spans="1:10" customFormat="1" ht="15" x14ac:dyDescent="0.25">
      <c r="A984" s="6">
        <v>33</v>
      </c>
      <c r="B984" s="6" t="s">
        <v>505</v>
      </c>
      <c r="C984" s="6" t="s">
        <v>511</v>
      </c>
      <c r="D984" s="6" t="s">
        <v>473</v>
      </c>
      <c r="E984" s="6" t="s">
        <v>474</v>
      </c>
      <c r="F984">
        <v>44</v>
      </c>
      <c r="J984">
        <v>983</v>
      </c>
    </row>
    <row r="985" spans="1:10" customFormat="1" ht="15" x14ac:dyDescent="0.25">
      <c r="A985" s="6">
        <v>33</v>
      </c>
      <c r="B985" s="6" t="s">
        <v>505</v>
      </c>
      <c r="C985" s="6" t="s">
        <v>511</v>
      </c>
      <c r="D985" s="6" t="s">
        <v>473</v>
      </c>
      <c r="E985" s="6" t="s">
        <v>474</v>
      </c>
      <c r="F985">
        <v>45</v>
      </c>
      <c r="J985">
        <v>984</v>
      </c>
    </row>
    <row r="986" spans="1:10" customFormat="1" ht="15" x14ac:dyDescent="0.25">
      <c r="A986" s="6">
        <v>33</v>
      </c>
      <c r="B986" s="6" t="s">
        <v>505</v>
      </c>
      <c r="C986" s="6" t="s">
        <v>511</v>
      </c>
      <c r="D986" s="6" t="s">
        <v>473</v>
      </c>
      <c r="E986" s="6" t="s">
        <v>474</v>
      </c>
      <c r="F986">
        <v>46</v>
      </c>
      <c r="J986">
        <v>985</v>
      </c>
    </row>
    <row r="987" spans="1:10" customFormat="1" ht="15" x14ac:dyDescent="0.25">
      <c r="A987" s="6">
        <v>33</v>
      </c>
      <c r="B987" s="6" t="s">
        <v>505</v>
      </c>
      <c r="C987" s="6" t="s">
        <v>511</v>
      </c>
      <c r="D987" s="6" t="s">
        <v>473</v>
      </c>
      <c r="E987" s="6" t="s">
        <v>474</v>
      </c>
      <c r="F987">
        <v>47</v>
      </c>
      <c r="J987">
        <v>986</v>
      </c>
    </row>
    <row r="988" spans="1:10" customFormat="1" thickBot="1" x14ac:dyDescent="0.3">
      <c r="A988" s="6">
        <v>33</v>
      </c>
      <c r="B988" s="6" t="s">
        <v>505</v>
      </c>
      <c r="C988" s="6" t="s">
        <v>511</v>
      </c>
      <c r="D988" s="16" t="s">
        <v>473</v>
      </c>
      <c r="E988" s="16" t="s">
        <v>474</v>
      </c>
      <c r="F988" s="17">
        <v>48</v>
      </c>
      <c r="G988" s="17"/>
      <c r="H988" s="17"/>
      <c r="I988" s="17">
        <v>48</v>
      </c>
      <c r="J988">
        <v>987</v>
      </c>
    </row>
    <row r="989" spans="1:10" customFormat="1" thickTop="1" x14ac:dyDescent="0.25">
      <c r="A989" s="6">
        <v>34</v>
      </c>
      <c r="B989" s="6" t="s">
        <v>505</v>
      </c>
      <c r="C989" s="6" t="s">
        <v>511</v>
      </c>
      <c r="D989" s="6" t="s">
        <v>475</v>
      </c>
      <c r="E989" s="6" t="s">
        <v>476</v>
      </c>
      <c r="F989">
        <v>1</v>
      </c>
      <c r="J989">
        <v>988</v>
      </c>
    </row>
    <row r="990" spans="1:10" customFormat="1" ht="15" x14ac:dyDescent="0.25">
      <c r="A990" s="6">
        <v>34</v>
      </c>
      <c r="B990" s="6" t="s">
        <v>505</v>
      </c>
      <c r="C990" s="6" t="s">
        <v>511</v>
      </c>
      <c r="D990" s="6" t="s">
        <v>475</v>
      </c>
      <c r="E990" s="6" t="s">
        <v>476</v>
      </c>
      <c r="F990">
        <v>2</v>
      </c>
      <c r="J990">
        <v>989</v>
      </c>
    </row>
    <row r="991" spans="1:10" customFormat="1" ht="15" x14ac:dyDescent="0.25">
      <c r="A991" s="6">
        <v>34</v>
      </c>
      <c r="B991" s="6" t="s">
        <v>505</v>
      </c>
      <c r="C991" s="6" t="s">
        <v>511</v>
      </c>
      <c r="D991" s="6" t="s">
        <v>475</v>
      </c>
      <c r="E991" s="6" t="s">
        <v>476</v>
      </c>
      <c r="F991">
        <v>3</v>
      </c>
      <c r="J991">
        <v>990</v>
      </c>
    </row>
    <row r="992" spans="1:10" customFormat="1" ht="15" x14ac:dyDescent="0.25">
      <c r="A992" s="6">
        <v>34</v>
      </c>
      <c r="B992" s="6" t="s">
        <v>505</v>
      </c>
      <c r="C992" s="6" t="s">
        <v>511</v>
      </c>
      <c r="D992" s="6" t="s">
        <v>475</v>
      </c>
      <c r="E992" s="6" t="s">
        <v>476</v>
      </c>
      <c r="F992">
        <v>4</v>
      </c>
      <c r="J992">
        <v>991</v>
      </c>
    </row>
    <row r="993" spans="1:10" customFormat="1" ht="15" x14ac:dyDescent="0.25">
      <c r="A993" s="6">
        <v>34</v>
      </c>
      <c r="B993" s="6" t="s">
        <v>505</v>
      </c>
      <c r="C993" s="6" t="s">
        <v>511</v>
      </c>
      <c r="D993" s="6" t="s">
        <v>475</v>
      </c>
      <c r="E993" s="6" t="s">
        <v>476</v>
      </c>
      <c r="F993">
        <v>5</v>
      </c>
      <c r="J993">
        <v>992</v>
      </c>
    </row>
    <row r="994" spans="1:10" customFormat="1" ht="15" x14ac:dyDescent="0.25">
      <c r="A994" s="6">
        <v>34</v>
      </c>
      <c r="B994" s="6" t="s">
        <v>505</v>
      </c>
      <c r="C994" s="6" t="s">
        <v>511</v>
      </c>
      <c r="D994" s="6" t="s">
        <v>475</v>
      </c>
      <c r="E994" s="6" t="s">
        <v>476</v>
      </c>
      <c r="F994">
        <v>6</v>
      </c>
      <c r="J994">
        <v>993</v>
      </c>
    </row>
    <row r="995" spans="1:10" customFormat="1" ht="15" x14ac:dyDescent="0.25">
      <c r="A995" s="6">
        <v>34</v>
      </c>
      <c r="B995" s="6" t="s">
        <v>505</v>
      </c>
      <c r="C995" s="6" t="s">
        <v>511</v>
      </c>
      <c r="D995" s="6" t="s">
        <v>475</v>
      </c>
      <c r="E995" s="6" t="s">
        <v>476</v>
      </c>
      <c r="F995">
        <v>7</v>
      </c>
      <c r="J995">
        <v>994</v>
      </c>
    </row>
    <row r="996" spans="1:10" customFormat="1" ht="15" x14ac:dyDescent="0.25">
      <c r="A996" s="6">
        <v>34</v>
      </c>
      <c r="B996" s="6" t="s">
        <v>505</v>
      </c>
      <c r="C996" s="6" t="s">
        <v>511</v>
      </c>
      <c r="D996" s="6" t="s">
        <v>475</v>
      </c>
      <c r="E996" s="6" t="s">
        <v>476</v>
      </c>
      <c r="F996">
        <v>8</v>
      </c>
      <c r="J996">
        <v>995</v>
      </c>
    </row>
    <row r="997" spans="1:10" customFormat="1" ht="15" x14ac:dyDescent="0.25">
      <c r="A997" s="6">
        <v>34</v>
      </c>
      <c r="B997" s="6" t="s">
        <v>505</v>
      </c>
      <c r="C997" s="6" t="s">
        <v>511</v>
      </c>
      <c r="D997" s="6" t="s">
        <v>475</v>
      </c>
      <c r="E997" s="6" t="s">
        <v>476</v>
      </c>
      <c r="F997">
        <v>9</v>
      </c>
      <c r="J997">
        <v>996</v>
      </c>
    </row>
    <row r="998" spans="1:10" customFormat="1" ht="15" x14ac:dyDescent="0.25">
      <c r="A998" s="6">
        <v>34</v>
      </c>
      <c r="B998" s="6" t="s">
        <v>505</v>
      </c>
      <c r="C998" s="6" t="s">
        <v>511</v>
      </c>
      <c r="D998" s="6" t="s">
        <v>475</v>
      </c>
      <c r="E998" s="6" t="s">
        <v>476</v>
      </c>
      <c r="F998">
        <v>10</v>
      </c>
      <c r="J998">
        <v>997</v>
      </c>
    </row>
    <row r="999" spans="1:10" customFormat="1" ht="15" x14ac:dyDescent="0.25">
      <c r="A999" s="6">
        <v>34</v>
      </c>
      <c r="B999" s="6" t="s">
        <v>505</v>
      </c>
      <c r="C999" s="6" t="s">
        <v>511</v>
      </c>
      <c r="D999" s="6" t="s">
        <v>475</v>
      </c>
      <c r="E999" s="6" t="s">
        <v>476</v>
      </c>
      <c r="F999">
        <v>11</v>
      </c>
      <c r="J999">
        <v>998</v>
      </c>
    </row>
    <row r="1000" spans="1:10" customFormat="1" ht="15" x14ac:dyDescent="0.25">
      <c r="A1000" s="6">
        <v>34</v>
      </c>
      <c r="B1000" s="6" t="s">
        <v>505</v>
      </c>
      <c r="C1000" s="6" t="s">
        <v>511</v>
      </c>
      <c r="D1000" s="6" t="s">
        <v>475</v>
      </c>
      <c r="E1000" s="6" t="s">
        <v>476</v>
      </c>
      <c r="F1000">
        <v>12</v>
      </c>
      <c r="J1000">
        <v>999</v>
      </c>
    </row>
    <row r="1001" spans="1:10" customFormat="1" ht="15" x14ac:dyDescent="0.25">
      <c r="A1001" s="6">
        <v>34</v>
      </c>
      <c r="B1001" s="6" t="s">
        <v>505</v>
      </c>
      <c r="C1001" s="6" t="s">
        <v>511</v>
      </c>
      <c r="D1001" s="6" t="s">
        <v>475</v>
      </c>
      <c r="E1001" s="6" t="s">
        <v>476</v>
      </c>
      <c r="F1001">
        <v>13</v>
      </c>
      <c r="J1001">
        <v>1000</v>
      </c>
    </row>
    <row r="1002" spans="1:10" customFormat="1" thickBot="1" x14ac:dyDescent="0.3">
      <c r="A1002" s="6">
        <v>34</v>
      </c>
      <c r="B1002" s="6" t="s">
        <v>505</v>
      </c>
      <c r="C1002" s="6" t="s">
        <v>511</v>
      </c>
      <c r="D1002" s="16" t="s">
        <v>475</v>
      </c>
      <c r="E1002" s="16" t="s">
        <v>476</v>
      </c>
      <c r="F1002" s="17">
        <v>14</v>
      </c>
      <c r="G1002" s="17"/>
      <c r="H1002" s="17"/>
      <c r="I1002" s="17">
        <v>14</v>
      </c>
      <c r="J1002">
        <v>1001</v>
      </c>
    </row>
    <row r="1003" spans="1:10" customFormat="1" thickTop="1" x14ac:dyDescent="0.25">
      <c r="A1003" s="6">
        <v>35</v>
      </c>
      <c r="B1003" s="6" t="s">
        <v>505</v>
      </c>
      <c r="C1003" s="6" t="s">
        <v>512</v>
      </c>
      <c r="D1003" s="6" t="s">
        <v>477</v>
      </c>
      <c r="E1003" s="6" t="s">
        <v>478</v>
      </c>
      <c r="F1003">
        <v>1</v>
      </c>
      <c r="J1003">
        <v>1002</v>
      </c>
    </row>
    <row r="1004" spans="1:10" customFormat="1" ht="15" x14ac:dyDescent="0.25">
      <c r="A1004" s="6">
        <v>35</v>
      </c>
      <c r="B1004" s="6" t="s">
        <v>505</v>
      </c>
      <c r="C1004" s="6" t="s">
        <v>512</v>
      </c>
      <c r="D1004" s="6" t="s">
        <v>477</v>
      </c>
      <c r="E1004" s="6" t="s">
        <v>478</v>
      </c>
      <c r="F1004">
        <v>2</v>
      </c>
      <c r="J1004">
        <v>1003</v>
      </c>
    </row>
    <row r="1005" spans="1:10" customFormat="1" ht="15" x14ac:dyDescent="0.25">
      <c r="A1005" s="6">
        <v>35</v>
      </c>
      <c r="B1005" s="6" t="s">
        <v>505</v>
      </c>
      <c r="C1005" s="6" t="s">
        <v>512</v>
      </c>
      <c r="D1005" s="6" t="s">
        <v>477</v>
      </c>
      <c r="E1005" s="6" t="s">
        <v>478</v>
      </c>
      <c r="F1005">
        <v>3</v>
      </c>
      <c r="J1005">
        <v>1004</v>
      </c>
    </row>
    <row r="1006" spans="1:10" customFormat="1" ht="15" x14ac:dyDescent="0.25">
      <c r="A1006" s="6">
        <v>35</v>
      </c>
      <c r="B1006" s="6" t="s">
        <v>505</v>
      </c>
      <c r="C1006" s="6" t="s">
        <v>512</v>
      </c>
      <c r="D1006" s="6" t="s">
        <v>477</v>
      </c>
      <c r="E1006" s="6" t="s">
        <v>478</v>
      </c>
      <c r="F1006">
        <v>4</v>
      </c>
      <c r="J1006">
        <v>1005</v>
      </c>
    </row>
    <row r="1007" spans="1:10" customFormat="1" ht="15" x14ac:dyDescent="0.25">
      <c r="A1007" s="6">
        <v>35</v>
      </c>
      <c r="B1007" s="6" t="s">
        <v>505</v>
      </c>
      <c r="C1007" s="6" t="s">
        <v>512</v>
      </c>
      <c r="D1007" s="6" t="s">
        <v>477</v>
      </c>
      <c r="E1007" s="6" t="s">
        <v>478</v>
      </c>
      <c r="F1007">
        <v>5</v>
      </c>
      <c r="J1007">
        <v>1006</v>
      </c>
    </row>
    <row r="1008" spans="1:10" customFormat="1" ht="15" x14ac:dyDescent="0.25">
      <c r="A1008" s="6">
        <v>35</v>
      </c>
      <c r="B1008" s="6" t="s">
        <v>505</v>
      </c>
      <c r="C1008" s="6" t="s">
        <v>512</v>
      </c>
      <c r="D1008" s="6" t="s">
        <v>477</v>
      </c>
      <c r="E1008" s="6" t="s">
        <v>478</v>
      </c>
      <c r="F1008">
        <v>6</v>
      </c>
      <c r="J1008">
        <v>1007</v>
      </c>
    </row>
    <row r="1009" spans="1:10" customFormat="1" ht="15" x14ac:dyDescent="0.25">
      <c r="A1009" s="6">
        <v>35</v>
      </c>
      <c r="B1009" s="6" t="s">
        <v>505</v>
      </c>
      <c r="C1009" s="6" t="s">
        <v>512</v>
      </c>
      <c r="D1009" s="6" t="s">
        <v>477</v>
      </c>
      <c r="E1009" s="6" t="s">
        <v>478</v>
      </c>
      <c r="F1009">
        <v>7</v>
      </c>
      <c r="J1009">
        <v>1008</v>
      </c>
    </row>
    <row r="1010" spans="1:10" customFormat="1" ht="15" x14ac:dyDescent="0.25">
      <c r="A1010" s="6">
        <v>35</v>
      </c>
      <c r="B1010" s="6" t="s">
        <v>505</v>
      </c>
      <c r="C1010" s="6" t="s">
        <v>512</v>
      </c>
      <c r="D1010" s="6" t="s">
        <v>477</v>
      </c>
      <c r="E1010" s="6" t="s">
        <v>478</v>
      </c>
      <c r="F1010">
        <v>8</v>
      </c>
      <c r="J1010">
        <v>1009</v>
      </c>
    </row>
    <row r="1011" spans="1:10" customFormat="1" ht="15" x14ac:dyDescent="0.25">
      <c r="A1011" s="6">
        <v>35</v>
      </c>
      <c r="B1011" s="6" t="s">
        <v>505</v>
      </c>
      <c r="C1011" s="6" t="s">
        <v>512</v>
      </c>
      <c r="D1011" s="6" t="s">
        <v>477</v>
      </c>
      <c r="E1011" s="6" t="s">
        <v>478</v>
      </c>
      <c r="F1011">
        <v>9</v>
      </c>
      <c r="J1011">
        <v>1010</v>
      </c>
    </row>
    <row r="1012" spans="1:10" customFormat="1" ht="15" x14ac:dyDescent="0.25">
      <c r="A1012" s="6">
        <v>35</v>
      </c>
      <c r="B1012" s="6" t="s">
        <v>505</v>
      </c>
      <c r="C1012" s="6" t="s">
        <v>512</v>
      </c>
      <c r="D1012" s="6" t="s">
        <v>477</v>
      </c>
      <c r="E1012" s="6" t="s">
        <v>478</v>
      </c>
      <c r="F1012">
        <v>10</v>
      </c>
      <c r="J1012">
        <v>1011</v>
      </c>
    </row>
    <row r="1013" spans="1:10" customFormat="1" ht="15" x14ac:dyDescent="0.25">
      <c r="A1013" s="6">
        <v>35</v>
      </c>
      <c r="B1013" s="6" t="s">
        <v>505</v>
      </c>
      <c r="C1013" s="6" t="s">
        <v>512</v>
      </c>
      <c r="D1013" s="6" t="s">
        <v>477</v>
      </c>
      <c r="E1013" s="6" t="s">
        <v>478</v>
      </c>
      <c r="F1013">
        <v>11</v>
      </c>
      <c r="J1013">
        <v>1012</v>
      </c>
    </row>
    <row r="1014" spans="1:10" customFormat="1" ht="15" x14ac:dyDescent="0.25">
      <c r="A1014" s="6">
        <v>35</v>
      </c>
      <c r="B1014" s="6" t="s">
        <v>505</v>
      </c>
      <c r="C1014" s="6" t="s">
        <v>512</v>
      </c>
      <c r="D1014" s="6" t="s">
        <v>477</v>
      </c>
      <c r="E1014" s="6" t="s">
        <v>478</v>
      </c>
      <c r="F1014">
        <v>12</v>
      </c>
      <c r="J1014">
        <v>1013</v>
      </c>
    </row>
    <row r="1015" spans="1:10" customFormat="1" ht="15" x14ac:dyDescent="0.25">
      <c r="A1015" s="6">
        <v>35</v>
      </c>
      <c r="B1015" s="6" t="s">
        <v>505</v>
      </c>
      <c r="C1015" s="6" t="s">
        <v>512</v>
      </c>
      <c r="D1015" s="6" t="s">
        <v>477</v>
      </c>
      <c r="E1015" s="6" t="s">
        <v>478</v>
      </c>
      <c r="F1015">
        <v>13</v>
      </c>
      <c r="J1015">
        <v>1014</v>
      </c>
    </row>
    <row r="1016" spans="1:10" customFormat="1" thickBot="1" x14ac:dyDescent="0.3">
      <c r="A1016" s="6">
        <v>35</v>
      </c>
      <c r="B1016" s="6" t="s">
        <v>505</v>
      </c>
      <c r="C1016" s="6" t="s">
        <v>512</v>
      </c>
      <c r="D1016" s="16" t="s">
        <v>477</v>
      </c>
      <c r="E1016" s="16" t="s">
        <v>478</v>
      </c>
      <c r="F1016" s="17">
        <v>14</v>
      </c>
      <c r="G1016" s="17"/>
      <c r="H1016" s="17"/>
      <c r="I1016" s="17">
        <v>14</v>
      </c>
      <c r="J1016">
        <v>1015</v>
      </c>
    </row>
    <row r="1017" spans="1:10" customFormat="1" thickTop="1" x14ac:dyDescent="0.25">
      <c r="A1017" s="6">
        <v>36</v>
      </c>
      <c r="B1017" s="6" t="s">
        <v>505</v>
      </c>
      <c r="C1017" s="6" t="s">
        <v>512</v>
      </c>
      <c r="D1017" s="6" t="s">
        <v>479</v>
      </c>
      <c r="E1017" s="6" t="s">
        <v>480</v>
      </c>
      <c r="F1017">
        <v>1</v>
      </c>
      <c r="J1017">
        <v>1016</v>
      </c>
    </row>
    <row r="1018" spans="1:10" customFormat="1" ht="15" x14ac:dyDescent="0.25">
      <c r="A1018" s="6">
        <v>36</v>
      </c>
      <c r="B1018" s="6" t="s">
        <v>505</v>
      </c>
      <c r="C1018" s="6" t="s">
        <v>512</v>
      </c>
      <c r="D1018" s="6" t="s">
        <v>479</v>
      </c>
      <c r="E1018" s="6" t="s">
        <v>480</v>
      </c>
      <c r="F1018">
        <v>2</v>
      </c>
      <c r="J1018">
        <v>1017</v>
      </c>
    </row>
    <row r="1019" spans="1:10" customFormat="1" ht="15" x14ac:dyDescent="0.25">
      <c r="A1019" s="6">
        <v>36</v>
      </c>
      <c r="B1019" s="6" t="s">
        <v>505</v>
      </c>
      <c r="C1019" s="6" t="s">
        <v>512</v>
      </c>
      <c r="D1019" s="6" t="s">
        <v>479</v>
      </c>
      <c r="E1019" s="6" t="s">
        <v>480</v>
      </c>
      <c r="F1019">
        <v>3</v>
      </c>
      <c r="J1019">
        <v>1018</v>
      </c>
    </row>
    <row r="1020" spans="1:10" customFormat="1" thickBot="1" x14ac:dyDescent="0.3">
      <c r="A1020" s="6">
        <v>36</v>
      </c>
      <c r="B1020" s="6" t="s">
        <v>505</v>
      </c>
      <c r="C1020" s="6" t="s">
        <v>512</v>
      </c>
      <c r="D1020" s="16" t="s">
        <v>479</v>
      </c>
      <c r="E1020" s="16" t="s">
        <v>480</v>
      </c>
      <c r="F1020" s="17">
        <v>4</v>
      </c>
      <c r="G1020" s="17"/>
      <c r="H1020" s="17"/>
      <c r="I1020" s="17">
        <v>4</v>
      </c>
      <c r="J1020">
        <v>1019</v>
      </c>
    </row>
    <row r="1021" spans="1:10" customFormat="1" thickTop="1" x14ac:dyDescent="0.25">
      <c r="A1021" s="6">
        <v>37</v>
      </c>
      <c r="B1021" s="6" t="s">
        <v>505</v>
      </c>
      <c r="C1021" s="6" t="s">
        <v>512</v>
      </c>
      <c r="D1021" s="6" t="s">
        <v>481</v>
      </c>
      <c r="E1021" s="6" t="s">
        <v>482</v>
      </c>
      <c r="F1021">
        <v>1</v>
      </c>
      <c r="J1021">
        <v>1020</v>
      </c>
    </row>
    <row r="1022" spans="1:10" customFormat="1" ht="15" x14ac:dyDescent="0.25">
      <c r="A1022" s="6">
        <v>37</v>
      </c>
      <c r="B1022" s="6" t="s">
        <v>505</v>
      </c>
      <c r="C1022" s="6" t="s">
        <v>512</v>
      </c>
      <c r="D1022" s="6" t="s">
        <v>481</v>
      </c>
      <c r="E1022" s="6" t="s">
        <v>482</v>
      </c>
      <c r="F1022">
        <v>2</v>
      </c>
      <c r="J1022">
        <v>1021</v>
      </c>
    </row>
    <row r="1023" spans="1:10" customFormat="1" ht="15" x14ac:dyDescent="0.25">
      <c r="A1023" s="6">
        <v>37</v>
      </c>
      <c r="B1023" s="6" t="s">
        <v>505</v>
      </c>
      <c r="C1023" s="6" t="s">
        <v>512</v>
      </c>
      <c r="D1023" s="6" t="s">
        <v>481</v>
      </c>
      <c r="E1023" s="6" t="s">
        <v>482</v>
      </c>
      <c r="F1023">
        <v>3</v>
      </c>
      <c r="J1023">
        <v>1022</v>
      </c>
    </row>
    <row r="1024" spans="1:10" customFormat="1" ht="15" x14ac:dyDescent="0.25">
      <c r="A1024" s="6">
        <v>37</v>
      </c>
      <c r="B1024" s="6" t="s">
        <v>505</v>
      </c>
      <c r="C1024" s="6" t="s">
        <v>512</v>
      </c>
      <c r="D1024" s="6" t="s">
        <v>481</v>
      </c>
      <c r="E1024" s="6" t="s">
        <v>482</v>
      </c>
      <c r="F1024">
        <v>4</v>
      </c>
      <c r="J1024">
        <v>1023</v>
      </c>
    </row>
    <row r="1025" spans="1:10" customFormat="1" ht="15" x14ac:dyDescent="0.25">
      <c r="A1025" s="6">
        <v>37</v>
      </c>
      <c r="B1025" s="6" t="s">
        <v>505</v>
      </c>
      <c r="C1025" s="6" t="s">
        <v>512</v>
      </c>
      <c r="D1025" s="6" t="s">
        <v>481</v>
      </c>
      <c r="E1025" s="6" t="s">
        <v>482</v>
      </c>
      <c r="F1025">
        <v>5</v>
      </c>
      <c r="J1025">
        <v>1024</v>
      </c>
    </row>
    <row r="1026" spans="1:10" customFormat="1" ht="15" x14ac:dyDescent="0.25">
      <c r="A1026" s="6">
        <v>37</v>
      </c>
      <c r="B1026" s="6" t="s">
        <v>505</v>
      </c>
      <c r="C1026" s="6" t="s">
        <v>512</v>
      </c>
      <c r="D1026" s="6" t="s">
        <v>481</v>
      </c>
      <c r="E1026" s="6" t="s">
        <v>482</v>
      </c>
      <c r="F1026">
        <v>6</v>
      </c>
      <c r="J1026">
        <v>1025</v>
      </c>
    </row>
    <row r="1027" spans="1:10" customFormat="1" ht="15" x14ac:dyDescent="0.25">
      <c r="A1027" s="6">
        <v>37</v>
      </c>
      <c r="B1027" s="6" t="s">
        <v>505</v>
      </c>
      <c r="C1027" s="6" t="s">
        <v>512</v>
      </c>
      <c r="D1027" s="6" t="s">
        <v>481</v>
      </c>
      <c r="E1027" s="6" t="s">
        <v>482</v>
      </c>
      <c r="F1027">
        <v>7</v>
      </c>
      <c r="J1027">
        <v>1026</v>
      </c>
    </row>
    <row r="1028" spans="1:10" customFormat="1" ht="15" x14ac:dyDescent="0.25">
      <c r="A1028" s="6">
        <v>37</v>
      </c>
      <c r="B1028" s="6" t="s">
        <v>505</v>
      </c>
      <c r="C1028" s="6" t="s">
        <v>512</v>
      </c>
      <c r="D1028" s="6" t="s">
        <v>481</v>
      </c>
      <c r="E1028" s="6" t="s">
        <v>482</v>
      </c>
      <c r="F1028">
        <v>8</v>
      </c>
      <c r="J1028">
        <v>1027</v>
      </c>
    </row>
    <row r="1029" spans="1:10" customFormat="1" thickBot="1" x14ac:dyDescent="0.3">
      <c r="A1029" s="6">
        <v>37</v>
      </c>
      <c r="B1029" s="6" t="s">
        <v>505</v>
      </c>
      <c r="C1029" s="6" t="s">
        <v>512</v>
      </c>
      <c r="D1029" s="16" t="s">
        <v>481</v>
      </c>
      <c r="E1029" s="16" t="s">
        <v>482</v>
      </c>
      <c r="F1029" s="17">
        <v>9</v>
      </c>
      <c r="G1029" s="17"/>
      <c r="H1029" s="17"/>
      <c r="I1029" s="17">
        <v>9</v>
      </c>
      <c r="J1029">
        <v>1028</v>
      </c>
    </row>
    <row r="1030" spans="1:10" customFormat="1" ht="16.5" thickTop="1" thickBot="1" x14ac:dyDescent="0.3">
      <c r="A1030" s="6">
        <v>38</v>
      </c>
      <c r="B1030" s="6" t="s">
        <v>505</v>
      </c>
      <c r="C1030" s="6" t="s">
        <v>512</v>
      </c>
      <c r="D1030" s="16" t="s">
        <v>483</v>
      </c>
      <c r="E1030" s="16" t="s">
        <v>484</v>
      </c>
      <c r="F1030" s="17">
        <v>1</v>
      </c>
      <c r="G1030" s="17"/>
      <c r="H1030" s="17"/>
      <c r="I1030" s="17">
        <v>1</v>
      </c>
      <c r="J1030">
        <v>1029</v>
      </c>
    </row>
    <row r="1031" spans="1:10" customFormat="1" thickTop="1" x14ac:dyDescent="0.25">
      <c r="A1031" s="6">
        <v>39</v>
      </c>
      <c r="B1031" s="6" t="s">
        <v>505</v>
      </c>
      <c r="C1031" s="6" t="s">
        <v>512</v>
      </c>
      <c r="D1031" s="6" t="s">
        <v>485</v>
      </c>
      <c r="E1031" s="6" t="s">
        <v>486</v>
      </c>
      <c r="F1031">
        <v>1</v>
      </c>
      <c r="J1031">
        <v>1030</v>
      </c>
    </row>
    <row r="1032" spans="1:10" customFormat="1" ht="15" x14ac:dyDescent="0.25">
      <c r="A1032" s="6">
        <v>39</v>
      </c>
      <c r="B1032" s="6" t="s">
        <v>505</v>
      </c>
      <c r="C1032" s="6" t="s">
        <v>512</v>
      </c>
      <c r="D1032" s="6" t="s">
        <v>485</v>
      </c>
      <c r="E1032" s="6" t="s">
        <v>486</v>
      </c>
      <c r="F1032">
        <v>2</v>
      </c>
      <c r="J1032">
        <v>1031</v>
      </c>
    </row>
    <row r="1033" spans="1:10" customFormat="1" ht="15" x14ac:dyDescent="0.25">
      <c r="A1033" s="6">
        <v>39</v>
      </c>
      <c r="B1033" s="6" t="s">
        <v>505</v>
      </c>
      <c r="C1033" s="6" t="s">
        <v>512</v>
      </c>
      <c r="D1033" s="6" t="s">
        <v>485</v>
      </c>
      <c r="E1033" s="6" t="s">
        <v>486</v>
      </c>
      <c r="F1033">
        <v>3</v>
      </c>
      <c r="J1033">
        <v>1032</v>
      </c>
    </row>
    <row r="1034" spans="1:10" customFormat="1" thickBot="1" x14ac:dyDescent="0.3">
      <c r="A1034" s="6">
        <v>39</v>
      </c>
      <c r="B1034" s="6" t="s">
        <v>505</v>
      </c>
      <c r="C1034" s="6" t="s">
        <v>512</v>
      </c>
      <c r="D1034" s="16" t="s">
        <v>485</v>
      </c>
      <c r="E1034" s="16" t="s">
        <v>486</v>
      </c>
      <c r="F1034" s="17">
        <v>4</v>
      </c>
      <c r="G1034" s="17"/>
      <c r="H1034" s="17"/>
      <c r="I1034" s="17">
        <v>4</v>
      </c>
      <c r="J1034">
        <v>1033</v>
      </c>
    </row>
    <row r="1035" spans="1:10" customFormat="1" thickTop="1" x14ac:dyDescent="0.25">
      <c r="A1035" s="6">
        <v>40</v>
      </c>
      <c r="B1035" s="6" t="s">
        <v>505</v>
      </c>
      <c r="C1035" s="6" t="s">
        <v>512</v>
      </c>
      <c r="D1035" s="6" t="s">
        <v>487</v>
      </c>
      <c r="E1035" s="6" t="s">
        <v>488</v>
      </c>
      <c r="F1035">
        <v>1</v>
      </c>
      <c r="J1035">
        <v>1034</v>
      </c>
    </row>
    <row r="1036" spans="1:10" customFormat="1" ht="15" x14ac:dyDescent="0.25">
      <c r="A1036" s="6">
        <v>40</v>
      </c>
      <c r="B1036" s="6" t="s">
        <v>505</v>
      </c>
      <c r="C1036" s="6" t="s">
        <v>512</v>
      </c>
      <c r="D1036" s="6" t="s">
        <v>487</v>
      </c>
      <c r="E1036" s="6" t="s">
        <v>488</v>
      </c>
      <c r="F1036">
        <v>2</v>
      </c>
      <c r="J1036">
        <v>1035</v>
      </c>
    </row>
    <row r="1037" spans="1:10" customFormat="1" ht="15" x14ac:dyDescent="0.25">
      <c r="A1037" s="6">
        <v>40</v>
      </c>
      <c r="B1037" s="6" t="s">
        <v>505</v>
      </c>
      <c r="C1037" s="6" t="s">
        <v>512</v>
      </c>
      <c r="D1037" s="6" t="s">
        <v>487</v>
      </c>
      <c r="E1037" s="6" t="s">
        <v>488</v>
      </c>
      <c r="F1037">
        <v>3</v>
      </c>
      <c r="J1037">
        <v>1036</v>
      </c>
    </row>
    <row r="1038" spans="1:10" customFormat="1" ht="15" x14ac:dyDescent="0.25">
      <c r="A1038" s="6">
        <v>40</v>
      </c>
      <c r="B1038" s="6" t="s">
        <v>505</v>
      </c>
      <c r="C1038" s="6" t="s">
        <v>512</v>
      </c>
      <c r="D1038" s="6" t="s">
        <v>487</v>
      </c>
      <c r="E1038" s="6" t="s">
        <v>488</v>
      </c>
      <c r="F1038">
        <v>4</v>
      </c>
      <c r="J1038">
        <v>1037</v>
      </c>
    </row>
    <row r="1039" spans="1:10" customFormat="1" ht="15" x14ac:dyDescent="0.25">
      <c r="A1039" s="6">
        <v>40</v>
      </c>
      <c r="B1039" s="6" t="s">
        <v>505</v>
      </c>
      <c r="C1039" s="6" t="s">
        <v>512</v>
      </c>
      <c r="D1039" s="6" t="s">
        <v>487</v>
      </c>
      <c r="E1039" s="6" t="s">
        <v>488</v>
      </c>
      <c r="F1039">
        <v>5</v>
      </c>
      <c r="J1039">
        <v>1038</v>
      </c>
    </row>
    <row r="1040" spans="1:10" customFormat="1" ht="15" x14ac:dyDescent="0.25">
      <c r="A1040" s="6">
        <v>40</v>
      </c>
      <c r="B1040" s="6" t="s">
        <v>505</v>
      </c>
      <c r="C1040" s="6" t="s">
        <v>512</v>
      </c>
      <c r="D1040" s="6" t="s">
        <v>487</v>
      </c>
      <c r="E1040" s="6" t="s">
        <v>488</v>
      </c>
      <c r="F1040">
        <v>6</v>
      </c>
      <c r="J1040">
        <v>1039</v>
      </c>
    </row>
    <row r="1041" spans="1:10" customFormat="1" thickBot="1" x14ac:dyDescent="0.3">
      <c r="A1041" s="6">
        <v>40</v>
      </c>
      <c r="B1041" s="6" t="s">
        <v>505</v>
      </c>
      <c r="C1041" s="6" t="s">
        <v>512</v>
      </c>
      <c r="D1041" s="16" t="s">
        <v>487</v>
      </c>
      <c r="E1041" s="16" t="s">
        <v>488</v>
      </c>
      <c r="F1041" s="17">
        <v>7</v>
      </c>
      <c r="G1041" s="17"/>
      <c r="H1041" s="17"/>
      <c r="I1041" s="17">
        <v>7</v>
      </c>
      <c r="J1041">
        <v>1040</v>
      </c>
    </row>
    <row r="1042" spans="1:10" customFormat="1" thickTop="1" x14ac:dyDescent="0.25">
      <c r="A1042" s="6">
        <v>41</v>
      </c>
      <c r="B1042" s="6" t="s">
        <v>505</v>
      </c>
      <c r="C1042" s="6" t="s">
        <v>512</v>
      </c>
      <c r="D1042" s="6" t="s">
        <v>489</v>
      </c>
      <c r="E1042" s="6" t="s">
        <v>490</v>
      </c>
      <c r="F1042">
        <v>1</v>
      </c>
      <c r="J1042">
        <v>1041</v>
      </c>
    </row>
    <row r="1043" spans="1:10" customFormat="1" ht="15" x14ac:dyDescent="0.25">
      <c r="A1043" s="6">
        <v>41</v>
      </c>
      <c r="B1043" s="6" t="s">
        <v>505</v>
      </c>
      <c r="C1043" s="6" t="s">
        <v>512</v>
      </c>
      <c r="D1043" s="6" t="s">
        <v>489</v>
      </c>
      <c r="E1043" s="6" t="s">
        <v>490</v>
      </c>
      <c r="F1043">
        <v>2</v>
      </c>
      <c r="J1043">
        <v>1042</v>
      </c>
    </row>
    <row r="1044" spans="1:10" customFormat="1" thickBot="1" x14ac:dyDescent="0.3">
      <c r="A1044" s="6">
        <v>41</v>
      </c>
      <c r="B1044" s="6" t="s">
        <v>505</v>
      </c>
      <c r="C1044" s="6" t="s">
        <v>512</v>
      </c>
      <c r="D1044" s="16" t="s">
        <v>489</v>
      </c>
      <c r="E1044" s="16" t="s">
        <v>490</v>
      </c>
      <c r="F1044" s="17">
        <v>3</v>
      </c>
      <c r="G1044" s="17"/>
      <c r="H1044" s="17"/>
      <c r="I1044" s="17">
        <v>3</v>
      </c>
      <c r="J1044">
        <v>1043</v>
      </c>
    </row>
    <row r="1045" spans="1:10" customFormat="1" thickTop="1" x14ac:dyDescent="0.25">
      <c r="A1045" s="6">
        <v>42</v>
      </c>
      <c r="B1045" s="6" t="s">
        <v>505</v>
      </c>
      <c r="C1045" s="6" t="s">
        <v>512</v>
      </c>
      <c r="D1045" s="6" t="s">
        <v>491</v>
      </c>
      <c r="E1045" s="6" t="s">
        <v>492</v>
      </c>
      <c r="F1045">
        <v>1</v>
      </c>
      <c r="J1045">
        <v>1044</v>
      </c>
    </row>
    <row r="1046" spans="1:10" customFormat="1" ht="15" x14ac:dyDescent="0.25">
      <c r="A1046" s="6">
        <v>42</v>
      </c>
      <c r="B1046" s="6" t="s">
        <v>505</v>
      </c>
      <c r="C1046" s="6" t="s">
        <v>512</v>
      </c>
      <c r="D1046" s="6" t="s">
        <v>491</v>
      </c>
      <c r="E1046" s="6" t="s">
        <v>492</v>
      </c>
      <c r="F1046">
        <v>2</v>
      </c>
      <c r="J1046">
        <v>1045</v>
      </c>
    </row>
    <row r="1047" spans="1:10" customFormat="1" thickBot="1" x14ac:dyDescent="0.3">
      <c r="A1047" s="6">
        <v>42</v>
      </c>
      <c r="B1047" s="6" t="s">
        <v>505</v>
      </c>
      <c r="C1047" s="6" t="s">
        <v>512</v>
      </c>
      <c r="D1047" s="16" t="s">
        <v>491</v>
      </c>
      <c r="E1047" s="16" t="s">
        <v>492</v>
      </c>
      <c r="F1047" s="17">
        <v>3</v>
      </c>
      <c r="G1047" s="17"/>
      <c r="H1047" s="17"/>
      <c r="I1047" s="17">
        <v>3</v>
      </c>
      <c r="J1047">
        <v>1046</v>
      </c>
    </row>
    <row r="1048" spans="1:10" customFormat="1" thickTop="1" x14ac:dyDescent="0.25">
      <c r="A1048" s="6">
        <v>43</v>
      </c>
      <c r="B1048" s="6" t="s">
        <v>505</v>
      </c>
      <c r="C1048" s="6" t="s">
        <v>512</v>
      </c>
      <c r="D1048" s="6" t="s">
        <v>493</v>
      </c>
      <c r="E1048" s="6" t="s">
        <v>494</v>
      </c>
      <c r="F1048">
        <v>1</v>
      </c>
      <c r="J1048">
        <v>1047</v>
      </c>
    </row>
    <row r="1049" spans="1:10" customFormat="1" ht="15" x14ac:dyDescent="0.25">
      <c r="A1049" s="6">
        <v>43</v>
      </c>
      <c r="B1049" s="6" t="s">
        <v>505</v>
      </c>
      <c r="C1049" s="6" t="s">
        <v>512</v>
      </c>
      <c r="D1049" s="6" t="s">
        <v>493</v>
      </c>
      <c r="E1049" s="6" t="s">
        <v>494</v>
      </c>
      <c r="F1049">
        <v>2</v>
      </c>
      <c r="J1049">
        <v>1048</v>
      </c>
    </row>
    <row r="1050" spans="1:10" customFormat="1" thickBot="1" x14ac:dyDescent="0.3">
      <c r="A1050" s="6">
        <v>43</v>
      </c>
      <c r="B1050" s="6" t="s">
        <v>505</v>
      </c>
      <c r="C1050" s="6" t="s">
        <v>512</v>
      </c>
      <c r="D1050" s="16" t="s">
        <v>493</v>
      </c>
      <c r="E1050" s="16" t="s">
        <v>494</v>
      </c>
      <c r="F1050" s="17">
        <v>3</v>
      </c>
      <c r="G1050" s="17"/>
      <c r="H1050" s="17"/>
      <c r="I1050" s="17">
        <v>3</v>
      </c>
      <c r="J1050">
        <v>1049</v>
      </c>
    </row>
    <row r="1051" spans="1:10" customFormat="1" thickTop="1" x14ac:dyDescent="0.25">
      <c r="A1051" s="6">
        <v>44</v>
      </c>
      <c r="B1051" s="6" t="s">
        <v>505</v>
      </c>
      <c r="C1051" s="6" t="s">
        <v>512</v>
      </c>
      <c r="D1051" s="6" t="s">
        <v>495</v>
      </c>
      <c r="E1051" s="6" t="s">
        <v>496</v>
      </c>
      <c r="F1051">
        <v>1</v>
      </c>
      <c r="J1051">
        <v>1050</v>
      </c>
    </row>
    <row r="1052" spans="1:10" customFormat="1" thickBot="1" x14ac:dyDescent="0.3">
      <c r="A1052" s="6">
        <v>44</v>
      </c>
      <c r="B1052" s="6" t="s">
        <v>505</v>
      </c>
      <c r="C1052" s="6" t="s">
        <v>512</v>
      </c>
      <c r="D1052" s="16" t="s">
        <v>495</v>
      </c>
      <c r="E1052" s="16" t="s">
        <v>496</v>
      </c>
      <c r="F1052" s="17">
        <v>2</v>
      </c>
      <c r="G1052" s="17"/>
      <c r="H1052" s="17"/>
      <c r="I1052" s="17">
        <v>2</v>
      </c>
      <c r="J1052">
        <v>1051</v>
      </c>
    </row>
    <row r="1053" spans="1:10" customFormat="1" thickTop="1" x14ac:dyDescent="0.25">
      <c r="A1053" s="6">
        <v>45</v>
      </c>
      <c r="B1053" s="6" t="s">
        <v>505</v>
      </c>
      <c r="C1053" s="6" t="s">
        <v>512</v>
      </c>
      <c r="D1053" s="6" t="s">
        <v>497</v>
      </c>
      <c r="E1053" s="6" t="s">
        <v>498</v>
      </c>
      <c r="F1053">
        <v>1</v>
      </c>
      <c r="J1053">
        <v>1052</v>
      </c>
    </row>
    <row r="1054" spans="1:10" customFormat="1" ht="15" x14ac:dyDescent="0.25">
      <c r="A1054" s="6">
        <v>45</v>
      </c>
      <c r="B1054" s="6" t="s">
        <v>505</v>
      </c>
      <c r="C1054" s="6" t="s">
        <v>512</v>
      </c>
      <c r="D1054" s="6" t="s">
        <v>497</v>
      </c>
      <c r="E1054" s="6" t="s">
        <v>498</v>
      </c>
      <c r="F1054">
        <v>2</v>
      </c>
      <c r="J1054">
        <v>1053</v>
      </c>
    </row>
    <row r="1055" spans="1:10" customFormat="1" ht="15" x14ac:dyDescent="0.25">
      <c r="A1055" s="6">
        <v>45</v>
      </c>
      <c r="B1055" s="6" t="s">
        <v>505</v>
      </c>
      <c r="C1055" s="6" t="s">
        <v>512</v>
      </c>
      <c r="D1055" s="6" t="s">
        <v>497</v>
      </c>
      <c r="E1055" s="6" t="s">
        <v>498</v>
      </c>
      <c r="F1055">
        <v>3</v>
      </c>
      <c r="J1055">
        <v>1054</v>
      </c>
    </row>
    <row r="1056" spans="1:10" customFormat="1" ht="15" x14ac:dyDescent="0.25">
      <c r="A1056" s="6">
        <v>45</v>
      </c>
      <c r="B1056" s="6" t="s">
        <v>505</v>
      </c>
      <c r="C1056" s="6" t="s">
        <v>512</v>
      </c>
      <c r="D1056" s="6" t="s">
        <v>497</v>
      </c>
      <c r="E1056" s="6" t="s">
        <v>498</v>
      </c>
      <c r="F1056">
        <v>4</v>
      </c>
      <c r="J1056">
        <v>1055</v>
      </c>
    </row>
    <row r="1057" spans="1:10" customFormat="1" ht="15" x14ac:dyDescent="0.25">
      <c r="A1057" s="6">
        <v>45</v>
      </c>
      <c r="B1057" s="6" t="s">
        <v>505</v>
      </c>
      <c r="C1057" s="6" t="s">
        <v>512</v>
      </c>
      <c r="D1057" s="6" t="s">
        <v>497</v>
      </c>
      <c r="E1057" s="6" t="s">
        <v>498</v>
      </c>
      <c r="F1057">
        <v>5</v>
      </c>
      <c r="J1057">
        <v>1056</v>
      </c>
    </row>
    <row r="1058" spans="1:10" customFormat="1" ht="15" x14ac:dyDescent="0.25">
      <c r="A1058" s="6">
        <v>45</v>
      </c>
      <c r="B1058" s="6" t="s">
        <v>505</v>
      </c>
      <c r="C1058" s="6" t="s">
        <v>512</v>
      </c>
      <c r="D1058" s="6" t="s">
        <v>497</v>
      </c>
      <c r="E1058" s="6" t="s">
        <v>498</v>
      </c>
      <c r="F1058">
        <v>6</v>
      </c>
      <c r="J1058">
        <v>1057</v>
      </c>
    </row>
    <row r="1059" spans="1:10" customFormat="1" ht="15" x14ac:dyDescent="0.25">
      <c r="A1059" s="6">
        <v>45</v>
      </c>
      <c r="B1059" s="6" t="s">
        <v>505</v>
      </c>
      <c r="C1059" s="6" t="s">
        <v>512</v>
      </c>
      <c r="D1059" s="6" t="s">
        <v>497</v>
      </c>
      <c r="E1059" s="6" t="s">
        <v>498</v>
      </c>
      <c r="F1059">
        <v>7</v>
      </c>
      <c r="J1059">
        <v>1058</v>
      </c>
    </row>
    <row r="1060" spans="1:10" customFormat="1" ht="15" x14ac:dyDescent="0.25">
      <c r="A1060" s="6">
        <v>45</v>
      </c>
      <c r="B1060" s="6" t="s">
        <v>505</v>
      </c>
      <c r="C1060" s="6" t="s">
        <v>512</v>
      </c>
      <c r="D1060" s="6" t="s">
        <v>497</v>
      </c>
      <c r="E1060" s="6" t="s">
        <v>498</v>
      </c>
      <c r="F1060">
        <v>8</v>
      </c>
      <c r="J1060">
        <v>1059</v>
      </c>
    </row>
    <row r="1061" spans="1:10" customFormat="1" ht="15" x14ac:dyDescent="0.25">
      <c r="A1061" s="6">
        <v>45</v>
      </c>
      <c r="B1061" s="6" t="s">
        <v>505</v>
      </c>
      <c r="C1061" s="6" t="s">
        <v>512</v>
      </c>
      <c r="D1061" s="6" t="s">
        <v>497</v>
      </c>
      <c r="E1061" s="6" t="s">
        <v>498</v>
      </c>
      <c r="F1061">
        <v>9</v>
      </c>
      <c r="J1061">
        <v>1060</v>
      </c>
    </row>
    <row r="1062" spans="1:10" customFormat="1" ht="15" x14ac:dyDescent="0.25">
      <c r="A1062" s="6">
        <v>45</v>
      </c>
      <c r="B1062" s="6" t="s">
        <v>505</v>
      </c>
      <c r="C1062" s="6" t="s">
        <v>512</v>
      </c>
      <c r="D1062" s="6" t="s">
        <v>497</v>
      </c>
      <c r="E1062" s="6" t="s">
        <v>498</v>
      </c>
      <c r="F1062">
        <v>10</v>
      </c>
      <c r="J1062">
        <v>1061</v>
      </c>
    </row>
    <row r="1063" spans="1:10" customFormat="1" ht="15" x14ac:dyDescent="0.25">
      <c r="A1063" s="6">
        <v>45</v>
      </c>
      <c r="B1063" s="6" t="s">
        <v>505</v>
      </c>
      <c r="C1063" s="6" t="s">
        <v>512</v>
      </c>
      <c r="D1063" s="6" t="s">
        <v>497</v>
      </c>
      <c r="E1063" s="6" t="s">
        <v>498</v>
      </c>
      <c r="F1063">
        <v>11</v>
      </c>
      <c r="J1063">
        <v>1062</v>
      </c>
    </row>
    <row r="1064" spans="1:10" customFormat="1" ht="15" x14ac:dyDescent="0.25">
      <c r="A1064" s="6">
        <v>45</v>
      </c>
      <c r="B1064" s="6" t="s">
        <v>505</v>
      </c>
      <c r="C1064" s="6" t="s">
        <v>512</v>
      </c>
      <c r="D1064" s="6" t="s">
        <v>497</v>
      </c>
      <c r="E1064" s="6" t="s">
        <v>498</v>
      </c>
      <c r="F1064">
        <v>12</v>
      </c>
      <c r="J1064">
        <v>1063</v>
      </c>
    </row>
    <row r="1065" spans="1:10" customFormat="1" ht="15" x14ac:dyDescent="0.25">
      <c r="A1065" s="6">
        <v>45</v>
      </c>
      <c r="B1065" s="6" t="s">
        <v>505</v>
      </c>
      <c r="C1065" s="6" t="s">
        <v>512</v>
      </c>
      <c r="D1065" s="6" t="s">
        <v>497</v>
      </c>
      <c r="E1065" s="6" t="s">
        <v>498</v>
      </c>
      <c r="F1065">
        <v>13</v>
      </c>
      <c r="J1065">
        <v>1064</v>
      </c>
    </row>
    <row r="1066" spans="1:10" customFormat="1" thickBot="1" x14ac:dyDescent="0.3">
      <c r="A1066" s="6">
        <v>45</v>
      </c>
      <c r="B1066" s="6" t="s">
        <v>505</v>
      </c>
      <c r="C1066" s="6" t="s">
        <v>512</v>
      </c>
      <c r="D1066" s="16" t="s">
        <v>497</v>
      </c>
      <c r="E1066" s="16" t="s">
        <v>498</v>
      </c>
      <c r="F1066" s="17">
        <v>14</v>
      </c>
      <c r="G1066" s="17"/>
      <c r="H1066" s="17"/>
      <c r="I1066" s="17">
        <v>14</v>
      </c>
      <c r="J1066">
        <v>1065</v>
      </c>
    </row>
    <row r="1067" spans="1:10" customFormat="1" thickTop="1" x14ac:dyDescent="0.25">
      <c r="A1067" s="6">
        <v>46</v>
      </c>
      <c r="B1067" s="6" t="s">
        <v>505</v>
      </c>
      <c r="C1067" s="6" t="s">
        <v>512</v>
      </c>
      <c r="D1067" s="6" t="s">
        <v>499</v>
      </c>
      <c r="E1067" s="6" t="s">
        <v>500</v>
      </c>
      <c r="F1067">
        <v>1</v>
      </c>
      <c r="J1067">
        <v>1066</v>
      </c>
    </row>
    <row r="1068" spans="1:10" customFormat="1" ht="15" x14ac:dyDescent="0.25">
      <c r="A1068" s="6">
        <v>46</v>
      </c>
      <c r="B1068" s="6" t="s">
        <v>505</v>
      </c>
      <c r="C1068" s="6" t="s">
        <v>512</v>
      </c>
      <c r="D1068" s="6" t="s">
        <v>499</v>
      </c>
      <c r="E1068" s="6" t="s">
        <v>500</v>
      </c>
      <c r="F1068">
        <v>2</v>
      </c>
      <c r="J1068">
        <v>1067</v>
      </c>
    </row>
    <row r="1069" spans="1:10" customFormat="1" thickBot="1" x14ac:dyDescent="0.3">
      <c r="A1069" s="6">
        <v>46</v>
      </c>
      <c r="B1069" s="6" t="s">
        <v>505</v>
      </c>
      <c r="C1069" s="6" t="s">
        <v>512</v>
      </c>
      <c r="D1069" s="16" t="s">
        <v>499</v>
      </c>
      <c r="E1069" s="16" t="s">
        <v>500</v>
      </c>
      <c r="F1069" s="17">
        <v>3</v>
      </c>
      <c r="G1069" s="17"/>
      <c r="H1069" s="17"/>
      <c r="I1069" s="17">
        <v>3</v>
      </c>
      <c r="J1069">
        <v>1068</v>
      </c>
    </row>
    <row r="1070" spans="1:10" ht="16.5" thickTop="1" x14ac:dyDescent="0.25">
      <c r="A1070" s="22">
        <v>47</v>
      </c>
      <c r="B1070" s="22" t="s">
        <v>504</v>
      </c>
      <c r="C1070" s="22" t="s">
        <v>513</v>
      </c>
      <c r="D1070" s="35" t="s">
        <v>2</v>
      </c>
      <c r="E1070" s="35" t="s">
        <v>148</v>
      </c>
      <c r="F1070" s="42">
        <v>1</v>
      </c>
      <c r="G1070" s="38">
        <v>25</v>
      </c>
      <c r="H1070" s="20"/>
      <c r="I1070" s="20"/>
      <c r="J1070" s="20">
        <v>1069</v>
      </c>
    </row>
    <row r="1071" spans="1:10" x14ac:dyDescent="0.25">
      <c r="A1071" s="22">
        <v>47</v>
      </c>
      <c r="B1071" s="22" t="s">
        <v>504</v>
      </c>
      <c r="C1071" s="22" t="s">
        <v>513</v>
      </c>
      <c r="D1071" s="35" t="s">
        <v>2</v>
      </c>
      <c r="E1071" s="35" t="s">
        <v>148</v>
      </c>
      <c r="F1071" s="42">
        <v>2</v>
      </c>
      <c r="G1071" s="38">
        <v>23</v>
      </c>
      <c r="H1071" s="20"/>
      <c r="I1071" s="20"/>
      <c r="J1071" s="20">
        <v>1070</v>
      </c>
    </row>
    <row r="1072" spans="1:10" x14ac:dyDescent="0.25">
      <c r="A1072" s="22">
        <v>47</v>
      </c>
      <c r="B1072" s="22" t="s">
        <v>504</v>
      </c>
      <c r="C1072" s="22" t="s">
        <v>513</v>
      </c>
      <c r="D1072" s="35" t="s">
        <v>2</v>
      </c>
      <c r="E1072" s="35" t="s">
        <v>148</v>
      </c>
      <c r="F1072" s="42">
        <v>3</v>
      </c>
      <c r="G1072" s="38">
        <v>17</v>
      </c>
      <c r="H1072" s="20"/>
      <c r="I1072" s="20"/>
      <c r="J1072" s="20">
        <v>1071</v>
      </c>
    </row>
    <row r="1073" spans="1:10" x14ac:dyDescent="0.25">
      <c r="A1073" s="22">
        <v>47</v>
      </c>
      <c r="B1073" s="22" t="s">
        <v>504</v>
      </c>
      <c r="C1073" s="22" t="s">
        <v>513</v>
      </c>
      <c r="D1073" s="35" t="s">
        <v>2</v>
      </c>
      <c r="E1073" s="35" t="s">
        <v>148</v>
      </c>
      <c r="F1073" s="42">
        <v>4</v>
      </c>
      <c r="G1073" s="38">
        <v>25</v>
      </c>
      <c r="H1073" s="20"/>
      <c r="I1073" s="20"/>
      <c r="J1073" s="20">
        <v>1072</v>
      </c>
    </row>
    <row r="1074" spans="1:10" x14ac:dyDescent="0.25">
      <c r="A1074" s="22">
        <v>47</v>
      </c>
      <c r="B1074" s="22" t="s">
        <v>504</v>
      </c>
      <c r="C1074" s="22" t="s">
        <v>513</v>
      </c>
      <c r="D1074" s="35" t="s">
        <v>2</v>
      </c>
      <c r="E1074" s="35" t="s">
        <v>148</v>
      </c>
      <c r="F1074" s="42">
        <v>5</v>
      </c>
      <c r="G1074" s="38">
        <v>48</v>
      </c>
      <c r="H1074" s="20"/>
      <c r="I1074" s="20"/>
      <c r="J1074" s="20">
        <v>1073</v>
      </c>
    </row>
    <row r="1075" spans="1:10" x14ac:dyDescent="0.25">
      <c r="A1075" s="22">
        <v>47</v>
      </c>
      <c r="B1075" s="22" t="s">
        <v>504</v>
      </c>
      <c r="C1075" s="22" t="s">
        <v>513</v>
      </c>
      <c r="D1075" s="35" t="s">
        <v>2</v>
      </c>
      <c r="E1075" s="35" t="s">
        <v>148</v>
      </c>
      <c r="F1075" s="42">
        <v>6</v>
      </c>
      <c r="G1075" s="38">
        <v>34</v>
      </c>
      <c r="H1075" s="20"/>
      <c r="I1075" s="20"/>
      <c r="J1075" s="20">
        <v>1074</v>
      </c>
    </row>
    <row r="1076" spans="1:10" x14ac:dyDescent="0.25">
      <c r="A1076" s="22">
        <v>47</v>
      </c>
      <c r="B1076" s="22" t="s">
        <v>504</v>
      </c>
      <c r="C1076" s="22" t="s">
        <v>513</v>
      </c>
      <c r="D1076" s="35" t="s">
        <v>2</v>
      </c>
      <c r="E1076" s="35" t="s">
        <v>148</v>
      </c>
      <c r="F1076" s="42">
        <v>7</v>
      </c>
      <c r="G1076" s="38">
        <v>29</v>
      </c>
      <c r="H1076" s="20"/>
      <c r="I1076" s="20"/>
      <c r="J1076" s="20">
        <v>1075</v>
      </c>
    </row>
    <row r="1077" spans="1:10" x14ac:dyDescent="0.25">
      <c r="A1077" s="22">
        <v>47</v>
      </c>
      <c r="B1077" s="22" t="s">
        <v>504</v>
      </c>
      <c r="C1077" s="22" t="s">
        <v>513</v>
      </c>
      <c r="D1077" s="35" t="s">
        <v>2</v>
      </c>
      <c r="E1077" s="35" t="s">
        <v>148</v>
      </c>
      <c r="F1077" s="42">
        <v>8</v>
      </c>
      <c r="G1077" s="38">
        <v>34</v>
      </c>
      <c r="H1077" s="20"/>
      <c r="I1077" s="20"/>
      <c r="J1077" s="20">
        <v>1076</v>
      </c>
    </row>
    <row r="1078" spans="1:10" x14ac:dyDescent="0.25">
      <c r="A1078" s="22">
        <v>47</v>
      </c>
      <c r="B1078" s="22" t="s">
        <v>504</v>
      </c>
      <c r="C1078" s="22" t="s">
        <v>513</v>
      </c>
      <c r="D1078" s="35" t="s">
        <v>2</v>
      </c>
      <c r="E1078" s="35" t="s">
        <v>148</v>
      </c>
      <c r="F1078" s="42">
        <v>9</v>
      </c>
      <c r="G1078" s="38">
        <v>38</v>
      </c>
      <c r="H1078" s="20"/>
      <c r="I1078" s="20"/>
      <c r="J1078" s="20">
        <v>1077</v>
      </c>
    </row>
    <row r="1079" spans="1:10" x14ac:dyDescent="0.25">
      <c r="A1079" s="22">
        <v>47</v>
      </c>
      <c r="B1079" s="22" t="s">
        <v>504</v>
      </c>
      <c r="C1079" s="22" t="s">
        <v>513</v>
      </c>
      <c r="D1079" s="35" t="s">
        <v>2</v>
      </c>
      <c r="E1079" s="35" t="s">
        <v>148</v>
      </c>
      <c r="F1079" s="42">
        <v>10</v>
      </c>
      <c r="G1079" s="38">
        <v>42</v>
      </c>
      <c r="H1079" s="20"/>
      <c r="I1079" s="20"/>
      <c r="J1079" s="20">
        <v>1078</v>
      </c>
    </row>
    <row r="1080" spans="1:10" x14ac:dyDescent="0.25">
      <c r="A1080" s="22">
        <v>47</v>
      </c>
      <c r="B1080" s="22" t="s">
        <v>504</v>
      </c>
      <c r="C1080" s="22" t="s">
        <v>513</v>
      </c>
      <c r="D1080" s="35" t="s">
        <v>2</v>
      </c>
      <c r="E1080" s="35" t="s">
        <v>148</v>
      </c>
      <c r="F1080" s="42">
        <v>11</v>
      </c>
      <c r="G1080" s="38">
        <v>30</v>
      </c>
      <c r="H1080" s="20"/>
      <c r="I1080" s="20"/>
      <c r="J1080" s="20">
        <v>1079</v>
      </c>
    </row>
    <row r="1081" spans="1:10" x14ac:dyDescent="0.25">
      <c r="A1081" s="22">
        <v>47</v>
      </c>
      <c r="B1081" s="22" t="s">
        <v>504</v>
      </c>
      <c r="C1081" s="22" t="s">
        <v>513</v>
      </c>
      <c r="D1081" s="35" t="s">
        <v>2</v>
      </c>
      <c r="E1081" s="35" t="s">
        <v>148</v>
      </c>
      <c r="F1081" s="42">
        <v>12</v>
      </c>
      <c r="G1081" s="38">
        <v>50</v>
      </c>
      <c r="H1081" s="20"/>
      <c r="I1081" s="20"/>
      <c r="J1081" s="20">
        <v>1080</v>
      </c>
    </row>
    <row r="1082" spans="1:10" x14ac:dyDescent="0.25">
      <c r="A1082" s="22">
        <v>47</v>
      </c>
      <c r="B1082" s="22" t="s">
        <v>504</v>
      </c>
      <c r="C1082" s="22" t="s">
        <v>513</v>
      </c>
      <c r="D1082" s="35" t="s">
        <v>2</v>
      </c>
      <c r="E1082" s="35" t="s">
        <v>148</v>
      </c>
      <c r="F1082" s="42">
        <v>13</v>
      </c>
      <c r="G1082" s="38">
        <v>58</v>
      </c>
      <c r="H1082" s="20"/>
      <c r="I1082" s="20"/>
      <c r="J1082" s="20">
        <v>1081</v>
      </c>
    </row>
    <row r="1083" spans="1:10" x14ac:dyDescent="0.25">
      <c r="A1083" s="22">
        <v>47</v>
      </c>
      <c r="B1083" s="22" t="s">
        <v>504</v>
      </c>
      <c r="C1083" s="22" t="s">
        <v>513</v>
      </c>
      <c r="D1083" s="35" t="s">
        <v>2</v>
      </c>
      <c r="E1083" s="35" t="s">
        <v>148</v>
      </c>
      <c r="F1083" s="42">
        <v>14</v>
      </c>
      <c r="G1083" s="38">
        <v>36</v>
      </c>
      <c r="H1083" s="20"/>
      <c r="I1083" s="20"/>
      <c r="J1083" s="20">
        <v>1082</v>
      </c>
    </row>
    <row r="1084" spans="1:10" x14ac:dyDescent="0.25">
      <c r="A1084" s="22">
        <v>47</v>
      </c>
      <c r="B1084" s="22" t="s">
        <v>504</v>
      </c>
      <c r="C1084" s="22" t="s">
        <v>513</v>
      </c>
      <c r="D1084" s="35" t="s">
        <v>2</v>
      </c>
      <c r="E1084" s="35" t="s">
        <v>148</v>
      </c>
      <c r="F1084" s="42">
        <v>15</v>
      </c>
      <c r="G1084" s="38">
        <v>39</v>
      </c>
      <c r="H1084" s="20"/>
      <c r="I1084" s="20"/>
      <c r="J1084" s="20">
        <v>1083</v>
      </c>
    </row>
    <row r="1085" spans="1:10" x14ac:dyDescent="0.25">
      <c r="A1085" s="22">
        <v>47</v>
      </c>
      <c r="B1085" s="22" t="s">
        <v>504</v>
      </c>
      <c r="C1085" s="22" t="s">
        <v>513</v>
      </c>
      <c r="D1085" s="35" t="s">
        <v>2</v>
      </c>
      <c r="E1085" s="35" t="s">
        <v>148</v>
      </c>
      <c r="F1085" s="42">
        <v>16</v>
      </c>
      <c r="G1085" s="38">
        <v>28</v>
      </c>
      <c r="H1085" s="20"/>
      <c r="I1085" s="20"/>
      <c r="J1085" s="20">
        <v>1084</v>
      </c>
    </row>
    <row r="1086" spans="1:10" x14ac:dyDescent="0.25">
      <c r="A1086" s="22">
        <v>47</v>
      </c>
      <c r="B1086" s="22" t="s">
        <v>504</v>
      </c>
      <c r="C1086" s="22" t="s">
        <v>513</v>
      </c>
      <c r="D1086" s="35" t="s">
        <v>2</v>
      </c>
      <c r="E1086" s="35" t="s">
        <v>148</v>
      </c>
      <c r="F1086" s="42">
        <v>17</v>
      </c>
      <c r="G1086" s="38">
        <v>27</v>
      </c>
      <c r="H1086" s="20"/>
      <c r="I1086" s="20"/>
      <c r="J1086" s="20">
        <v>1085</v>
      </c>
    </row>
    <row r="1087" spans="1:10" x14ac:dyDescent="0.25">
      <c r="A1087" s="22">
        <v>47</v>
      </c>
      <c r="B1087" s="22" t="s">
        <v>504</v>
      </c>
      <c r="C1087" s="22" t="s">
        <v>513</v>
      </c>
      <c r="D1087" s="35" t="s">
        <v>2</v>
      </c>
      <c r="E1087" s="35" t="s">
        <v>148</v>
      </c>
      <c r="F1087" s="42">
        <v>18</v>
      </c>
      <c r="G1087" s="38">
        <v>35</v>
      </c>
      <c r="H1087" s="20"/>
      <c r="I1087" s="20"/>
      <c r="J1087" s="20">
        <v>1086</v>
      </c>
    </row>
    <row r="1088" spans="1:10" x14ac:dyDescent="0.25">
      <c r="A1088" s="22">
        <v>47</v>
      </c>
      <c r="B1088" s="22" t="s">
        <v>504</v>
      </c>
      <c r="C1088" s="22" t="s">
        <v>513</v>
      </c>
      <c r="D1088" s="35" t="s">
        <v>2</v>
      </c>
      <c r="E1088" s="35" t="s">
        <v>148</v>
      </c>
      <c r="F1088" s="42">
        <v>19</v>
      </c>
      <c r="G1088" s="38">
        <v>30</v>
      </c>
      <c r="H1088" s="20"/>
      <c r="I1088" s="20"/>
      <c r="J1088" s="20">
        <v>1087</v>
      </c>
    </row>
    <row r="1089" spans="1:10" x14ac:dyDescent="0.25">
      <c r="A1089" s="22">
        <v>47</v>
      </c>
      <c r="B1089" s="22" t="s">
        <v>504</v>
      </c>
      <c r="C1089" s="22" t="s">
        <v>513</v>
      </c>
      <c r="D1089" s="35" t="s">
        <v>2</v>
      </c>
      <c r="E1089" s="35" t="s">
        <v>148</v>
      </c>
      <c r="F1089" s="42">
        <v>20</v>
      </c>
      <c r="G1089" s="38">
        <v>34</v>
      </c>
      <c r="H1089" s="20"/>
      <c r="I1089" s="20"/>
      <c r="J1089" s="20">
        <v>1088</v>
      </c>
    </row>
    <row r="1090" spans="1:10" x14ac:dyDescent="0.25">
      <c r="A1090" s="22">
        <v>47</v>
      </c>
      <c r="B1090" s="22" t="s">
        <v>504</v>
      </c>
      <c r="C1090" s="22" t="s">
        <v>513</v>
      </c>
      <c r="D1090" s="35" t="s">
        <v>2</v>
      </c>
      <c r="E1090" s="35" t="s">
        <v>148</v>
      </c>
      <c r="F1090" s="42">
        <v>21</v>
      </c>
      <c r="G1090" s="38">
        <v>46</v>
      </c>
      <c r="H1090" s="20"/>
      <c r="I1090" s="20"/>
      <c r="J1090" s="20">
        <v>1089</v>
      </c>
    </row>
    <row r="1091" spans="1:10" x14ac:dyDescent="0.25">
      <c r="A1091" s="22">
        <v>47</v>
      </c>
      <c r="B1091" s="22" t="s">
        <v>504</v>
      </c>
      <c r="C1091" s="22" t="s">
        <v>513</v>
      </c>
      <c r="D1091" s="35" t="s">
        <v>2</v>
      </c>
      <c r="E1091" s="35" t="s">
        <v>148</v>
      </c>
      <c r="F1091" s="42">
        <v>22</v>
      </c>
      <c r="G1091" s="38">
        <v>46</v>
      </c>
      <c r="H1091" s="20"/>
      <c r="I1091" s="20"/>
      <c r="J1091" s="20">
        <v>1090</v>
      </c>
    </row>
    <row r="1092" spans="1:10" x14ac:dyDescent="0.25">
      <c r="A1092" s="22">
        <v>47</v>
      </c>
      <c r="B1092" s="22" t="s">
        <v>504</v>
      </c>
      <c r="C1092" s="22" t="s">
        <v>513</v>
      </c>
      <c r="D1092" s="35" t="s">
        <v>2</v>
      </c>
      <c r="E1092" s="35" t="s">
        <v>148</v>
      </c>
      <c r="F1092" s="42">
        <v>23</v>
      </c>
      <c r="G1092" s="38">
        <v>39</v>
      </c>
      <c r="H1092" s="20"/>
      <c r="I1092" s="20"/>
      <c r="J1092" s="20">
        <v>1091</v>
      </c>
    </row>
    <row r="1093" spans="1:10" x14ac:dyDescent="0.25">
      <c r="A1093" s="22">
        <v>47</v>
      </c>
      <c r="B1093" s="22" t="s">
        <v>504</v>
      </c>
      <c r="C1093" s="22" t="s">
        <v>513</v>
      </c>
      <c r="D1093" s="35" t="s">
        <v>2</v>
      </c>
      <c r="E1093" s="35" t="s">
        <v>148</v>
      </c>
      <c r="F1093" s="42">
        <v>24</v>
      </c>
      <c r="G1093" s="38">
        <v>51</v>
      </c>
      <c r="H1093" s="20"/>
      <c r="I1093" s="20"/>
      <c r="J1093" s="20">
        <v>1092</v>
      </c>
    </row>
    <row r="1094" spans="1:10" x14ac:dyDescent="0.25">
      <c r="A1094" s="22">
        <v>47</v>
      </c>
      <c r="B1094" s="22" t="s">
        <v>504</v>
      </c>
      <c r="C1094" s="22" t="s">
        <v>513</v>
      </c>
      <c r="D1094" s="35" t="s">
        <v>2</v>
      </c>
      <c r="E1094" s="35" t="s">
        <v>148</v>
      </c>
      <c r="F1094" s="42">
        <v>25</v>
      </c>
      <c r="G1094" s="38">
        <v>46</v>
      </c>
      <c r="H1094" s="20"/>
      <c r="I1094" s="20"/>
      <c r="J1094" s="20">
        <v>1093</v>
      </c>
    </row>
    <row r="1095" spans="1:10" x14ac:dyDescent="0.25">
      <c r="A1095" s="22">
        <v>47</v>
      </c>
      <c r="B1095" s="22" t="s">
        <v>504</v>
      </c>
      <c r="C1095" s="22" t="s">
        <v>513</v>
      </c>
      <c r="D1095" s="35" t="s">
        <v>2</v>
      </c>
      <c r="E1095" s="35" t="s">
        <v>148</v>
      </c>
      <c r="F1095" s="42">
        <v>26</v>
      </c>
      <c r="G1095" s="38">
        <v>75</v>
      </c>
      <c r="H1095" s="20"/>
      <c r="I1095" s="20"/>
      <c r="J1095" s="20">
        <v>1094</v>
      </c>
    </row>
    <row r="1096" spans="1:10" x14ac:dyDescent="0.25">
      <c r="A1096" s="22">
        <v>47</v>
      </c>
      <c r="B1096" s="22" t="s">
        <v>504</v>
      </c>
      <c r="C1096" s="22" t="s">
        <v>513</v>
      </c>
      <c r="D1096" s="35" t="s">
        <v>2</v>
      </c>
      <c r="E1096" s="35" t="s">
        <v>148</v>
      </c>
      <c r="F1096" s="42">
        <v>27</v>
      </c>
      <c r="G1096" s="38">
        <v>66</v>
      </c>
      <c r="H1096" s="20"/>
      <c r="I1096" s="20"/>
      <c r="J1096" s="20">
        <v>1095</v>
      </c>
    </row>
    <row r="1097" spans="1:10" ht="16.5" thickBot="1" x14ac:dyDescent="0.3">
      <c r="A1097" s="22">
        <v>47</v>
      </c>
      <c r="B1097" s="22" t="s">
        <v>504</v>
      </c>
      <c r="C1097" s="22" t="s">
        <v>513</v>
      </c>
      <c r="D1097" s="36" t="s">
        <v>2</v>
      </c>
      <c r="E1097" s="36" t="s">
        <v>148</v>
      </c>
      <c r="F1097" s="41">
        <v>28</v>
      </c>
      <c r="G1097" s="39">
        <v>20</v>
      </c>
      <c r="H1097" s="23">
        <v>1071</v>
      </c>
      <c r="I1097" s="23">
        <v>28</v>
      </c>
      <c r="J1097" s="20">
        <v>1096</v>
      </c>
    </row>
    <row r="1098" spans="1:10" ht="16.5" thickTop="1" x14ac:dyDescent="0.25">
      <c r="A1098" s="18">
        <v>48</v>
      </c>
      <c r="B1098" s="18" t="s">
        <v>504</v>
      </c>
      <c r="C1098" s="18" t="s">
        <v>513</v>
      </c>
      <c r="D1098" s="35" t="s">
        <v>7</v>
      </c>
      <c r="E1098" s="35" t="s">
        <v>149</v>
      </c>
      <c r="F1098" s="42">
        <v>1</v>
      </c>
      <c r="G1098" s="38">
        <v>45</v>
      </c>
      <c r="J1098" s="19">
        <v>1097</v>
      </c>
    </row>
    <row r="1099" spans="1:10" x14ac:dyDescent="0.25">
      <c r="A1099" s="18">
        <v>48</v>
      </c>
      <c r="B1099" s="18" t="s">
        <v>504</v>
      </c>
      <c r="C1099" s="18" t="s">
        <v>513</v>
      </c>
      <c r="D1099" s="35" t="s">
        <v>7</v>
      </c>
      <c r="E1099" s="35" t="s">
        <v>149</v>
      </c>
      <c r="F1099" s="42">
        <v>2</v>
      </c>
      <c r="G1099" s="38">
        <v>28</v>
      </c>
      <c r="J1099" s="19">
        <v>1098</v>
      </c>
    </row>
    <row r="1100" spans="1:10" x14ac:dyDescent="0.25">
      <c r="A1100" s="18">
        <v>48</v>
      </c>
      <c r="B1100" s="18" t="s">
        <v>504</v>
      </c>
      <c r="C1100" s="18" t="s">
        <v>513</v>
      </c>
      <c r="D1100" s="35" t="s">
        <v>7</v>
      </c>
      <c r="E1100" s="35" t="s">
        <v>149</v>
      </c>
      <c r="F1100" s="42">
        <v>3</v>
      </c>
      <c r="G1100" s="38">
        <v>35</v>
      </c>
      <c r="J1100" s="19">
        <v>1099</v>
      </c>
    </row>
    <row r="1101" spans="1:10" x14ac:dyDescent="0.25">
      <c r="A1101" s="18">
        <v>48</v>
      </c>
      <c r="B1101" s="18" t="s">
        <v>504</v>
      </c>
      <c r="C1101" s="18" t="s">
        <v>513</v>
      </c>
      <c r="D1101" s="35" t="s">
        <v>7</v>
      </c>
      <c r="E1101" s="35" t="s">
        <v>149</v>
      </c>
      <c r="F1101" s="42">
        <v>4</v>
      </c>
      <c r="G1101" s="38">
        <v>41</v>
      </c>
      <c r="J1101" s="19">
        <v>1100</v>
      </c>
    </row>
    <row r="1102" spans="1:10" x14ac:dyDescent="0.25">
      <c r="A1102" s="18">
        <v>48</v>
      </c>
      <c r="B1102" s="18" t="s">
        <v>504</v>
      </c>
      <c r="C1102" s="18" t="s">
        <v>513</v>
      </c>
      <c r="D1102" s="35" t="s">
        <v>7</v>
      </c>
      <c r="E1102" s="35" t="s">
        <v>149</v>
      </c>
      <c r="F1102" s="42">
        <v>5</v>
      </c>
      <c r="G1102" s="38">
        <v>43</v>
      </c>
      <c r="J1102" s="19">
        <v>1101</v>
      </c>
    </row>
    <row r="1103" spans="1:10" x14ac:dyDescent="0.25">
      <c r="A1103" s="18">
        <v>48</v>
      </c>
      <c r="B1103" s="18" t="s">
        <v>504</v>
      </c>
      <c r="C1103" s="18" t="s">
        <v>513</v>
      </c>
      <c r="D1103" s="35" t="s">
        <v>7</v>
      </c>
      <c r="E1103" s="35" t="s">
        <v>149</v>
      </c>
      <c r="F1103" s="42">
        <v>6</v>
      </c>
      <c r="G1103" s="38">
        <v>56</v>
      </c>
      <c r="J1103" s="19">
        <v>1102</v>
      </c>
    </row>
    <row r="1104" spans="1:10" x14ac:dyDescent="0.25">
      <c r="A1104" s="18">
        <v>48</v>
      </c>
      <c r="B1104" s="18" t="s">
        <v>504</v>
      </c>
      <c r="C1104" s="18" t="s">
        <v>513</v>
      </c>
      <c r="D1104" s="35" t="s">
        <v>7</v>
      </c>
      <c r="E1104" s="35" t="s">
        <v>149</v>
      </c>
      <c r="F1104" s="42">
        <v>7</v>
      </c>
      <c r="G1104" s="38">
        <v>37</v>
      </c>
      <c r="J1104" s="19">
        <v>1103</v>
      </c>
    </row>
    <row r="1105" spans="1:10" x14ac:dyDescent="0.25">
      <c r="A1105" s="18">
        <v>48</v>
      </c>
      <c r="B1105" s="18" t="s">
        <v>504</v>
      </c>
      <c r="C1105" s="18" t="s">
        <v>513</v>
      </c>
      <c r="D1105" s="35" t="s">
        <v>7</v>
      </c>
      <c r="E1105" s="35" t="s">
        <v>149</v>
      </c>
      <c r="F1105" s="42">
        <v>8</v>
      </c>
      <c r="G1105" s="38">
        <v>38</v>
      </c>
      <c r="J1105" s="19">
        <v>1104</v>
      </c>
    </row>
    <row r="1106" spans="1:10" x14ac:dyDescent="0.25">
      <c r="A1106" s="22">
        <v>48</v>
      </c>
      <c r="B1106" s="22" t="s">
        <v>504</v>
      </c>
      <c r="C1106" s="22" t="s">
        <v>513</v>
      </c>
      <c r="D1106" s="35" t="s">
        <v>7</v>
      </c>
      <c r="E1106" s="35" t="s">
        <v>149</v>
      </c>
      <c r="F1106" s="42">
        <v>9</v>
      </c>
      <c r="G1106" s="38">
        <v>50</v>
      </c>
      <c r="H1106" s="20"/>
      <c r="I1106" s="20"/>
      <c r="J1106" s="20">
        <v>1105</v>
      </c>
    </row>
    <row r="1107" spans="1:10" x14ac:dyDescent="0.25">
      <c r="A1107" s="22">
        <v>48</v>
      </c>
      <c r="B1107" s="22" t="s">
        <v>504</v>
      </c>
      <c r="C1107" s="22" t="s">
        <v>513</v>
      </c>
      <c r="D1107" s="35" t="s">
        <v>7</v>
      </c>
      <c r="E1107" s="35" t="s">
        <v>149</v>
      </c>
      <c r="F1107" s="40">
        <v>10</v>
      </c>
      <c r="G1107" s="38">
        <v>52</v>
      </c>
      <c r="H1107" s="20"/>
      <c r="I1107" s="20"/>
      <c r="J1107" s="20">
        <v>1106</v>
      </c>
    </row>
    <row r="1108" spans="1:10" x14ac:dyDescent="0.25">
      <c r="A1108" s="22">
        <v>48</v>
      </c>
      <c r="B1108" s="22" t="s">
        <v>504</v>
      </c>
      <c r="C1108" s="22" t="s">
        <v>513</v>
      </c>
      <c r="D1108" s="35" t="s">
        <v>7</v>
      </c>
      <c r="E1108" s="35" t="s">
        <v>149</v>
      </c>
      <c r="F1108" s="40">
        <v>11</v>
      </c>
      <c r="G1108" s="38">
        <v>33</v>
      </c>
      <c r="H1108" s="20"/>
      <c r="I1108" s="20"/>
      <c r="J1108" s="20">
        <v>1107</v>
      </c>
    </row>
    <row r="1109" spans="1:10" x14ac:dyDescent="0.25">
      <c r="A1109" s="22">
        <v>48</v>
      </c>
      <c r="B1109" s="22" t="s">
        <v>504</v>
      </c>
      <c r="C1109" s="22" t="s">
        <v>513</v>
      </c>
      <c r="D1109" s="35" t="s">
        <v>7</v>
      </c>
      <c r="E1109" s="35" t="s">
        <v>149</v>
      </c>
      <c r="F1109" s="40">
        <v>12</v>
      </c>
      <c r="G1109" s="38">
        <v>44</v>
      </c>
      <c r="H1109" s="20"/>
      <c r="I1109" s="20"/>
      <c r="J1109" s="20">
        <v>1108</v>
      </c>
    </row>
    <row r="1110" spans="1:10" x14ac:dyDescent="0.25">
      <c r="A1110" s="22">
        <v>48</v>
      </c>
      <c r="B1110" s="22" t="s">
        <v>504</v>
      </c>
      <c r="C1110" s="22" t="s">
        <v>513</v>
      </c>
      <c r="D1110" s="35" t="s">
        <v>7</v>
      </c>
      <c r="E1110" s="35" t="s">
        <v>149</v>
      </c>
      <c r="F1110" s="40">
        <v>13</v>
      </c>
      <c r="G1110" s="38">
        <v>37</v>
      </c>
      <c r="H1110" s="20"/>
      <c r="I1110" s="20"/>
      <c r="J1110" s="20">
        <v>1109</v>
      </c>
    </row>
    <row r="1111" spans="1:10" x14ac:dyDescent="0.25">
      <c r="A1111" s="22">
        <v>48</v>
      </c>
      <c r="B1111" s="22" t="s">
        <v>504</v>
      </c>
      <c r="C1111" s="22" t="s">
        <v>513</v>
      </c>
      <c r="D1111" s="35" t="s">
        <v>7</v>
      </c>
      <c r="E1111" s="35" t="s">
        <v>149</v>
      </c>
      <c r="F1111" s="40">
        <v>14</v>
      </c>
      <c r="G1111" s="38">
        <v>72</v>
      </c>
      <c r="H1111" s="20"/>
      <c r="I1111" s="20"/>
      <c r="J1111" s="20">
        <v>1110</v>
      </c>
    </row>
    <row r="1112" spans="1:10" x14ac:dyDescent="0.25">
      <c r="A1112" s="22">
        <v>48</v>
      </c>
      <c r="B1112" s="22" t="s">
        <v>504</v>
      </c>
      <c r="C1112" s="22" t="s">
        <v>513</v>
      </c>
      <c r="D1112" s="35" t="s">
        <v>7</v>
      </c>
      <c r="E1112" s="35" t="s">
        <v>149</v>
      </c>
      <c r="F1112" s="40">
        <v>15</v>
      </c>
      <c r="G1112" s="38">
        <v>47</v>
      </c>
      <c r="H1112" s="20"/>
      <c r="I1112" s="20"/>
      <c r="J1112" s="20">
        <v>1111</v>
      </c>
    </row>
    <row r="1113" spans="1:10" ht="16.5" thickBot="1" x14ac:dyDescent="0.3">
      <c r="A1113" s="22">
        <v>48</v>
      </c>
      <c r="B1113" s="22" t="s">
        <v>504</v>
      </c>
      <c r="C1113" s="22" t="s">
        <v>513</v>
      </c>
      <c r="D1113" s="36" t="s">
        <v>7</v>
      </c>
      <c r="E1113" s="36" t="s">
        <v>149</v>
      </c>
      <c r="F1113" s="41">
        <v>16</v>
      </c>
      <c r="G1113" s="39">
        <v>20</v>
      </c>
      <c r="H1113" s="23">
        <v>678</v>
      </c>
      <c r="I1113" s="23">
        <v>16</v>
      </c>
      <c r="J1113" s="20">
        <v>1112</v>
      </c>
    </row>
    <row r="1114" spans="1:10" ht="16.5" thickTop="1" x14ac:dyDescent="0.25">
      <c r="A1114" s="18">
        <v>49</v>
      </c>
      <c r="B1114" s="18" t="s">
        <v>504</v>
      </c>
      <c r="C1114" s="18" t="s">
        <v>513</v>
      </c>
      <c r="D1114" s="35" t="s">
        <v>8</v>
      </c>
      <c r="E1114" s="35" t="s">
        <v>150</v>
      </c>
      <c r="F1114" s="40">
        <v>1</v>
      </c>
      <c r="G1114" s="38">
        <v>80</v>
      </c>
      <c r="J1114" s="19">
        <v>1113</v>
      </c>
    </row>
    <row r="1115" spans="1:10" x14ac:dyDescent="0.25">
      <c r="A1115" s="18">
        <v>49</v>
      </c>
      <c r="B1115" s="18" t="s">
        <v>504</v>
      </c>
      <c r="C1115" s="18" t="s">
        <v>513</v>
      </c>
      <c r="D1115" s="35" t="s">
        <v>8</v>
      </c>
      <c r="E1115" s="35" t="s">
        <v>150</v>
      </c>
      <c r="F1115" s="40">
        <v>2</v>
      </c>
      <c r="G1115" s="38">
        <v>52</v>
      </c>
      <c r="J1115" s="19">
        <v>1114</v>
      </c>
    </row>
    <row r="1116" spans="1:10" x14ac:dyDescent="0.25">
      <c r="A1116" s="18">
        <v>49</v>
      </c>
      <c r="B1116" s="18" t="s">
        <v>504</v>
      </c>
      <c r="C1116" s="18" t="s">
        <v>513</v>
      </c>
      <c r="D1116" s="35" t="s">
        <v>8</v>
      </c>
      <c r="E1116" s="35" t="s">
        <v>150</v>
      </c>
      <c r="F1116" s="40">
        <v>3</v>
      </c>
      <c r="G1116" s="38">
        <v>38</v>
      </c>
      <c r="J1116" s="19">
        <v>1115</v>
      </c>
    </row>
    <row r="1117" spans="1:10" x14ac:dyDescent="0.25">
      <c r="A1117" s="18">
        <v>49</v>
      </c>
      <c r="B1117" s="18" t="s">
        <v>504</v>
      </c>
      <c r="C1117" s="18" t="s">
        <v>513</v>
      </c>
      <c r="D1117" s="35" t="s">
        <v>8</v>
      </c>
      <c r="E1117" s="35" t="s">
        <v>150</v>
      </c>
      <c r="F1117" s="40">
        <v>4</v>
      </c>
      <c r="G1117" s="38">
        <v>44</v>
      </c>
      <c r="J1117" s="19">
        <v>1116</v>
      </c>
    </row>
    <row r="1118" spans="1:10" x14ac:dyDescent="0.25">
      <c r="A1118" s="18">
        <v>49</v>
      </c>
      <c r="B1118" s="18" t="s">
        <v>504</v>
      </c>
      <c r="C1118" s="18" t="s">
        <v>513</v>
      </c>
      <c r="D1118" s="35" t="s">
        <v>8</v>
      </c>
      <c r="E1118" s="35" t="s">
        <v>150</v>
      </c>
      <c r="F1118" s="40">
        <v>5</v>
      </c>
      <c r="G1118" s="38">
        <v>39</v>
      </c>
      <c r="J1118" s="19">
        <v>1117</v>
      </c>
    </row>
    <row r="1119" spans="1:10" x14ac:dyDescent="0.25">
      <c r="A1119" s="18">
        <v>49</v>
      </c>
      <c r="B1119" s="18" t="s">
        <v>504</v>
      </c>
      <c r="C1119" s="18" t="s">
        <v>513</v>
      </c>
      <c r="D1119" s="35" t="s">
        <v>8</v>
      </c>
      <c r="E1119" s="35" t="s">
        <v>150</v>
      </c>
      <c r="F1119" s="40">
        <v>6</v>
      </c>
      <c r="G1119" s="38">
        <v>49</v>
      </c>
      <c r="J1119" s="19">
        <v>1118</v>
      </c>
    </row>
    <row r="1120" spans="1:10" x14ac:dyDescent="0.25">
      <c r="A1120" s="18">
        <v>49</v>
      </c>
      <c r="B1120" s="18" t="s">
        <v>504</v>
      </c>
      <c r="C1120" s="18" t="s">
        <v>513</v>
      </c>
      <c r="D1120" s="35" t="s">
        <v>8</v>
      </c>
      <c r="E1120" s="35" t="s">
        <v>150</v>
      </c>
      <c r="F1120" s="40">
        <v>7</v>
      </c>
      <c r="G1120" s="38">
        <v>50</v>
      </c>
      <c r="J1120" s="19">
        <v>1119</v>
      </c>
    </row>
    <row r="1121" spans="1:10" x14ac:dyDescent="0.25">
      <c r="A1121" s="18">
        <v>49</v>
      </c>
      <c r="B1121" s="18" t="s">
        <v>504</v>
      </c>
      <c r="C1121" s="18" t="s">
        <v>513</v>
      </c>
      <c r="D1121" s="35" t="s">
        <v>8</v>
      </c>
      <c r="E1121" s="35" t="s">
        <v>150</v>
      </c>
      <c r="F1121" s="40">
        <v>8</v>
      </c>
      <c r="G1121" s="38">
        <v>56</v>
      </c>
      <c r="J1121" s="19">
        <v>1120</v>
      </c>
    </row>
    <row r="1122" spans="1:10" x14ac:dyDescent="0.25">
      <c r="A1122" s="18">
        <v>49</v>
      </c>
      <c r="B1122" s="18" t="s">
        <v>504</v>
      </c>
      <c r="C1122" s="18" t="s">
        <v>513</v>
      </c>
      <c r="D1122" s="35" t="s">
        <v>8</v>
      </c>
      <c r="E1122" s="35" t="s">
        <v>150</v>
      </c>
      <c r="F1122" s="40">
        <v>9</v>
      </c>
      <c r="G1122" s="38">
        <v>62</v>
      </c>
      <c r="J1122" s="19">
        <v>1121</v>
      </c>
    </row>
    <row r="1123" spans="1:10" x14ac:dyDescent="0.25">
      <c r="A1123" s="18">
        <v>49</v>
      </c>
      <c r="B1123" s="18" t="s">
        <v>504</v>
      </c>
      <c r="C1123" s="18" t="s">
        <v>513</v>
      </c>
      <c r="D1123" s="35" t="s">
        <v>8</v>
      </c>
      <c r="E1123" s="35" t="s">
        <v>150</v>
      </c>
      <c r="F1123" s="40">
        <v>10</v>
      </c>
      <c r="G1123" s="38">
        <v>42</v>
      </c>
      <c r="J1123" s="19">
        <v>1122</v>
      </c>
    </row>
    <row r="1124" spans="1:10" x14ac:dyDescent="0.25">
      <c r="A1124" s="18">
        <v>49</v>
      </c>
      <c r="B1124" s="18" t="s">
        <v>504</v>
      </c>
      <c r="C1124" s="18" t="s">
        <v>513</v>
      </c>
      <c r="D1124" s="35" t="s">
        <v>8</v>
      </c>
      <c r="E1124" s="35" t="s">
        <v>150</v>
      </c>
      <c r="F1124" s="40">
        <v>11</v>
      </c>
      <c r="G1124" s="38">
        <v>54</v>
      </c>
      <c r="J1124" s="19">
        <v>1123</v>
      </c>
    </row>
    <row r="1125" spans="1:10" x14ac:dyDescent="0.25">
      <c r="A1125" s="22">
        <v>49</v>
      </c>
      <c r="B1125" s="22" t="s">
        <v>504</v>
      </c>
      <c r="C1125" s="22" t="s">
        <v>513</v>
      </c>
      <c r="D1125" s="35" t="s">
        <v>8</v>
      </c>
      <c r="E1125" s="35" t="s">
        <v>150</v>
      </c>
      <c r="F1125" s="40">
        <v>12</v>
      </c>
      <c r="G1125" s="38">
        <v>59</v>
      </c>
      <c r="H1125" s="20"/>
      <c r="I1125" s="20"/>
      <c r="J1125" s="20">
        <v>1124</v>
      </c>
    </row>
    <row r="1126" spans="1:10" x14ac:dyDescent="0.25">
      <c r="A1126" s="22">
        <v>49</v>
      </c>
      <c r="B1126" s="22" t="s">
        <v>504</v>
      </c>
      <c r="C1126" s="22" t="s">
        <v>513</v>
      </c>
      <c r="D1126" s="35" t="s">
        <v>8</v>
      </c>
      <c r="E1126" s="35" t="s">
        <v>150</v>
      </c>
      <c r="F1126" s="40">
        <v>13</v>
      </c>
      <c r="G1126" s="38">
        <v>35</v>
      </c>
      <c r="H1126" s="20"/>
      <c r="I1126" s="20"/>
      <c r="J1126" s="20">
        <v>1125</v>
      </c>
    </row>
    <row r="1127" spans="1:10" x14ac:dyDescent="0.25">
      <c r="A1127" s="22">
        <v>49</v>
      </c>
      <c r="B1127" s="22" t="s">
        <v>504</v>
      </c>
      <c r="C1127" s="22" t="s">
        <v>513</v>
      </c>
      <c r="D1127" s="35" t="s">
        <v>8</v>
      </c>
      <c r="E1127" s="35" t="s">
        <v>150</v>
      </c>
      <c r="F1127" s="40">
        <v>14</v>
      </c>
      <c r="G1127" s="38">
        <v>35</v>
      </c>
      <c r="H1127" s="20"/>
      <c r="I1127" s="20"/>
      <c r="J1127" s="20">
        <v>1126</v>
      </c>
    </row>
    <row r="1128" spans="1:10" x14ac:dyDescent="0.25">
      <c r="A1128" s="22">
        <v>49</v>
      </c>
      <c r="B1128" s="22" t="s">
        <v>504</v>
      </c>
      <c r="C1128" s="22" t="s">
        <v>513</v>
      </c>
      <c r="D1128" s="35" t="s">
        <v>8</v>
      </c>
      <c r="E1128" s="35" t="s">
        <v>150</v>
      </c>
      <c r="F1128" s="40">
        <v>15</v>
      </c>
      <c r="G1128" s="38">
        <v>32</v>
      </c>
      <c r="H1128" s="20"/>
      <c r="I1128" s="20"/>
      <c r="J1128" s="20">
        <v>1127</v>
      </c>
    </row>
    <row r="1129" spans="1:10" x14ac:dyDescent="0.25">
      <c r="A1129" s="22">
        <v>49</v>
      </c>
      <c r="B1129" s="22" t="s">
        <v>504</v>
      </c>
      <c r="C1129" s="22" t="s">
        <v>513</v>
      </c>
      <c r="D1129" s="35" t="s">
        <v>8</v>
      </c>
      <c r="E1129" s="35" t="s">
        <v>150</v>
      </c>
      <c r="F1129" s="40">
        <v>16</v>
      </c>
      <c r="G1129" s="38">
        <v>31</v>
      </c>
      <c r="H1129" s="20"/>
      <c r="I1129" s="20"/>
      <c r="J1129" s="20">
        <v>1128</v>
      </c>
    </row>
    <row r="1130" spans="1:10" x14ac:dyDescent="0.25">
      <c r="A1130" s="22">
        <v>49</v>
      </c>
      <c r="B1130" s="22" t="s">
        <v>504</v>
      </c>
      <c r="C1130" s="22" t="s">
        <v>513</v>
      </c>
      <c r="D1130" s="35" t="s">
        <v>8</v>
      </c>
      <c r="E1130" s="35" t="s">
        <v>150</v>
      </c>
      <c r="F1130" s="40">
        <v>17</v>
      </c>
      <c r="G1130" s="38">
        <v>37</v>
      </c>
      <c r="H1130" s="20"/>
      <c r="I1130" s="20"/>
      <c r="J1130" s="20">
        <v>1129</v>
      </c>
    </row>
    <row r="1131" spans="1:10" x14ac:dyDescent="0.25">
      <c r="A1131" s="22">
        <v>49</v>
      </c>
      <c r="B1131" s="22" t="s">
        <v>504</v>
      </c>
      <c r="C1131" s="22" t="s">
        <v>513</v>
      </c>
      <c r="D1131" s="35" t="s">
        <v>8</v>
      </c>
      <c r="E1131" s="35" t="s">
        <v>150</v>
      </c>
      <c r="F1131" s="40">
        <v>18</v>
      </c>
      <c r="G1131" s="38">
        <v>43</v>
      </c>
      <c r="H1131" s="20"/>
      <c r="I1131" s="20"/>
      <c r="J1131" s="20">
        <v>1130</v>
      </c>
    </row>
    <row r="1132" spans="1:10" x14ac:dyDescent="0.25">
      <c r="A1132" s="22">
        <v>49</v>
      </c>
      <c r="B1132" s="22" t="s">
        <v>504</v>
      </c>
      <c r="C1132" s="22" t="s">
        <v>513</v>
      </c>
      <c r="D1132" s="35" t="s">
        <v>8</v>
      </c>
      <c r="E1132" s="35" t="s">
        <v>150</v>
      </c>
      <c r="F1132" s="40">
        <v>19</v>
      </c>
      <c r="G1132" s="38">
        <v>48</v>
      </c>
      <c r="H1132" s="20"/>
      <c r="I1132" s="20"/>
      <c r="J1132" s="20">
        <v>1131</v>
      </c>
    </row>
    <row r="1133" spans="1:10" x14ac:dyDescent="0.25">
      <c r="A1133" s="22">
        <v>49</v>
      </c>
      <c r="B1133" s="22" t="s">
        <v>504</v>
      </c>
      <c r="C1133" s="22" t="s">
        <v>513</v>
      </c>
      <c r="D1133" s="35" t="s">
        <v>8</v>
      </c>
      <c r="E1133" s="35" t="s">
        <v>150</v>
      </c>
      <c r="F1133" s="40">
        <v>20</v>
      </c>
      <c r="G1133" s="38">
        <v>47</v>
      </c>
      <c r="H1133" s="20"/>
      <c r="I1133" s="20"/>
      <c r="J1133" s="20">
        <v>1132</v>
      </c>
    </row>
    <row r="1134" spans="1:10" x14ac:dyDescent="0.25">
      <c r="A1134" s="18">
        <v>49</v>
      </c>
      <c r="B1134" s="18" t="s">
        <v>504</v>
      </c>
      <c r="C1134" s="18" t="s">
        <v>513</v>
      </c>
      <c r="D1134" s="35" t="s">
        <v>8</v>
      </c>
      <c r="E1134" s="35" t="s">
        <v>150</v>
      </c>
      <c r="F1134" s="40">
        <v>21</v>
      </c>
      <c r="G1134" s="38">
        <v>38</v>
      </c>
      <c r="J1134" s="19">
        <v>1133</v>
      </c>
    </row>
    <row r="1135" spans="1:10" x14ac:dyDescent="0.25">
      <c r="A1135" s="18">
        <v>49</v>
      </c>
      <c r="B1135" s="18" t="s">
        <v>504</v>
      </c>
      <c r="C1135" s="18" t="s">
        <v>513</v>
      </c>
      <c r="D1135" s="35" t="s">
        <v>8</v>
      </c>
      <c r="E1135" s="35" t="s">
        <v>150</v>
      </c>
      <c r="F1135" s="40">
        <v>22</v>
      </c>
      <c r="G1135" s="38">
        <v>71</v>
      </c>
      <c r="J1135" s="19">
        <v>1134</v>
      </c>
    </row>
    <row r="1136" spans="1:10" x14ac:dyDescent="0.25">
      <c r="A1136" s="18">
        <v>49</v>
      </c>
      <c r="B1136" s="18" t="s">
        <v>504</v>
      </c>
      <c r="C1136" s="18" t="s">
        <v>513</v>
      </c>
      <c r="D1136" s="35" t="s">
        <v>8</v>
      </c>
      <c r="E1136" s="35" t="s">
        <v>150</v>
      </c>
      <c r="F1136" s="40">
        <v>23</v>
      </c>
      <c r="G1136" s="38">
        <v>56</v>
      </c>
      <c r="J1136" s="19">
        <v>1135</v>
      </c>
    </row>
    <row r="1137" spans="1:10" ht="16.5" thickBot="1" x14ac:dyDescent="0.3">
      <c r="A1137" s="18">
        <v>49</v>
      </c>
      <c r="B1137" s="18" t="s">
        <v>504</v>
      </c>
      <c r="C1137" s="18" t="s">
        <v>513</v>
      </c>
      <c r="D1137" s="36" t="s">
        <v>8</v>
      </c>
      <c r="E1137" s="36" t="s">
        <v>150</v>
      </c>
      <c r="F1137" s="41">
        <v>24</v>
      </c>
      <c r="G1137" s="39">
        <v>53</v>
      </c>
      <c r="H1137" s="21">
        <v>1151</v>
      </c>
      <c r="I1137" s="21">
        <v>24</v>
      </c>
      <c r="J1137" s="19">
        <v>1136</v>
      </c>
    </row>
    <row r="1138" spans="1:10" ht="16.5" thickTop="1" x14ac:dyDescent="0.25">
      <c r="A1138" s="22">
        <v>50</v>
      </c>
      <c r="B1138" s="22" t="s">
        <v>504</v>
      </c>
      <c r="C1138" s="22" t="s">
        <v>513</v>
      </c>
      <c r="D1138" s="35" t="s">
        <v>9</v>
      </c>
      <c r="E1138" s="35" t="s">
        <v>151</v>
      </c>
      <c r="F1138" s="40">
        <v>1</v>
      </c>
      <c r="G1138" s="38">
        <v>51</v>
      </c>
      <c r="H1138" s="20"/>
      <c r="I1138" s="20"/>
      <c r="J1138" s="20">
        <v>1137</v>
      </c>
    </row>
    <row r="1139" spans="1:10" x14ac:dyDescent="0.25">
      <c r="A1139" s="22">
        <v>50</v>
      </c>
      <c r="B1139" s="22" t="s">
        <v>504</v>
      </c>
      <c r="C1139" s="22" t="s">
        <v>513</v>
      </c>
      <c r="D1139" s="35" t="s">
        <v>9</v>
      </c>
      <c r="E1139" s="35" t="s">
        <v>151</v>
      </c>
      <c r="F1139" s="40">
        <v>2</v>
      </c>
      <c r="G1139" s="38">
        <v>25</v>
      </c>
      <c r="H1139" s="20"/>
      <c r="I1139" s="20"/>
      <c r="J1139" s="20">
        <v>1138</v>
      </c>
    </row>
    <row r="1140" spans="1:10" x14ac:dyDescent="0.25">
      <c r="A1140" s="22">
        <v>50</v>
      </c>
      <c r="B1140" s="22" t="s">
        <v>504</v>
      </c>
      <c r="C1140" s="22" t="s">
        <v>513</v>
      </c>
      <c r="D1140" s="35" t="s">
        <v>9</v>
      </c>
      <c r="E1140" s="35" t="s">
        <v>151</v>
      </c>
      <c r="F1140" s="40">
        <v>3</v>
      </c>
      <c r="G1140" s="38">
        <v>36</v>
      </c>
      <c r="H1140" s="20"/>
      <c r="I1140" s="20"/>
      <c r="J1140" s="20">
        <v>1139</v>
      </c>
    </row>
    <row r="1141" spans="1:10" x14ac:dyDescent="0.25">
      <c r="A1141" s="22">
        <v>50</v>
      </c>
      <c r="B1141" s="22" t="s">
        <v>504</v>
      </c>
      <c r="C1141" s="22" t="s">
        <v>513</v>
      </c>
      <c r="D1141" s="35" t="s">
        <v>9</v>
      </c>
      <c r="E1141" s="35" t="s">
        <v>151</v>
      </c>
      <c r="F1141" s="40">
        <v>4</v>
      </c>
      <c r="G1141" s="38">
        <v>54</v>
      </c>
      <c r="H1141" s="20"/>
      <c r="I1141" s="20"/>
      <c r="J1141" s="20">
        <v>1140</v>
      </c>
    </row>
    <row r="1142" spans="1:10" x14ac:dyDescent="0.25">
      <c r="A1142" s="22">
        <v>50</v>
      </c>
      <c r="B1142" s="22" t="s">
        <v>504</v>
      </c>
      <c r="C1142" s="22" t="s">
        <v>513</v>
      </c>
      <c r="D1142" s="35" t="s">
        <v>9</v>
      </c>
      <c r="E1142" s="35" t="s">
        <v>151</v>
      </c>
      <c r="F1142" s="40">
        <v>5</v>
      </c>
      <c r="G1142" s="38">
        <v>47</v>
      </c>
      <c r="H1142" s="20"/>
      <c r="I1142" s="20"/>
      <c r="J1142" s="20">
        <v>1141</v>
      </c>
    </row>
    <row r="1143" spans="1:10" x14ac:dyDescent="0.25">
      <c r="A1143" s="22">
        <v>50</v>
      </c>
      <c r="B1143" s="22" t="s">
        <v>504</v>
      </c>
      <c r="C1143" s="22" t="s">
        <v>513</v>
      </c>
      <c r="D1143" s="35" t="s">
        <v>9</v>
      </c>
      <c r="E1143" s="35" t="s">
        <v>151</v>
      </c>
      <c r="F1143" s="40">
        <v>6</v>
      </c>
      <c r="G1143" s="38">
        <v>71</v>
      </c>
      <c r="H1143" s="20"/>
      <c r="I1143" s="20"/>
      <c r="J1143" s="20">
        <v>1142</v>
      </c>
    </row>
    <row r="1144" spans="1:10" x14ac:dyDescent="0.25">
      <c r="A1144" s="22">
        <v>50</v>
      </c>
      <c r="B1144" s="22" t="s">
        <v>504</v>
      </c>
      <c r="C1144" s="22" t="s">
        <v>513</v>
      </c>
      <c r="D1144" s="35" t="s">
        <v>9</v>
      </c>
      <c r="E1144" s="35" t="s">
        <v>151</v>
      </c>
      <c r="F1144" s="40">
        <v>7</v>
      </c>
      <c r="G1144" s="38">
        <v>53</v>
      </c>
      <c r="H1144" s="20"/>
      <c r="I1144" s="20"/>
      <c r="J1144" s="20">
        <v>1143</v>
      </c>
    </row>
    <row r="1145" spans="1:10" x14ac:dyDescent="0.25">
      <c r="A1145" s="22">
        <v>50</v>
      </c>
      <c r="B1145" s="22" t="s">
        <v>504</v>
      </c>
      <c r="C1145" s="22" t="s">
        <v>513</v>
      </c>
      <c r="D1145" s="35" t="s">
        <v>9</v>
      </c>
      <c r="E1145" s="35" t="s">
        <v>151</v>
      </c>
      <c r="F1145" s="40">
        <v>8</v>
      </c>
      <c r="G1145" s="38">
        <v>59</v>
      </c>
      <c r="H1145" s="20"/>
      <c r="I1145" s="20"/>
      <c r="J1145" s="20">
        <v>1144</v>
      </c>
    </row>
    <row r="1146" spans="1:10" x14ac:dyDescent="0.25">
      <c r="A1146" s="22">
        <v>50</v>
      </c>
      <c r="B1146" s="22" t="s">
        <v>504</v>
      </c>
      <c r="C1146" s="22" t="s">
        <v>513</v>
      </c>
      <c r="D1146" s="35" t="s">
        <v>9</v>
      </c>
      <c r="E1146" s="35" t="s">
        <v>151</v>
      </c>
      <c r="F1146" s="40">
        <v>9</v>
      </c>
      <c r="G1146" s="38">
        <v>41</v>
      </c>
      <c r="H1146" s="20"/>
      <c r="I1146" s="20"/>
      <c r="J1146" s="20">
        <v>1145</v>
      </c>
    </row>
    <row r="1147" spans="1:10" x14ac:dyDescent="0.25">
      <c r="A1147" s="22">
        <v>50</v>
      </c>
      <c r="B1147" s="22" t="s">
        <v>504</v>
      </c>
      <c r="C1147" s="22" t="s">
        <v>513</v>
      </c>
      <c r="D1147" s="35" t="s">
        <v>9</v>
      </c>
      <c r="E1147" s="35" t="s">
        <v>151</v>
      </c>
      <c r="F1147" s="40">
        <v>10</v>
      </c>
      <c r="G1147" s="38">
        <v>42</v>
      </c>
      <c r="H1147" s="20"/>
      <c r="I1147" s="20"/>
      <c r="J1147" s="20">
        <v>1146</v>
      </c>
    </row>
    <row r="1148" spans="1:10" x14ac:dyDescent="0.25">
      <c r="A1148" s="22">
        <v>50</v>
      </c>
      <c r="B1148" s="22" t="s">
        <v>504</v>
      </c>
      <c r="C1148" s="22" t="s">
        <v>513</v>
      </c>
      <c r="D1148" s="35" t="s">
        <v>9</v>
      </c>
      <c r="E1148" s="35" t="s">
        <v>151</v>
      </c>
      <c r="F1148" s="40">
        <v>11</v>
      </c>
      <c r="G1148" s="38">
        <v>57</v>
      </c>
      <c r="H1148" s="20"/>
      <c r="I1148" s="20"/>
      <c r="J1148" s="20">
        <v>1147</v>
      </c>
    </row>
    <row r="1149" spans="1:10" x14ac:dyDescent="0.25">
      <c r="A1149" s="22">
        <v>50</v>
      </c>
      <c r="B1149" s="22" t="s">
        <v>504</v>
      </c>
      <c r="C1149" s="22" t="s">
        <v>513</v>
      </c>
      <c r="D1149" s="35" t="s">
        <v>9</v>
      </c>
      <c r="E1149" s="35" t="s">
        <v>151</v>
      </c>
      <c r="F1149" s="40">
        <v>12</v>
      </c>
      <c r="G1149" s="38">
        <v>50</v>
      </c>
      <c r="H1149" s="20"/>
      <c r="I1149" s="20"/>
      <c r="J1149" s="20">
        <v>1148</v>
      </c>
    </row>
    <row r="1150" spans="1:10" x14ac:dyDescent="0.25">
      <c r="A1150" s="22">
        <v>50</v>
      </c>
      <c r="B1150" s="22" t="s">
        <v>504</v>
      </c>
      <c r="C1150" s="22" t="s">
        <v>513</v>
      </c>
      <c r="D1150" s="35" t="s">
        <v>9</v>
      </c>
      <c r="E1150" s="35" t="s">
        <v>151</v>
      </c>
      <c r="F1150" s="40">
        <v>13</v>
      </c>
      <c r="G1150" s="38">
        <v>38</v>
      </c>
      <c r="H1150" s="20"/>
      <c r="I1150" s="20"/>
      <c r="J1150" s="20">
        <v>1149</v>
      </c>
    </row>
    <row r="1151" spans="1:10" x14ac:dyDescent="0.25">
      <c r="A1151" s="22">
        <v>50</v>
      </c>
      <c r="B1151" s="22" t="s">
        <v>504</v>
      </c>
      <c r="C1151" s="22" t="s">
        <v>513</v>
      </c>
      <c r="D1151" s="35" t="s">
        <v>9</v>
      </c>
      <c r="E1151" s="35" t="s">
        <v>151</v>
      </c>
      <c r="F1151" s="40">
        <v>14</v>
      </c>
      <c r="G1151" s="38">
        <v>31</v>
      </c>
      <c r="H1151" s="20"/>
      <c r="I1151" s="20"/>
      <c r="J1151" s="20">
        <v>1150</v>
      </c>
    </row>
    <row r="1152" spans="1:10" x14ac:dyDescent="0.25">
      <c r="A1152" s="22">
        <v>50</v>
      </c>
      <c r="B1152" s="22" t="s">
        <v>504</v>
      </c>
      <c r="C1152" s="22" t="s">
        <v>513</v>
      </c>
      <c r="D1152" s="35" t="s">
        <v>9</v>
      </c>
      <c r="E1152" s="35" t="s">
        <v>151</v>
      </c>
      <c r="F1152" s="40">
        <v>15</v>
      </c>
      <c r="G1152" s="38">
        <v>27</v>
      </c>
      <c r="H1152" s="20"/>
      <c r="I1152" s="20"/>
      <c r="J1152" s="20">
        <v>1151</v>
      </c>
    </row>
    <row r="1153" spans="1:11" x14ac:dyDescent="0.25">
      <c r="A1153" s="22">
        <v>50</v>
      </c>
      <c r="B1153" s="22" t="s">
        <v>504</v>
      </c>
      <c r="C1153" s="22" t="s">
        <v>513</v>
      </c>
      <c r="D1153" s="35" t="s">
        <v>9</v>
      </c>
      <c r="E1153" s="35" t="s">
        <v>151</v>
      </c>
      <c r="F1153" s="40">
        <v>16</v>
      </c>
      <c r="G1153" s="38">
        <v>33</v>
      </c>
      <c r="H1153" s="20"/>
      <c r="I1153" s="20"/>
      <c r="J1153" s="20">
        <v>1152</v>
      </c>
    </row>
    <row r="1154" spans="1:11" x14ac:dyDescent="0.25">
      <c r="A1154" s="22">
        <v>50</v>
      </c>
      <c r="B1154" s="22" t="s">
        <v>504</v>
      </c>
      <c r="C1154" s="22" t="s">
        <v>513</v>
      </c>
      <c r="D1154" s="35" t="s">
        <v>9</v>
      </c>
      <c r="E1154" s="35" t="s">
        <v>151</v>
      </c>
      <c r="F1154" s="40">
        <v>17</v>
      </c>
      <c r="G1154" s="38">
        <v>26</v>
      </c>
      <c r="H1154" s="20"/>
      <c r="I1154" s="20"/>
      <c r="J1154" s="20">
        <v>1153</v>
      </c>
    </row>
    <row r="1155" spans="1:11" x14ac:dyDescent="0.25">
      <c r="A1155" s="22">
        <v>50</v>
      </c>
      <c r="B1155" s="22" t="s">
        <v>504</v>
      </c>
      <c r="C1155" s="22" t="s">
        <v>513</v>
      </c>
      <c r="D1155" s="35" t="s">
        <v>9</v>
      </c>
      <c r="E1155" s="35" t="s">
        <v>151</v>
      </c>
      <c r="F1155" s="40">
        <v>18</v>
      </c>
      <c r="G1155" s="38">
        <v>40</v>
      </c>
      <c r="H1155" s="20"/>
      <c r="I1155" s="20"/>
      <c r="J1155" s="20">
        <v>1154</v>
      </c>
    </row>
    <row r="1156" spans="1:11" x14ac:dyDescent="0.25">
      <c r="A1156" s="22">
        <v>50</v>
      </c>
      <c r="B1156" s="22" t="s">
        <v>504</v>
      </c>
      <c r="C1156" s="22" t="s">
        <v>513</v>
      </c>
      <c r="D1156" s="35" t="s">
        <v>9</v>
      </c>
      <c r="E1156" s="35" t="s">
        <v>151</v>
      </c>
      <c r="F1156" s="40">
        <v>19</v>
      </c>
      <c r="G1156" s="38">
        <v>42</v>
      </c>
      <c r="H1156" s="20"/>
      <c r="I1156" s="20"/>
      <c r="J1156" s="20">
        <v>1155</v>
      </c>
    </row>
    <row r="1157" spans="1:11" x14ac:dyDescent="0.25">
      <c r="A1157" s="22">
        <v>50</v>
      </c>
      <c r="B1157" s="22" t="s">
        <v>504</v>
      </c>
      <c r="C1157" s="22" t="s">
        <v>513</v>
      </c>
      <c r="D1157" s="35" t="s">
        <v>9</v>
      </c>
      <c r="E1157" s="35" t="s">
        <v>151</v>
      </c>
      <c r="F1157" s="40">
        <v>20</v>
      </c>
      <c r="G1157" s="38">
        <v>31</v>
      </c>
      <c r="H1157" s="20"/>
      <c r="I1157" s="20"/>
      <c r="J1157" s="20">
        <v>1156</v>
      </c>
    </row>
    <row r="1158" spans="1:11" ht="16.5" thickBot="1" x14ac:dyDescent="0.3">
      <c r="A1158" s="22">
        <v>50</v>
      </c>
      <c r="B1158" s="22" t="s">
        <v>504</v>
      </c>
      <c r="C1158" s="22" t="s">
        <v>513</v>
      </c>
      <c r="D1158" s="36" t="s">
        <v>9</v>
      </c>
      <c r="E1158" s="36" t="s">
        <v>151</v>
      </c>
      <c r="F1158" s="41">
        <v>21</v>
      </c>
      <c r="G1158" s="39">
        <v>25</v>
      </c>
      <c r="H1158" s="23">
        <v>879</v>
      </c>
      <c r="I1158" s="23">
        <v>21</v>
      </c>
      <c r="J1158" s="20">
        <v>1157</v>
      </c>
    </row>
    <row r="1159" spans="1:11" ht="16.5" thickTop="1" x14ac:dyDescent="0.25">
      <c r="A1159" s="22">
        <v>51</v>
      </c>
      <c r="B1159" s="22" t="s">
        <v>504</v>
      </c>
      <c r="C1159" s="22" t="s">
        <v>514</v>
      </c>
      <c r="D1159" s="35" t="s">
        <v>10</v>
      </c>
      <c r="E1159" s="35" t="s">
        <v>6</v>
      </c>
      <c r="F1159" s="40">
        <v>1</v>
      </c>
      <c r="G1159" s="38">
        <v>25</v>
      </c>
      <c r="H1159" s="20"/>
      <c r="I1159" s="20"/>
      <c r="J1159" s="20">
        <v>1158</v>
      </c>
    </row>
    <row r="1160" spans="1:11" x14ac:dyDescent="0.25">
      <c r="A1160" s="22">
        <v>51</v>
      </c>
      <c r="B1160" s="22" t="s">
        <v>504</v>
      </c>
      <c r="C1160" s="22" t="s">
        <v>514</v>
      </c>
      <c r="D1160" s="35" t="s">
        <v>10</v>
      </c>
      <c r="E1160" s="35" t="s">
        <v>6</v>
      </c>
      <c r="F1160" s="40">
        <v>2</v>
      </c>
      <c r="G1160" s="38">
        <v>47</v>
      </c>
      <c r="H1160" s="20"/>
      <c r="I1160" s="20"/>
      <c r="J1160" s="20">
        <v>1159</v>
      </c>
      <c r="K1160" s="19" t="s">
        <v>877</v>
      </c>
    </row>
    <row r="1161" spans="1:11" x14ac:dyDescent="0.25">
      <c r="A1161" s="22">
        <v>51</v>
      </c>
      <c r="B1161" s="22" t="s">
        <v>504</v>
      </c>
      <c r="C1161" s="22" t="s">
        <v>514</v>
      </c>
      <c r="D1161" s="35" t="s">
        <v>10</v>
      </c>
      <c r="E1161" s="35" t="s">
        <v>6</v>
      </c>
      <c r="F1161" s="40">
        <v>3</v>
      </c>
      <c r="G1161" s="38">
        <v>26</v>
      </c>
      <c r="H1161" s="20"/>
      <c r="I1161" s="20"/>
      <c r="J1161" s="20">
        <v>1160</v>
      </c>
    </row>
    <row r="1162" spans="1:11" x14ac:dyDescent="0.25">
      <c r="A1162" s="22">
        <v>51</v>
      </c>
      <c r="B1162" s="22" t="s">
        <v>504</v>
      </c>
      <c r="C1162" s="22" t="s">
        <v>514</v>
      </c>
      <c r="D1162" s="35" t="s">
        <v>10</v>
      </c>
      <c r="E1162" s="35" t="s">
        <v>6</v>
      </c>
      <c r="F1162" s="40">
        <v>4</v>
      </c>
      <c r="G1162" s="38">
        <v>37</v>
      </c>
      <c r="H1162" s="20"/>
      <c r="I1162" s="20"/>
      <c r="J1162" s="20">
        <v>1161</v>
      </c>
    </row>
    <row r="1163" spans="1:11" x14ac:dyDescent="0.25">
      <c r="A1163" s="22">
        <v>51</v>
      </c>
      <c r="B1163" s="22" t="s">
        <v>504</v>
      </c>
      <c r="C1163" s="22" t="s">
        <v>514</v>
      </c>
      <c r="D1163" s="35" t="s">
        <v>10</v>
      </c>
      <c r="E1163" s="35" t="s">
        <v>6</v>
      </c>
      <c r="F1163" s="40">
        <v>5</v>
      </c>
      <c r="G1163" s="38">
        <v>42</v>
      </c>
      <c r="H1163" s="20"/>
      <c r="I1163" s="20"/>
      <c r="J1163" s="20">
        <v>1162</v>
      </c>
    </row>
    <row r="1164" spans="1:11" x14ac:dyDescent="0.25">
      <c r="A1164" s="22">
        <v>51</v>
      </c>
      <c r="B1164" s="22" t="s">
        <v>504</v>
      </c>
      <c r="C1164" s="22" t="s">
        <v>514</v>
      </c>
      <c r="D1164" s="35" t="s">
        <v>10</v>
      </c>
      <c r="E1164" s="35" t="s">
        <v>6</v>
      </c>
      <c r="F1164" s="40">
        <v>6</v>
      </c>
      <c r="G1164" s="38">
        <v>15</v>
      </c>
      <c r="H1164" s="20"/>
      <c r="I1164" s="20"/>
      <c r="J1164" s="20">
        <v>1163</v>
      </c>
    </row>
    <row r="1165" spans="1:11" x14ac:dyDescent="0.25">
      <c r="A1165" s="22">
        <v>51</v>
      </c>
      <c r="B1165" s="22" t="s">
        <v>504</v>
      </c>
      <c r="C1165" s="22" t="s">
        <v>514</v>
      </c>
      <c r="D1165" s="35" t="s">
        <v>10</v>
      </c>
      <c r="E1165" s="35" t="s">
        <v>6</v>
      </c>
      <c r="F1165" s="40">
        <v>7</v>
      </c>
      <c r="G1165" s="38">
        <v>60</v>
      </c>
      <c r="H1165" s="20"/>
      <c r="I1165" s="20"/>
      <c r="J1165" s="20">
        <v>1164</v>
      </c>
    </row>
    <row r="1166" spans="1:11" x14ac:dyDescent="0.25">
      <c r="A1166" s="22">
        <v>51</v>
      </c>
      <c r="B1166" s="22" t="s">
        <v>504</v>
      </c>
      <c r="C1166" s="22" t="s">
        <v>514</v>
      </c>
      <c r="D1166" s="35" t="s">
        <v>10</v>
      </c>
      <c r="E1166" s="35" t="s">
        <v>6</v>
      </c>
      <c r="F1166" s="40">
        <v>8</v>
      </c>
      <c r="G1166" s="38">
        <v>40</v>
      </c>
      <c r="H1166" s="20"/>
      <c r="I1166" s="20"/>
      <c r="J1166" s="20">
        <v>1165</v>
      </c>
    </row>
    <row r="1167" spans="1:11" x14ac:dyDescent="0.25">
      <c r="A1167" s="22">
        <v>51</v>
      </c>
      <c r="B1167" s="22" t="s">
        <v>504</v>
      </c>
      <c r="C1167" s="22" t="s">
        <v>514</v>
      </c>
      <c r="D1167" s="35" t="s">
        <v>10</v>
      </c>
      <c r="E1167" s="35" t="s">
        <v>6</v>
      </c>
      <c r="F1167" s="40">
        <v>9</v>
      </c>
      <c r="G1167" s="38">
        <v>43</v>
      </c>
      <c r="H1167" s="20"/>
      <c r="I1167" s="20"/>
      <c r="J1167" s="20">
        <v>1166</v>
      </c>
    </row>
    <row r="1168" spans="1:11" x14ac:dyDescent="0.25">
      <c r="A1168" s="22">
        <v>51</v>
      </c>
      <c r="B1168" s="22" t="s">
        <v>504</v>
      </c>
      <c r="C1168" s="22" t="s">
        <v>514</v>
      </c>
      <c r="D1168" s="35" t="s">
        <v>10</v>
      </c>
      <c r="E1168" s="35" t="s">
        <v>6</v>
      </c>
      <c r="F1168" s="40">
        <v>10</v>
      </c>
      <c r="G1168" s="38">
        <v>48</v>
      </c>
      <c r="H1168" s="20"/>
      <c r="I1168" s="20"/>
      <c r="J1168" s="20">
        <v>1167</v>
      </c>
    </row>
    <row r="1169" spans="1:11" x14ac:dyDescent="0.25">
      <c r="A1169" s="22">
        <v>51</v>
      </c>
      <c r="B1169" s="22" t="s">
        <v>504</v>
      </c>
      <c r="C1169" s="22" t="s">
        <v>514</v>
      </c>
      <c r="D1169" s="35" t="s">
        <v>10</v>
      </c>
      <c r="E1169" s="35" t="s">
        <v>6</v>
      </c>
      <c r="F1169" s="40">
        <v>11</v>
      </c>
      <c r="G1169" s="38">
        <v>30</v>
      </c>
      <c r="H1169" s="20"/>
      <c r="I1169" s="20"/>
      <c r="J1169" s="20">
        <v>1168</v>
      </c>
    </row>
    <row r="1170" spans="1:11" x14ac:dyDescent="0.25">
      <c r="A1170" s="22">
        <v>51</v>
      </c>
      <c r="B1170" s="22" t="s">
        <v>504</v>
      </c>
      <c r="C1170" s="22" t="s">
        <v>514</v>
      </c>
      <c r="D1170" s="35" t="s">
        <v>10</v>
      </c>
      <c r="E1170" s="35" t="s">
        <v>6</v>
      </c>
      <c r="F1170" s="40">
        <v>12</v>
      </c>
      <c r="G1170" s="38">
        <v>25</v>
      </c>
      <c r="H1170" s="20"/>
      <c r="I1170" s="20"/>
      <c r="J1170" s="20">
        <v>1169</v>
      </c>
    </row>
    <row r="1171" spans="1:11" x14ac:dyDescent="0.25">
      <c r="A1171" s="22">
        <v>51</v>
      </c>
      <c r="B1171" s="22" t="s">
        <v>504</v>
      </c>
      <c r="C1171" s="22" t="s">
        <v>514</v>
      </c>
      <c r="D1171" s="35" t="s">
        <v>10</v>
      </c>
      <c r="E1171" s="35" t="s">
        <v>6</v>
      </c>
      <c r="F1171" s="40">
        <v>13</v>
      </c>
      <c r="G1171" s="38">
        <v>52</v>
      </c>
      <c r="H1171" s="20"/>
      <c r="I1171" s="20"/>
      <c r="J1171" s="20">
        <v>1170</v>
      </c>
    </row>
    <row r="1172" spans="1:11" x14ac:dyDescent="0.25">
      <c r="A1172" s="22">
        <v>51</v>
      </c>
      <c r="B1172" s="22" t="s">
        <v>504</v>
      </c>
      <c r="C1172" s="22" t="s">
        <v>514</v>
      </c>
      <c r="D1172" s="35" t="s">
        <v>10</v>
      </c>
      <c r="E1172" s="35" t="s">
        <v>6</v>
      </c>
      <c r="F1172" s="40">
        <v>14</v>
      </c>
      <c r="G1172" s="38">
        <v>28</v>
      </c>
      <c r="H1172" s="20"/>
      <c r="I1172" s="20"/>
      <c r="J1172" s="20">
        <v>1171</v>
      </c>
    </row>
    <row r="1173" spans="1:11" x14ac:dyDescent="0.25">
      <c r="A1173" s="22">
        <v>51</v>
      </c>
      <c r="B1173" s="22" t="s">
        <v>504</v>
      </c>
      <c r="C1173" s="22" t="s">
        <v>514</v>
      </c>
      <c r="D1173" s="35" t="s">
        <v>10</v>
      </c>
      <c r="E1173" s="35" t="s">
        <v>6</v>
      </c>
      <c r="F1173" s="40">
        <v>15</v>
      </c>
      <c r="G1173" s="38">
        <v>41</v>
      </c>
      <c r="H1173" s="20"/>
      <c r="I1173" s="20"/>
      <c r="J1173" s="20">
        <v>1172</v>
      </c>
    </row>
    <row r="1174" spans="1:11" x14ac:dyDescent="0.25">
      <c r="A1174" s="22">
        <v>51</v>
      </c>
      <c r="B1174" s="22" t="s">
        <v>504</v>
      </c>
      <c r="C1174" s="22" t="s">
        <v>514</v>
      </c>
      <c r="D1174" s="35" t="s">
        <v>10</v>
      </c>
      <c r="E1174" s="35" t="s">
        <v>6</v>
      </c>
      <c r="F1174" s="40">
        <v>16</v>
      </c>
      <c r="G1174" s="38">
        <v>40</v>
      </c>
      <c r="H1174" s="20"/>
      <c r="I1174" s="20"/>
      <c r="J1174" s="20">
        <v>1173</v>
      </c>
    </row>
    <row r="1175" spans="1:11" x14ac:dyDescent="0.25">
      <c r="A1175" s="22">
        <v>51</v>
      </c>
      <c r="B1175" s="22" t="s">
        <v>504</v>
      </c>
      <c r="C1175" s="22" t="s">
        <v>514</v>
      </c>
      <c r="D1175" s="35" t="s">
        <v>10</v>
      </c>
      <c r="E1175" s="35" t="s">
        <v>6</v>
      </c>
      <c r="F1175" s="40">
        <v>17</v>
      </c>
      <c r="G1175" s="38">
        <v>34</v>
      </c>
      <c r="H1175" s="20"/>
      <c r="I1175" s="20"/>
      <c r="J1175" s="20">
        <v>1174</v>
      </c>
    </row>
    <row r="1176" spans="1:11" x14ac:dyDescent="0.25">
      <c r="A1176" s="22">
        <v>51</v>
      </c>
      <c r="B1176" s="22" t="s">
        <v>504</v>
      </c>
      <c r="C1176" s="22" t="s">
        <v>514</v>
      </c>
      <c r="D1176" s="35" t="s">
        <v>10</v>
      </c>
      <c r="E1176" s="35" t="s">
        <v>6</v>
      </c>
      <c r="F1176" s="40">
        <v>18</v>
      </c>
      <c r="G1176" s="38">
        <v>28</v>
      </c>
      <c r="H1176" s="20"/>
      <c r="I1176" s="20"/>
      <c r="J1176" s="20">
        <v>1175</v>
      </c>
    </row>
    <row r="1177" spans="1:11" x14ac:dyDescent="0.25">
      <c r="A1177" s="22">
        <v>51</v>
      </c>
      <c r="B1177" s="22" t="s">
        <v>504</v>
      </c>
      <c r="C1177" s="22" t="s">
        <v>514</v>
      </c>
      <c r="D1177" s="35" t="s">
        <v>10</v>
      </c>
      <c r="E1177" s="35" t="s">
        <v>6</v>
      </c>
      <c r="F1177" s="40">
        <v>19</v>
      </c>
      <c r="G1177" s="38">
        <v>40</v>
      </c>
      <c r="H1177" s="20"/>
      <c r="I1177" s="20"/>
      <c r="J1177" s="20">
        <v>1176</v>
      </c>
      <c r="K1177" s="19" t="s">
        <v>879</v>
      </c>
    </row>
    <row r="1178" spans="1:11" x14ac:dyDescent="0.25">
      <c r="A1178" s="22">
        <v>51</v>
      </c>
      <c r="B1178" s="22" t="s">
        <v>504</v>
      </c>
      <c r="C1178" s="22" t="s">
        <v>514</v>
      </c>
      <c r="D1178" s="35" t="s">
        <v>10</v>
      </c>
      <c r="E1178" s="35" t="s">
        <v>6</v>
      </c>
      <c r="F1178" s="40">
        <v>20</v>
      </c>
      <c r="G1178" s="38">
        <v>38</v>
      </c>
      <c r="H1178" s="20"/>
      <c r="I1178" s="20"/>
      <c r="J1178" s="20">
        <v>1177</v>
      </c>
    </row>
    <row r="1179" spans="1:11" x14ac:dyDescent="0.25">
      <c r="A1179" s="22">
        <v>51</v>
      </c>
      <c r="B1179" s="22" t="s">
        <v>504</v>
      </c>
      <c r="C1179" s="22" t="s">
        <v>514</v>
      </c>
      <c r="D1179" s="35" t="s">
        <v>10</v>
      </c>
      <c r="E1179" s="35" t="s">
        <v>6</v>
      </c>
      <c r="F1179" s="40">
        <v>21</v>
      </c>
      <c r="G1179" s="38">
        <v>40</v>
      </c>
      <c r="H1179" s="20"/>
      <c r="I1179" s="20"/>
      <c r="J1179" s="20">
        <v>1178</v>
      </c>
    </row>
    <row r="1180" spans="1:11" x14ac:dyDescent="0.25">
      <c r="A1180" s="22">
        <v>51</v>
      </c>
      <c r="B1180" s="22" t="s">
        <v>504</v>
      </c>
      <c r="C1180" s="22" t="s">
        <v>514</v>
      </c>
      <c r="D1180" s="35" t="s">
        <v>10</v>
      </c>
      <c r="E1180" s="35" t="s">
        <v>6</v>
      </c>
      <c r="F1180" s="40">
        <v>22</v>
      </c>
      <c r="G1180" s="38">
        <v>30</v>
      </c>
      <c r="H1180" s="20"/>
      <c r="I1180" s="20"/>
      <c r="J1180" s="20">
        <v>1179</v>
      </c>
    </row>
    <row r="1181" spans="1:11" x14ac:dyDescent="0.25">
      <c r="A1181" s="22">
        <v>51</v>
      </c>
      <c r="B1181" s="22" t="s">
        <v>504</v>
      </c>
      <c r="C1181" s="22" t="s">
        <v>514</v>
      </c>
      <c r="D1181" s="35" t="s">
        <v>10</v>
      </c>
      <c r="E1181" s="35" t="s">
        <v>6</v>
      </c>
      <c r="F1181" s="40">
        <v>23</v>
      </c>
      <c r="G1181" s="38">
        <v>35</v>
      </c>
      <c r="H1181" s="20"/>
      <c r="I1181" s="20"/>
      <c r="J1181" s="20">
        <v>1180</v>
      </c>
    </row>
    <row r="1182" spans="1:11" x14ac:dyDescent="0.25">
      <c r="A1182" s="22">
        <v>51</v>
      </c>
      <c r="B1182" s="22" t="s">
        <v>504</v>
      </c>
      <c r="C1182" s="22" t="s">
        <v>514</v>
      </c>
      <c r="D1182" s="35" t="s">
        <v>10</v>
      </c>
      <c r="E1182" s="35" t="s">
        <v>6</v>
      </c>
      <c r="F1182" s="40">
        <v>24</v>
      </c>
      <c r="G1182" s="38">
        <v>27</v>
      </c>
      <c r="H1182" s="20"/>
      <c r="I1182" s="20"/>
      <c r="J1182" s="20">
        <v>1181</v>
      </c>
    </row>
    <row r="1183" spans="1:11" x14ac:dyDescent="0.25">
      <c r="A1183" s="22">
        <v>51</v>
      </c>
      <c r="B1183" s="22" t="s">
        <v>504</v>
      </c>
      <c r="C1183" s="22" t="s">
        <v>514</v>
      </c>
      <c r="D1183" s="35" t="s">
        <v>10</v>
      </c>
      <c r="E1183" s="35" t="s">
        <v>6</v>
      </c>
      <c r="F1183" s="40">
        <v>25</v>
      </c>
      <c r="G1183" s="38">
        <v>27</v>
      </c>
      <c r="H1183" s="20"/>
      <c r="I1183" s="20"/>
      <c r="J1183" s="20">
        <v>1182</v>
      </c>
    </row>
    <row r="1184" spans="1:11" x14ac:dyDescent="0.25">
      <c r="A1184" s="22">
        <v>51</v>
      </c>
      <c r="B1184" s="22" t="s">
        <v>504</v>
      </c>
      <c r="C1184" s="22" t="s">
        <v>514</v>
      </c>
      <c r="D1184" s="35" t="s">
        <v>10</v>
      </c>
      <c r="E1184" s="35" t="s">
        <v>6</v>
      </c>
      <c r="F1184" s="40">
        <v>26</v>
      </c>
      <c r="G1184" s="38">
        <v>32</v>
      </c>
      <c r="H1184" s="20"/>
      <c r="I1184" s="20"/>
      <c r="J1184" s="20">
        <v>1183</v>
      </c>
    </row>
    <row r="1185" spans="1:10" x14ac:dyDescent="0.25">
      <c r="A1185" s="22">
        <v>51</v>
      </c>
      <c r="B1185" s="22" t="s">
        <v>504</v>
      </c>
      <c r="C1185" s="22" t="s">
        <v>514</v>
      </c>
      <c r="D1185" s="35" t="s">
        <v>10</v>
      </c>
      <c r="E1185" s="35" t="s">
        <v>6</v>
      </c>
      <c r="F1185" s="40">
        <v>27</v>
      </c>
      <c r="G1185" s="38">
        <v>44</v>
      </c>
      <c r="H1185" s="20"/>
      <c r="I1185" s="20"/>
      <c r="J1185" s="20">
        <v>1184</v>
      </c>
    </row>
    <row r="1186" spans="1:10" ht="16.5" thickBot="1" x14ac:dyDescent="0.3">
      <c r="A1186" s="22">
        <v>51</v>
      </c>
      <c r="B1186" s="22" t="s">
        <v>504</v>
      </c>
      <c r="C1186" s="22" t="s">
        <v>514</v>
      </c>
      <c r="D1186" s="36" t="s">
        <v>10</v>
      </c>
      <c r="E1186" s="36" t="s">
        <v>6</v>
      </c>
      <c r="F1186" s="41">
        <v>28</v>
      </c>
      <c r="G1186" s="39">
        <v>31</v>
      </c>
      <c r="H1186" s="23">
        <v>1005</v>
      </c>
      <c r="I1186" s="23">
        <v>28</v>
      </c>
      <c r="J1186" s="20">
        <v>1185</v>
      </c>
    </row>
    <row r="1187" spans="1:10" ht="16.5" thickTop="1" x14ac:dyDescent="0.25">
      <c r="A1187" s="18">
        <v>52</v>
      </c>
      <c r="B1187" s="18" t="s">
        <v>504</v>
      </c>
      <c r="C1187" s="18" t="s">
        <v>515</v>
      </c>
      <c r="D1187" s="35" t="s">
        <v>11</v>
      </c>
      <c r="E1187" s="35" t="s">
        <v>12</v>
      </c>
      <c r="F1187" s="40">
        <v>1</v>
      </c>
      <c r="G1187" s="38">
        <v>32</v>
      </c>
      <c r="J1187" s="19">
        <v>1186</v>
      </c>
    </row>
    <row r="1188" spans="1:10" x14ac:dyDescent="0.25">
      <c r="A1188" s="18">
        <v>52</v>
      </c>
      <c r="B1188" s="18" t="s">
        <v>504</v>
      </c>
      <c r="C1188" s="18" t="s">
        <v>515</v>
      </c>
      <c r="D1188" s="35" t="s">
        <v>11</v>
      </c>
      <c r="E1188" s="35" t="s">
        <v>12</v>
      </c>
      <c r="F1188" s="40">
        <v>2</v>
      </c>
      <c r="G1188" s="38">
        <v>29</v>
      </c>
      <c r="J1188" s="19">
        <v>1187</v>
      </c>
    </row>
    <row r="1189" spans="1:10" x14ac:dyDescent="0.25">
      <c r="A1189" s="18">
        <v>52</v>
      </c>
      <c r="B1189" s="18" t="s">
        <v>504</v>
      </c>
      <c r="C1189" s="18" t="s">
        <v>515</v>
      </c>
      <c r="D1189" s="35" t="s">
        <v>11</v>
      </c>
      <c r="E1189" s="35" t="s">
        <v>12</v>
      </c>
      <c r="F1189" s="40">
        <v>3</v>
      </c>
      <c r="G1189" s="38">
        <v>31</v>
      </c>
      <c r="J1189" s="19">
        <v>1188</v>
      </c>
    </row>
    <row r="1190" spans="1:10" x14ac:dyDescent="0.25">
      <c r="A1190" s="18">
        <v>52</v>
      </c>
      <c r="B1190" s="18" t="s">
        <v>504</v>
      </c>
      <c r="C1190" s="18" t="s">
        <v>515</v>
      </c>
      <c r="D1190" s="35" t="s">
        <v>11</v>
      </c>
      <c r="E1190" s="35" t="s">
        <v>12</v>
      </c>
      <c r="F1190" s="40">
        <v>4</v>
      </c>
      <c r="G1190" s="38">
        <v>25</v>
      </c>
      <c r="J1190" s="19">
        <v>1189</v>
      </c>
    </row>
    <row r="1191" spans="1:10" x14ac:dyDescent="0.25">
      <c r="A1191" s="18">
        <v>52</v>
      </c>
      <c r="B1191" s="18" t="s">
        <v>504</v>
      </c>
      <c r="C1191" s="18" t="s">
        <v>515</v>
      </c>
      <c r="D1191" s="35" t="s">
        <v>11</v>
      </c>
      <c r="E1191" s="35" t="s">
        <v>12</v>
      </c>
      <c r="F1191" s="40">
        <v>5</v>
      </c>
      <c r="G1191" s="38">
        <v>21</v>
      </c>
      <c r="J1191" s="19">
        <v>1190</v>
      </c>
    </row>
    <row r="1192" spans="1:10" x14ac:dyDescent="0.25">
      <c r="A1192" s="18">
        <v>52</v>
      </c>
      <c r="B1192" s="18" t="s">
        <v>504</v>
      </c>
      <c r="C1192" s="18" t="s">
        <v>515</v>
      </c>
      <c r="D1192" s="35" t="s">
        <v>11</v>
      </c>
      <c r="E1192" s="35" t="s">
        <v>12</v>
      </c>
      <c r="F1192" s="40">
        <v>6</v>
      </c>
      <c r="G1192" s="38">
        <v>23</v>
      </c>
      <c r="J1192" s="19">
        <v>1191</v>
      </c>
    </row>
    <row r="1193" spans="1:10" x14ac:dyDescent="0.25">
      <c r="A1193" s="18">
        <v>52</v>
      </c>
      <c r="B1193" s="18" t="s">
        <v>504</v>
      </c>
      <c r="C1193" s="18" t="s">
        <v>515</v>
      </c>
      <c r="D1193" s="35" t="s">
        <v>11</v>
      </c>
      <c r="E1193" s="35" t="s">
        <v>12</v>
      </c>
      <c r="F1193" s="40">
        <v>7</v>
      </c>
      <c r="G1193" s="38">
        <v>25</v>
      </c>
      <c r="J1193" s="19">
        <v>1192</v>
      </c>
    </row>
    <row r="1194" spans="1:10" x14ac:dyDescent="0.25">
      <c r="A1194" s="18">
        <v>52</v>
      </c>
      <c r="B1194" s="18" t="s">
        <v>504</v>
      </c>
      <c r="C1194" s="18" t="s">
        <v>515</v>
      </c>
      <c r="D1194" s="35" t="s">
        <v>11</v>
      </c>
      <c r="E1194" s="35" t="s">
        <v>12</v>
      </c>
      <c r="F1194" s="40">
        <v>8</v>
      </c>
      <c r="G1194" s="38">
        <v>39</v>
      </c>
      <c r="J1194" s="19">
        <v>1193</v>
      </c>
    </row>
    <row r="1195" spans="1:10" x14ac:dyDescent="0.25">
      <c r="A1195" s="18">
        <v>52</v>
      </c>
      <c r="B1195" s="18" t="s">
        <v>504</v>
      </c>
      <c r="C1195" s="18" t="s">
        <v>515</v>
      </c>
      <c r="D1195" s="35" t="s">
        <v>11</v>
      </c>
      <c r="E1195" s="35" t="s">
        <v>12</v>
      </c>
      <c r="F1195" s="40">
        <v>9</v>
      </c>
      <c r="G1195" s="38">
        <v>33</v>
      </c>
      <c r="J1195" s="19">
        <v>1194</v>
      </c>
    </row>
    <row r="1196" spans="1:10" x14ac:dyDescent="0.25">
      <c r="A1196" s="18">
        <v>52</v>
      </c>
      <c r="B1196" s="18" t="s">
        <v>504</v>
      </c>
      <c r="C1196" s="18" t="s">
        <v>515</v>
      </c>
      <c r="D1196" s="35" t="s">
        <v>11</v>
      </c>
      <c r="E1196" s="35" t="s">
        <v>12</v>
      </c>
      <c r="F1196" s="40">
        <v>10</v>
      </c>
      <c r="G1196" s="38">
        <v>21</v>
      </c>
      <c r="J1196" s="19">
        <v>1195</v>
      </c>
    </row>
    <row r="1197" spans="1:10" x14ac:dyDescent="0.25">
      <c r="A1197" s="18">
        <v>52</v>
      </c>
      <c r="B1197" s="18" t="s">
        <v>504</v>
      </c>
      <c r="C1197" s="18" t="s">
        <v>515</v>
      </c>
      <c r="D1197" s="35" t="s">
        <v>11</v>
      </c>
      <c r="E1197" s="35" t="s">
        <v>12</v>
      </c>
      <c r="F1197" s="40">
        <v>11</v>
      </c>
      <c r="G1197" s="38">
        <v>36</v>
      </c>
      <c r="J1197" s="19">
        <v>1196</v>
      </c>
    </row>
    <row r="1198" spans="1:10" x14ac:dyDescent="0.25">
      <c r="A1198" s="18">
        <v>52</v>
      </c>
      <c r="B1198" s="18" t="s">
        <v>504</v>
      </c>
      <c r="C1198" s="18" t="s">
        <v>515</v>
      </c>
      <c r="D1198" s="35" t="s">
        <v>11</v>
      </c>
      <c r="E1198" s="35" t="s">
        <v>12</v>
      </c>
      <c r="F1198" s="40">
        <v>12</v>
      </c>
      <c r="G1198" s="38">
        <v>21</v>
      </c>
      <c r="J1198" s="19">
        <v>1197</v>
      </c>
    </row>
    <row r="1199" spans="1:10" x14ac:dyDescent="0.25">
      <c r="A1199" s="18">
        <v>52</v>
      </c>
      <c r="B1199" s="18" t="s">
        <v>504</v>
      </c>
      <c r="C1199" s="18" t="s">
        <v>515</v>
      </c>
      <c r="D1199" s="35" t="s">
        <v>11</v>
      </c>
      <c r="E1199" s="35" t="s">
        <v>12</v>
      </c>
      <c r="F1199" s="40">
        <v>13</v>
      </c>
      <c r="G1199" s="38">
        <v>14</v>
      </c>
      <c r="J1199" s="19">
        <v>1198</v>
      </c>
    </row>
    <row r="1200" spans="1:10" x14ac:dyDescent="0.25">
      <c r="A1200" s="18">
        <v>52</v>
      </c>
      <c r="B1200" s="18" t="s">
        <v>504</v>
      </c>
      <c r="C1200" s="18" t="s">
        <v>515</v>
      </c>
      <c r="D1200" s="35" t="s">
        <v>11</v>
      </c>
      <c r="E1200" s="35" t="s">
        <v>12</v>
      </c>
      <c r="F1200" s="40">
        <v>14</v>
      </c>
      <c r="G1200" s="38">
        <v>23</v>
      </c>
      <c r="J1200" s="19">
        <v>1199</v>
      </c>
    </row>
    <row r="1201" spans="1:10" x14ac:dyDescent="0.25">
      <c r="A1201" s="18">
        <v>52</v>
      </c>
      <c r="B1201" s="18" t="s">
        <v>504</v>
      </c>
      <c r="C1201" s="18" t="s">
        <v>515</v>
      </c>
      <c r="D1201" s="35" t="s">
        <v>11</v>
      </c>
      <c r="E1201" s="35" t="s">
        <v>12</v>
      </c>
      <c r="F1201" s="40">
        <v>15</v>
      </c>
      <c r="G1201" s="38">
        <v>32</v>
      </c>
      <c r="J1201" s="19">
        <v>1200</v>
      </c>
    </row>
    <row r="1202" spans="1:10" ht="16.5" thickBot="1" x14ac:dyDescent="0.3">
      <c r="A1202" s="18">
        <v>52</v>
      </c>
      <c r="B1202" s="18" t="s">
        <v>504</v>
      </c>
      <c r="C1202" s="18" t="s">
        <v>515</v>
      </c>
      <c r="D1202" s="36" t="s">
        <v>11</v>
      </c>
      <c r="E1202" s="36" t="s">
        <v>12</v>
      </c>
      <c r="F1202" s="41">
        <v>16</v>
      </c>
      <c r="G1202" s="39">
        <v>27</v>
      </c>
      <c r="H1202" s="21">
        <v>432</v>
      </c>
      <c r="I1202" s="21">
        <v>16</v>
      </c>
      <c r="J1202" s="19">
        <v>1201</v>
      </c>
    </row>
    <row r="1203" spans="1:10" ht="16.5" thickTop="1" x14ac:dyDescent="0.25">
      <c r="A1203" s="18">
        <v>53</v>
      </c>
      <c r="B1203" s="18" t="s">
        <v>504</v>
      </c>
      <c r="C1203" s="18" t="s">
        <v>515</v>
      </c>
      <c r="D1203" s="35" t="s">
        <v>13</v>
      </c>
      <c r="E1203" s="35" t="s">
        <v>14</v>
      </c>
      <c r="F1203" s="40">
        <v>1</v>
      </c>
      <c r="G1203" s="38">
        <v>31</v>
      </c>
      <c r="J1203" s="19">
        <v>1202</v>
      </c>
    </row>
    <row r="1204" spans="1:10" x14ac:dyDescent="0.25">
      <c r="A1204" s="18">
        <v>53</v>
      </c>
      <c r="B1204" s="18" t="s">
        <v>504</v>
      </c>
      <c r="C1204" s="18" t="s">
        <v>515</v>
      </c>
      <c r="D1204" s="35" t="s">
        <v>13</v>
      </c>
      <c r="E1204" s="35" t="s">
        <v>14</v>
      </c>
      <c r="F1204" s="40">
        <v>2</v>
      </c>
      <c r="G1204" s="38">
        <v>16</v>
      </c>
      <c r="J1204" s="19">
        <v>1203</v>
      </c>
    </row>
    <row r="1205" spans="1:10" x14ac:dyDescent="0.25">
      <c r="A1205" s="18">
        <v>53</v>
      </c>
      <c r="B1205" s="18" t="s">
        <v>504</v>
      </c>
      <c r="C1205" s="18" t="s">
        <v>515</v>
      </c>
      <c r="D1205" s="35" t="s">
        <v>13</v>
      </c>
      <c r="E1205" s="35" t="s">
        <v>14</v>
      </c>
      <c r="F1205" s="40">
        <v>3</v>
      </c>
      <c r="G1205" s="38">
        <v>23</v>
      </c>
      <c r="J1205" s="19">
        <v>1204</v>
      </c>
    </row>
    <row r="1206" spans="1:10" x14ac:dyDescent="0.25">
      <c r="A1206" s="18">
        <v>53</v>
      </c>
      <c r="B1206" s="18" t="s">
        <v>504</v>
      </c>
      <c r="C1206" s="18" t="s">
        <v>515</v>
      </c>
      <c r="D1206" s="35" t="s">
        <v>13</v>
      </c>
      <c r="E1206" s="35" t="s">
        <v>14</v>
      </c>
      <c r="F1206" s="40">
        <v>4</v>
      </c>
      <c r="G1206" s="38">
        <v>21</v>
      </c>
      <c r="J1206" s="19">
        <v>1205</v>
      </c>
    </row>
    <row r="1207" spans="1:10" x14ac:dyDescent="0.25">
      <c r="A1207" s="18">
        <v>53</v>
      </c>
      <c r="B1207" s="18" t="s">
        <v>504</v>
      </c>
      <c r="C1207" s="18" t="s">
        <v>515</v>
      </c>
      <c r="D1207" s="35" t="s">
        <v>13</v>
      </c>
      <c r="E1207" s="35" t="s">
        <v>14</v>
      </c>
      <c r="F1207" s="40">
        <v>5</v>
      </c>
      <c r="G1207" s="38">
        <v>13</v>
      </c>
      <c r="J1207" s="19">
        <v>1206</v>
      </c>
    </row>
    <row r="1208" spans="1:10" x14ac:dyDescent="0.25">
      <c r="A1208" s="18">
        <v>53</v>
      </c>
      <c r="B1208" s="18" t="s">
        <v>504</v>
      </c>
      <c r="C1208" s="18" t="s">
        <v>515</v>
      </c>
      <c r="D1208" s="35" t="s">
        <v>13</v>
      </c>
      <c r="E1208" s="35" t="s">
        <v>14</v>
      </c>
      <c r="F1208" s="40">
        <v>6</v>
      </c>
      <c r="G1208" s="38">
        <v>20</v>
      </c>
      <c r="J1208" s="19">
        <v>1207</v>
      </c>
    </row>
    <row r="1209" spans="1:10" x14ac:dyDescent="0.25">
      <c r="A1209" s="18">
        <v>53</v>
      </c>
      <c r="B1209" s="18" t="s">
        <v>504</v>
      </c>
      <c r="C1209" s="18" t="s">
        <v>515</v>
      </c>
      <c r="D1209" s="35" t="s">
        <v>13</v>
      </c>
      <c r="E1209" s="35" t="s">
        <v>14</v>
      </c>
      <c r="F1209" s="40">
        <v>7</v>
      </c>
      <c r="G1209" s="38">
        <v>40</v>
      </c>
      <c r="J1209" s="19">
        <v>1208</v>
      </c>
    </row>
    <row r="1210" spans="1:10" x14ac:dyDescent="0.25">
      <c r="A1210" s="18">
        <v>53</v>
      </c>
      <c r="B1210" s="18" t="s">
        <v>504</v>
      </c>
      <c r="C1210" s="18" t="s">
        <v>515</v>
      </c>
      <c r="D1210" s="35" t="s">
        <v>13</v>
      </c>
      <c r="E1210" s="35" t="s">
        <v>14</v>
      </c>
      <c r="F1210" s="40">
        <v>8</v>
      </c>
      <c r="G1210" s="38">
        <v>13</v>
      </c>
      <c r="J1210" s="19">
        <v>1209</v>
      </c>
    </row>
    <row r="1211" spans="1:10" x14ac:dyDescent="0.25">
      <c r="A1211" s="18">
        <v>53</v>
      </c>
      <c r="B1211" s="18" t="s">
        <v>504</v>
      </c>
      <c r="C1211" s="18" t="s">
        <v>515</v>
      </c>
      <c r="D1211" s="35" t="s">
        <v>13</v>
      </c>
      <c r="E1211" s="35" t="s">
        <v>14</v>
      </c>
      <c r="F1211" s="40">
        <v>9</v>
      </c>
      <c r="G1211" s="38">
        <v>27</v>
      </c>
      <c r="J1211" s="19">
        <v>1210</v>
      </c>
    </row>
    <row r="1212" spans="1:10" x14ac:dyDescent="0.25">
      <c r="A1212" s="18">
        <v>53</v>
      </c>
      <c r="B1212" s="18" t="s">
        <v>504</v>
      </c>
      <c r="C1212" s="18" t="s">
        <v>515</v>
      </c>
      <c r="D1212" s="35" t="s">
        <v>13</v>
      </c>
      <c r="E1212" s="35" t="s">
        <v>14</v>
      </c>
      <c r="F1212" s="40">
        <v>10</v>
      </c>
      <c r="G1212" s="38">
        <v>33</v>
      </c>
      <c r="J1212" s="19">
        <v>1211</v>
      </c>
    </row>
    <row r="1213" spans="1:10" x14ac:dyDescent="0.25">
      <c r="A1213" s="18">
        <v>53</v>
      </c>
      <c r="B1213" s="18" t="s">
        <v>504</v>
      </c>
      <c r="C1213" s="18" t="s">
        <v>515</v>
      </c>
      <c r="D1213" s="35" t="s">
        <v>13</v>
      </c>
      <c r="E1213" s="35" t="s">
        <v>14</v>
      </c>
      <c r="F1213" s="40">
        <v>11</v>
      </c>
      <c r="G1213" s="38">
        <v>34</v>
      </c>
      <c r="J1213" s="19">
        <v>1212</v>
      </c>
    </row>
    <row r="1214" spans="1:10" x14ac:dyDescent="0.25">
      <c r="A1214" s="18">
        <v>53</v>
      </c>
      <c r="B1214" s="18" t="s">
        <v>504</v>
      </c>
      <c r="C1214" s="18" t="s">
        <v>515</v>
      </c>
      <c r="D1214" s="35" t="s">
        <v>13</v>
      </c>
      <c r="E1214" s="35" t="s">
        <v>14</v>
      </c>
      <c r="F1214" s="40">
        <v>12</v>
      </c>
      <c r="G1214" s="38">
        <v>31</v>
      </c>
      <c r="J1214" s="19">
        <v>1213</v>
      </c>
    </row>
    <row r="1215" spans="1:10" x14ac:dyDescent="0.25">
      <c r="A1215" s="18">
        <v>53</v>
      </c>
      <c r="B1215" s="18" t="s">
        <v>504</v>
      </c>
      <c r="C1215" s="18" t="s">
        <v>515</v>
      </c>
      <c r="D1215" s="35" t="s">
        <v>13</v>
      </c>
      <c r="E1215" s="35" t="s">
        <v>14</v>
      </c>
      <c r="F1215" s="40">
        <v>13</v>
      </c>
      <c r="G1215" s="38">
        <v>13</v>
      </c>
      <c r="J1215" s="19">
        <v>1214</v>
      </c>
    </row>
    <row r="1216" spans="1:10" x14ac:dyDescent="0.25">
      <c r="A1216" s="18">
        <v>53</v>
      </c>
      <c r="B1216" s="18" t="s">
        <v>504</v>
      </c>
      <c r="C1216" s="18" t="s">
        <v>515</v>
      </c>
      <c r="D1216" s="35" t="s">
        <v>13</v>
      </c>
      <c r="E1216" s="35" t="s">
        <v>14</v>
      </c>
      <c r="F1216" s="40">
        <v>14</v>
      </c>
      <c r="G1216" s="38">
        <v>40</v>
      </c>
      <c r="J1216" s="19">
        <v>1215</v>
      </c>
    </row>
    <row r="1217" spans="1:10" x14ac:dyDescent="0.25">
      <c r="A1217" s="18">
        <v>53</v>
      </c>
      <c r="B1217" s="18" t="s">
        <v>504</v>
      </c>
      <c r="C1217" s="18" t="s">
        <v>515</v>
      </c>
      <c r="D1217" s="35" t="s">
        <v>13</v>
      </c>
      <c r="E1217" s="35" t="s">
        <v>14</v>
      </c>
      <c r="F1217" s="40">
        <v>15</v>
      </c>
      <c r="G1217" s="38">
        <v>58</v>
      </c>
      <c r="J1217" s="19">
        <v>1216</v>
      </c>
    </row>
    <row r="1218" spans="1:10" ht="16.5" thickBot="1" x14ac:dyDescent="0.3">
      <c r="A1218" s="18">
        <v>53</v>
      </c>
      <c r="B1218" s="18" t="s">
        <v>504</v>
      </c>
      <c r="C1218" s="18" t="s">
        <v>515</v>
      </c>
      <c r="D1218" s="36" t="s">
        <v>13</v>
      </c>
      <c r="E1218" s="36" t="s">
        <v>14</v>
      </c>
      <c r="F1218" s="41">
        <v>16</v>
      </c>
      <c r="G1218" s="39">
        <v>23</v>
      </c>
      <c r="H1218" s="21">
        <v>436</v>
      </c>
      <c r="I1218" s="21">
        <v>16</v>
      </c>
      <c r="J1218" s="19">
        <v>1217</v>
      </c>
    </row>
    <row r="1219" spans="1:10" ht="16.5" thickTop="1" x14ac:dyDescent="0.25">
      <c r="A1219" s="18">
        <v>54</v>
      </c>
      <c r="B1219" s="18" t="s">
        <v>504</v>
      </c>
      <c r="C1219" s="18" t="s">
        <v>515</v>
      </c>
      <c r="D1219" s="35" t="s">
        <v>15</v>
      </c>
      <c r="E1219" s="35" t="s">
        <v>16</v>
      </c>
      <c r="F1219" s="40">
        <v>1</v>
      </c>
      <c r="G1219" s="38">
        <v>24</v>
      </c>
      <c r="J1219" s="19">
        <v>1218</v>
      </c>
    </row>
    <row r="1220" spans="1:10" x14ac:dyDescent="0.25">
      <c r="A1220" s="18">
        <v>54</v>
      </c>
      <c r="B1220" s="18" t="s">
        <v>504</v>
      </c>
      <c r="C1220" s="18" t="s">
        <v>515</v>
      </c>
      <c r="D1220" s="35" t="s">
        <v>15</v>
      </c>
      <c r="E1220" s="35" t="s">
        <v>16</v>
      </c>
      <c r="F1220" s="40">
        <v>2</v>
      </c>
      <c r="G1220" s="38">
        <v>17</v>
      </c>
      <c r="J1220" s="19">
        <v>1219</v>
      </c>
    </row>
    <row r="1221" spans="1:10" x14ac:dyDescent="0.25">
      <c r="A1221" s="18">
        <v>54</v>
      </c>
      <c r="B1221" s="18" t="s">
        <v>504</v>
      </c>
      <c r="C1221" s="18" t="s">
        <v>515</v>
      </c>
      <c r="D1221" s="35" t="s">
        <v>15</v>
      </c>
      <c r="E1221" s="35" t="s">
        <v>16</v>
      </c>
      <c r="F1221" s="40">
        <v>3</v>
      </c>
      <c r="G1221" s="38">
        <v>18</v>
      </c>
      <c r="J1221" s="19">
        <v>1220</v>
      </c>
    </row>
    <row r="1222" spans="1:10" x14ac:dyDescent="0.25">
      <c r="A1222" s="18">
        <v>54</v>
      </c>
      <c r="B1222" s="18" t="s">
        <v>504</v>
      </c>
      <c r="C1222" s="18" t="s">
        <v>515</v>
      </c>
      <c r="D1222" s="35" t="s">
        <v>15</v>
      </c>
      <c r="E1222" s="35" t="s">
        <v>16</v>
      </c>
      <c r="F1222" s="40">
        <v>4</v>
      </c>
      <c r="G1222" s="38">
        <v>18</v>
      </c>
      <c r="J1222" s="19">
        <v>1221</v>
      </c>
    </row>
    <row r="1223" spans="1:10" x14ac:dyDescent="0.25">
      <c r="A1223" s="18">
        <v>54</v>
      </c>
      <c r="B1223" s="18" t="s">
        <v>504</v>
      </c>
      <c r="C1223" s="18" t="s">
        <v>515</v>
      </c>
      <c r="D1223" s="35" t="s">
        <v>15</v>
      </c>
      <c r="E1223" s="35" t="s">
        <v>16</v>
      </c>
      <c r="F1223" s="40">
        <v>5</v>
      </c>
      <c r="G1223" s="38">
        <v>21</v>
      </c>
      <c r="J1223" s="19">
        <v>1222</v>
      </c>
    </row>
    <row r="1224" spans="1:10" x14ac:dyDescent="0.25">
      <c r="A1224" s="18">
        <v>54</v>
      </c>
      <c r="B1224" s="18" t="s">
        <v>504</v>
      </c>
      <c r="C1224" s="18" t="s">
        <v>515</v>
      </c>
      <c r="D1224" s="35" t="s">
        <v>15</v>
      </c>
      <c r="E1224" s="35" t="s">
        <v>16</v>
      </c>
      <c r="F1224" s="40">
        <v>6</v>
      </c>
      <c r="G1224" s="38">
        <v>18</v>
      </c>
      <c r="J1224" s="19">
        <v>1223</v>
      </c>
    </row>
    <row r="1225" spans="1:10" x14ac:dyDescent="0.25">
      <c r="A1225" s="18">
        <v>54</v>
      </c>
      <c r="B1225" s="18" t="s">
        <v>504</v>
      </c>
      <c r="C1225" s="18" t="s">
        <v>515</v>
      </c>
      <c r="D1225" s="35" t="s">
        <v>15</v>
      </c>
      <c r="E1225" s="35" t="s">
        <v>16</v>
      </c>
      <c r="F1225" s="40">
        <v>7</v>
      </c>
      <c r="G1225" s="38">
        <v>16</v>
      </c>
      <c r="J1225" s="19">
        <v>1224</v>
      </c>
    </row>
    <row r="1226" spans="1:10" x14ac:dyDescent="0.25">
      <c r="A1226" s="18">
        <v>54</v>
      </c>
      <c r="B1226" s="18" t="s">
        <v>504</v>
      </c>
      <c r="C1226" s="18" t="s">
        <v>515</v>
      </c>
      <c r="D1226" s="35" t="s">
        <v>15</v>
      </c>
      <c r="E1226" s="35" t="s">
        <v>16</v>
      </c>
      <c r="F1226" s="40">
        <v>8</v>
      </c>
      <c r="G1226" s="38">
        <v>24</v>
      </c>
      <c r="J1226" s="19">
        <v>1225</v>
      </c>
    </row>
    <row r="1227" spans="1:10" x14ac:dyDescent="0.25">
      <c r="A1227" s="18">
        <v>54</v>
      </c>
      <c r="B1227" s="18" t="s">
        <v>504</v>
      </c>
      <c r="C1227" s="18" t="s">
        <v>515</v>
      </c>
      <c r="D1227" s="35" t="s">
        <v>15</v>
      </c>
      <c r="E1227" s="35" t="s">
        <v>16</v>
      </c>
      <c r="F1227" s="40">
        <v>9</v>
      </c>
      <c r="G1227" s="38">
        <v>15</v>
      </c>
      <c r="J1227" s="19">
        <v>1226</v>
      </c>
    </row>
    <row r="1228" spans="1:10" x14ac:dyDescent="0.25">
      <c r="A1228" s="18">
        <v>54</v>
      </c>
      <c r="B1228" s="18" t="s">
        <v>504</v>
      </c>
      <c r="C1228" s="18" t="s">
        <v>515</v>
      </c>
      <c r="D1228" s="35" t="s">
        <v>15</v>
      </c>
      <c r="E1228" s="35" t="s">
        <v>16</v>
      </c>
      <c r="F1228" s="40">
        <v>10</v>
      </c>
      <c r="G1228" s="38">
        <v>18</v>
      </c>
      <c r="J1228" s="19">
        <v>1227</v>
      </c>
    </row>
    <row r="1229" spans="1:10" x14ac:dyDescent="0.25">
      <c r="A1229" s="18">
        <v>54</v>
      </c>
      <c r="B1229" s="18" t="s">
        <v>504</v>
      </c>
      <c r="C1229" s="18" t="s">
        <v>515</v>
      </c>
      <c r="D1229" s="35" t="s">
        <v>15</v>
      </c>
      <c r="E1229" s="35" t="s">
        <v>16</v>
      </c>
      <c r="F1229" s="40">
        <v>11</v>
      </c>
      <c r="G1229" s="38">
        <v>33</v>
      </c>
      <c r="J1229" s="19">
        <v>1228</v>
      </c>
    </row>
    <row r="1230" spans="1:10" x14ac:dyDescent="0.25">
      <c r="A1230" s="18">
        <v>54</v>
      </c>
      <c r="B1230" s="18" t="s">
        <v>504</v>
      </c>
      <c r="C1230" s="18" t="s">
        <v>515</v>
      </c>
      <c r="D1230" s="35" t="s">
        <v>15</v>
      </c>
      <c r="E1230" s="35" t="s">
        <v>16</v>
      </c>
      <c r="F1230" s="40">
        <v>12</v>
      </c>
      <c r="G1230" s="38">
        <v>21</v>
      </c>
      <c r="J1230" s="19">
        <v>1229</v>
      </c>
    </row>
    <row r="1231" spans="1:10" ht="16.5" thickBot="1" x14ac:dyDescent="0.3">
      <c r="A1231" s="18">
        <v>54</v>
      </c>
      <c r="B1231" s="18" t="s">
        <v>504</v>
      </c>
      <c r="C1231" s="18" t="s">
        <v>515</v>
      </c>
      <c r="D1231" s="36" t="s">
        <v>15</v>
      </c>
      <c r="E1231" s="36" t="s">
        <v>16</v>
      </c>
      <c r="F1231" s="41">
        <v>13</v>
      </c>
      <c r="G1231" s="39">
        <v>13</v>
      </c>
      <c r="H1231" s="21">
        <v>256</v>
      </c>
      <c r="I1231" s="21">
        <v>13</v>
      </c>
      <c r="J1231" s="19">
        <v>1230</v>
      </c>
    </row>
    <row r="1232" spans="1:10" ht="16.5" thickTop="1" x14ac:dyDescent="0.25">
      <c r="A1232" s="18">
        <v>55</v>
      </c>
      <c r="B1232" s="18" t="s">
        <v>504</v>
      </c>
      <c r="C1232" s="18" t="s">
        <v>515</v>
      </c>
      <c r="D1232" s="35" t="s">
        <v>17</v>
      </c>
      <c r="E1232" s="35" t="s">
        <v>18</v>
      </c>
      <c r="F1232" s="40">
        <v>1</v>
      </c>
      <c r="G1232" s="38">
        <v>24</v>
      </c>
      <c r="J1232" s="19">
        <v>1231</v>
      </c>
    </row>
    <row r="1233" spans="1:10" x14ac:dyDescent="0.25">
      <c r="A1233" s="18">
        <v>55</v>
      </c>
      <c r="B1233" s="18" t="s">
        <v>504</v>
      </c>
      <c r="C1233" s="18" t="s">
        <v>515</v>
      </c>
      <c r="D1233" s="35" t="s">
        <v>17</v>
      </c>
      <c r="E1233" s="35" t="s">
        <v>18</v>
      </c>
      <c r="F1233" s="40">
        <v>2</v>
      </c>
      <c r="G1233" s="38">
        <v>21</v>
      </c>
      <c r="J1233" s="19">
        <v>1232</v>
      </c>
    </row>
    <row r="1234" spans="1:10" x14ac:dyDescent="0.25">
      <c r="A1234" s="18">
        <v>55</v>
      </c>
      <c r="B1234" s="18" t="s">
        <v>504</v>
      </c>
      <c r="C1234" s="18" t="s">
        <v>515</v>
      </c>
      <c r="D1234" s="35" t="s">
        <v>17</v>
      </c>
      <c r="E1234" s="35" t="s">
        <v>18</v>
      </c>
      <c r="F1234" s="40">
        <v>3</v>
      </c>
      <c r="G1234" s="38">
        <v>29</v>
      </c>
      <c r="J1234" s="19">
        <v>1233</v>
      </c>
    </row>
    <row r="1235" spans="1:10" x14ac:dyDescent="0.25">
      <c r="A1235" s="18">
        <v>55</v>
      </c>
      <c r="B1235" s="18" t="s">
        <v>504</v>
      </c>
      <c r="C1235" s="18" t="s">
        <v>515</v>
      </c>
      <c r="D1235" s="35" t="s">
        <v>17</v>
      </c>
      <c r="E1235" s="35" t="s">
        <v>18</v>
      </c>
      <c r="F1235" s="40">
        <v>4</v>
      </c>
      <c r="G1235" s="38">
        <v>31</v>
      </c>
      <c r="J1235" s="19">
        <v>1234</v>
      </c>
    </row>
    <row r="1236" spans="1:10" x14ac:dyDescent="0.25">
      <c r="A1236" s="18">
        <v>55</v>
      </c>
      <c r="B1236" s="18" t="s">
        <v>504</v>
      </c>
      <c r="C1236" s="18" t="s">
        <v>515</v>
      </c>
      <c r="D1236" s="35" t="s">
        <v>17</v>
      </c>
      <c r="E1236" s="35" t="s">
        <v>18</v>
      </c>
      <c r="F1236" s="40">
        <v>5</v>
      </c>
      <c r="G1236" s="38">
        <v>26</v>
      </c>
      <c r="J1236" s="19">
        <v>1235</v>
      </c>
    </row>
    <row r="1237" spans="1:10" ht="16.5" thickBot="1" x14ac:dyDescent="0.3">
      <c r="A1237" s="18">
        <v>55</v>
      </c>
      <c r="B1237" s="18" t="s">
        <v>504</v>
      </c>
      <c r="C1237" s="18" t="s">
        <v>515</v>
      </c>
      <c r="D1237" s="36" t="s">
        <v>17</v>
      </c>
      <c r="E1237" s="36" t="s">
        <v>18</v>
      </c>
      <c r="F1237" s="41">
        <v>6</v>
      </c>
      <c r="G1237" s="39">
        <v>18</v>
      </c>
      <c r="H1237" s="21">
        <v>149</v>
      </c>
      <c r="I1237" s="21">
        <v>6</v>
      </c>
      <c r="J1237" s="19">
        <v>1236</v>
      </c>
    </row>
    <row r="1238" spans="1:10" ht="16.5" thickTop="1" x14ac:dyDescent="0.25">
      <c r="A1238" s="18">
        <v>56</v>
      </c>
      <c r="B1238" s="18" t="s">
        <v>504</v>
      </c>
      <c r="C1238" s="18" t="s">
        <v>515</v>
      </c>
      <c r="D1238" s="35" t="s">
        <v>20</v>
      </c>
      <c r="E1238" s="35" t="s">
        <v>19</v>
      </c>
      <c r="F1238" s="40">
        <v>1</v>
      </c>
      <c r="G1238" s="38">
        <v>23</v>
      </c>
      <c r="J1238" s="19">
        <v>1237</v>
      </c>
    </row>
    <row r="1239" spans="1:10" x14ac:dyDescent="0.25">
      <c r="A1239" s="18">
        <v>56</v>
      </c>
      <c r="B1239" s="18" t="s">
        <v>504</v>
      </c>
      <c r="C1239" s="18" t="s">
        <v>515</v>
      </c>
      <c r="D1239" s="35" t="s">
        <v>20</v>
      </c>
      <c r="E1239" s="35" t="s">
        <v>19</v>
      </c>
      <c r="F1239" s="40">
        <v>2</v>
      </c>
      <c r="G1239" s="38">
        <v>22</v>
      </c>
      <c r="J1239" s="19">
        <v>1238</v>
      </c>
    </row>
    <row r="1240" spans="1:10" x14ac:dyDescent="0.25">
      <c r="A1240" s="18">
        <v>56</v>
      </c>
      <c r="B1240" s="18" t="s">
        <v>504</v>
      </c>
      <c r="C1240" s="18" t="s">
        <v>515</v>
      </c>
      <c r="D1240" s="35" t="s">
        <v>20</v>
      </c>
      <c r="E1240" s="35" t="s">
        <v>19</v>
      </c>
      <c r="F1240" s="40">
        <v>3</v>
      </c>
      <c r="G1240" s="38">
        <v>21</v>
      </c>
      <c r="J1240" s="19">
        <v>1239</v>
      </c>
    </row>
    <row r="1241" spans="1:10" x14ac:dyDescent="0.25">
      <c r="A1241" s="18">
        <v>56</v>
      </c>
      <c r="B1241" s="18" t="s">
        <v>504</v>
      </c>
      <c r="C1241" s="18" t="s">
        <v>515</v>
      </c>
      <c r="D1241" s="35" t="s">
        <v>20</v>
      </c>
      <c r="E1241" s="35" t="s">
        <v>19</v>
      </c>
      <c r="F1241" s="40">
        <v>4</v>
      </c>
      <c r="G1241" s="38">
        <v>32</v>
      </c>
      <c r="J1241" s="19">
        <v>1240</v>
      </c>
    </row>
    <row r="1242" spans="1:10" x14ac:dyDescent="0.25">
      <c r="A1242" s="18">
        <v>56</v>
      </c>
      <c r="B1242" s="18" t="s">
        <v>504</v>
      </c>
      <c r="C1242" s="18" t="s">
        <v>515</v>
      </c>
      <c r="D1242" s="35" t="s">
        <v>20</v>
      </c>
      <c r="E1242" s="35" t="s">
        <v>19</v>
      </c>
      <c r="F1242" s="40">
        <v>5</v>
      </c>
      <c r="G1242" s="38">
        <v>33</v>
      </c>
      <c r="J1242" s="19">
        <v>1241</v>
      </c>
    </row>
    <row r="1243" spans="1:10" ht="16.5" thickBot="1" x14ac:dyDescent="0.3">
      <c r="A1243" s="18">
        <v>56</v>
      </c>
      <c r="B1243" s="18" t="s">
        <v>504</v>
      </c>
      <c r="C1243" s="18" t="s">
        <v>515</v>
      </c>
      <c r="D1243" s="36" t="s">
        <v>20</v>
      </c>
      <c r="E1243" s="36" t="s">
        <v>19</v>
      </c>
      <c r="F1243" s="41">
        <v>6</v>
      </c>
      <c r="G1243" s="39">
        <v>24</v>
      </c>
      <c r="H1243" s="21">
        <v>155</v>
      </c>
      <c r="I1243" s="21">
        <v>6</v>
      </c>
      <c r="J1243" s="19">
        <v>1242</v>
      </c>
    </row>
    <row r="1244" spans="1:10" ht="16.5" thickTop="1" x14ac:dyDescent="0.25">
      <c r="A1244" s="18">
        <v>57</v>
      </c>
      <c r="B1244" s="18" t="s">
        <v>504</v>
      </c>
      <c r="C1244" s="18" t="s">
        <v>515</v>
      </c>
      <c r="D1244" s="35" t="s">
        <v>21</v>
      </c>
      <c r="E1244" s="35" t="s">
        <v>22</v>
      </c>
      <c r="F1244" s="40">
        <v>1</v>
      </c>
      <c r="G1244" s="38">
        <v>30</v>
      </c>
      <c r="J1244" s="19">
        <v>1243</v>
      </c>
    </row>
    <row r="1245" spans="1:10" x14ac:dyDescent="0.25">
      <c r="A1245" s="18">
        <v>57</v>
      </c>
      <c r="B1245" s="18" t="s">
        <v>504</v>
      </c>
      <c r="C1245" s="18" t="s">
        <v>515</v>
      </c>
      <c r="D1245" s="35" t="s">
        <v>21</v>
      </c>
      <c r="E1245" s="35" t="s">
        <v>22</v>
      </c>
      <c r="F1245" s="40">
        <v>2</v>
      </c>
      <c r="G1245" s="38">
        <v>30</v>
      </c>
      <c r="J1245" s="19">
        <v>1244</v>
      </c>
    </row>
    <row r="1246" spans="1:10" x14ac:dyDescent="0.25">
      <c r="A1246" s="18">
        <v>57</v>
      </c>
      <c r="B1246" s="18" t="s">
        <v>504</v>
      </c>
      <c r="C1246" s="18" t="s">
        <v>515</v>
      </c>
      <c r="D1246" s="35" t="s">
        <v>21</v>
      </c>
      <c r="E1246" s="35" t="s">
        <v>22</v>
      </c>
      <c r="F1246" s="40">
        <v>3</v>
      </c>
      <c r="G1246" s="38">
        <v>21</v>
      </c>
      <c r="J1246" s="19">
        <v>1245</v>
      </c>
    </row>
    <row r="1247" spans="1:10" ht="16.5" thickBot="1" x14ac:dyDescent="0.3">
      <c r="A1247" s="18">
        <v>57</v>
      </c>
      <c r="B1247" s="18" t="s">
        <v>504</v>
      </c>
      <c r="C1247" s="18" t="s">
        <v>515</v>
      </c>
      <c r="D1247" s="36" t="s">
        <v>21</v>
      </c>
      <c r="E1247" s="36" t="s">
        <v>22</v>
      </c>
      <c r="F1247" s="41">
        <v>4</v>
      </c>
      <c r="G1247" s="39">
        <v>23</v>
      </c>
      <c r="H1247" s="21">
        <v>104</v>
      </c>
      <c r="I1247" s="21">
        <v>4</v>
      </c>
      <c r="J1247" s="19">
        <v>1246</v>
      </c>
    </row>
    <row r="1248" spans="1:10" ht="16.5" thickTop="1" x14ac:dyDescent="0.25">
      <c r="A1248" s="18">
        <v>58</v>
      </c>
      <c r="B1248" s="18" t="s">
        <v>504</v>
      </c>
      <c r="C1248" s="18" t="s">
        <v>515</v>
      </c>
      <c r="D1248" s="35" t="s">
        <v>24</v>
      </c>
      <c r="E1248" s="35" t="s">
        <v>23</v>
      </c>
      <c r="F1248" s="40">
        <v>1</v>
      </c>
      <c r="G1248" s="38">
        <v>29</v>
      </c>
      <c r="J1248" s="19">
        <v>1247</v>
      </c>
    </row>
    <row r="1249" spans="1:10" x14ac:dyDescent="0.25">
      <c r="A1249" s="18">
        <v>58</v>
      </c>
      <c r="B1249" s="18" t="s">
        <v>504</v>
      </c>
      <c r="C1249" s="18" t="s">
        <v>515</v>
      </c>
      <c r="D1249" s="35" t="s">
        <v>24</v>
      </c>
      <c r="E1249" s="35" t="s">
        <v>23</v>
      </c>
      <c r="F1249" s="40">
        <v>2</v>
      </c>
      <c r="G1249" s="38">
        <v>23</v>
      </c>
      <c r="J1249" s="19">
        <v>1248</v>
      </c>
    </row>
    <row r="1250" spans="1:10" x14ac:dyDescent="0.25">
      <c r="A1250" s="18">
        <v>58</v>
      </c>
      <c r="B1250" s="18" t="s">
        <v>504</v>
      </c>
      <c r="C1250" s="18" t="s">
        <v>515</v>
      </c>
      <c r="D1250" s="35" t="s">
        <v>24</v>
      </c>
      <c r="E1250" s="35" t="s">
        <v>23</v>
      </c>
      <c r="F1250" s="40">
        <v>3</v>
      </c>
      <c r="G1250" s="38">
        <v>25</v>
      </c>
      <c r="J1250" s="19">
        <v>1249</v>
      </c>
    </row>
    <row r="1251" spans="1:10" ht="16.5" thickBot="1" x14ac:dyDescent="0.3">
      <c r="A1251" s="18">
        <v>58</v>
      </c>
      <c r="B1251" s="18" t="s">
        <v>504</v>
      </c>
      <c r="C1251" s="18" t="s">
        <v>515</v>
      </c>
      <c r="D1251" s="36" t="s">
        <v>24</v>
      </c>
      <c r="E1251" s="36" t="s">
        <v>23</v>
      </c>
      <c r="F1251" s="41">
        <v>4</v>
      </c>
      <c r="G1251" s="39">
        <v>18</v>
      </c>
      <c r="H1251" s="21">
        <v>95</v>
      </c>
      <c r="I1251" s="21">
        <v>4</v>
      </c>
      <c r="J1251" s="19">
        <v>1250</v>
      </c>
    </row>
    <row r="1252" spans="1:10" ht="16.5" thickTop="1" x14ac:dyDescent="0.25">
      <c r="A1252" s="18">
        <v>59</v>
      </c>
      <c r="B1252" s="18" t="s">
        <v>504</v>
      </c>
      <c r="C1252" s="18" t="s">
        <v>515</v>
      </c>
      <c r="D1252" s="35" t="s">
        <v>25</v>
      </c>
      <c r="E1252" s="35" t="s">
        <v>26</v>
      </c>
      <c r="F1252" s="40">
        <v>1</v>
      </c>
      <c r="G1252" s="38">
        <v>10</v>
      </c>
      <c r="J1252" s="19">
        <v>1251</v>
      </c>
    </row>
    <row r="1253" spans="1:10" x14ac:dyDescent="0.25">
      <c r="A1253" s="18">
        <v>59</v>
      </c>
      <c r="B1253" s="18" t="s">
        <v>504</v>
      </c>
      <c r="C1253" s="18" t="s">
        <v>515</v>
      </c>
      <c r="D1253" s="35" t="s">
        <v>25</v>
      </c>
      <c r="E1253" s="35" t="s">
        <v>26</v>
      </c>
      <c r="F1253" s="40">
        <v>2</v>
      </c>
      <c r="G1253" s="38">
        <v>20</v>
      </c>
      <c r="J1253" s="19">
        <v>1252</v>
      </c>
    </row>
    <row r="1254" spans="1:10" x14ac:dyDescent="0.25">
      <c r="A1254" s="18">
        <v>59</v>
      </c>
      <c r="B1254" s="18" t="s">
        <v>504</v>
      </c>
      <c r="C1254" s="18" t="s">
        <v>515</v>
      </c>
      <c r="D1254" s="35" t="s">
        <v>25</v>
      </c>
      <c r="E1254" s="35" t="s">
        <v>26</v>
      </c>
      <c r="F1254" s="40">
        <v>3</v>
      </c>
      <c r="G1254" s="38">
        <v>13</v>
      </c>
      <c r="J1254" s="19">
        <v>1253</v>
      </c>
    </row>
    <row r="1255" spans="1:10" x14ac:dyDescent="0.25">
      <c r="A1255" s="18">
        <v>59</v>
      </c>
      <c r="B1255" s="18" t="s">
        <v>504</v>
      </c>
      <c r="C1255" s="18" t="s">
        <v>515</v>
      </c>
      <c r="D1255" s="35" t="s">
        <v>25</v>
      </c>
      <c r="E1255" s="35" t="s">
        <v>26</v>
      </c>
      <c r="F1255" s="40">
        <v>4</v>
      </c>
      <c r="G1255" s="38">
        <v>18</v>
      </c>
      <c r="J1255" s="19">
        <v>1254</v>
      </c>
    </row>
    <row r="1256" spans="1:10" ht="16.5" thickBot="1" x14ac:dyDescent="0.3">
      <c r="A1256" s="18">
        <v>59</v>
      </c>
      <c r="B1256" s="18" t="s">
        <v>504</v>
      </c>
      <c r="C1256" s="18" t="s">
        <v>515</v>
      </c>
      <c r="D1256" s="36" t="s">
        <v>25</v>
      </c>
      <c r="E1256" s="36" t="s">
        <v>26</v>
      </c>
      <c r="F1256" s="41">
        <v>5</v>
      </c>
      <c r="G1256" s="39">
        <v>28</v>
      </c>
      <c r="H1256" s="21">
        <v>89</v>
      </c>
      <c r="I1256" s="21">
        <v>5</v>
      </c>
      <c r="J1256" s="19">
        <v>1255</v>
      </c>
    </row>
    <row r="1257" spans="1:10" ht="16.5" thickTop="1" x14ac:dyDescent="0.25">
      <c r="A1257" s="18">
        <v>60</v>
      </c>
      <c r="B1257" s="18" t="s">
        <v>504</v>
      </c>
      <c r="C1257" s="18" t="s">
        <v>515</v>
      </c>
      <c r="D1257" s="35" t="s">
        <v>27</v>
      </c>
      <c r="E1257" s="35" t="s">
        <v>28</v>
      </c>
      <c r="F1257" s="40">
        <v>1</v>
      </c>
      <c r="G1257" s="38">
        <v>12</v>
      </c>
      <c r="J1257" s="19">
        <v>1256</v>
      </c>
    </row>
    <row r="1258" spans="1:10" x14ac:dyDescent="0.25">
      <c r="A1258" s="18">
        <v>60</v>
      </c>
      <c r="B1258" s="18" t="s">
        <v>504</v>
      </c>
      <c r="C1258" s="18" t="s">
        <v>515</v>
      </c>
      <c r="D1258" s="35" t="s">
        <v>27</v>
      </c>
      <c r="E1258" s="35" t="s">
        <v>28</v>
      </c>
      <c r="F1258" s="40">
        <v>2</v>
      </c>
      <c r="G1258" s="38">
        <v>17</v>
      </c>
      <c r="J1258" s="19">
        <v>1257</v>
      </c>
    </row>
    <row r="1259" spans="1:10" ht="16.5" thickBot="1" x14ac:dyDescent="0.3">
      <c r="A1259" s="18">
        <v>60</v>
      </c>
      <c r="B1259" s="18" t="s">
        <v>504</v>
      </c>
      <c r="C1259" s="18" t="s">
        <v>515</v>
      </c>
      <c r="D1259" s="36" t="s">
        <v>27</v>
      </c>
      <c r="E1259" s="36" t="s">
        <v>28</v>
      </c>
      <c r="F1259" s="41">
        <v>3</v>
      </c>
      <c r="G1259" s="39">
        <v>18</v>
      </c>
      <c r="H1259" s="21">
        <v>47</v>
      </c>
      <c r="I1259" s="21">
        <v>3</v>
      </c>
      <c r="J1259" s="19">
        <v>1258</v>
      </c>
    </row>
    <row r="1260" spans="1:10" ht="16.5" thickTop="1" x14ac:dyDescent="0.25">
      <c r="A1260" s="18">
        <v>61</v>
      </c>
      <c r="B1260" s="18" t="s">
        <v>504</v>
      </c>
      <c r="C1260" s="18" t="s">
        <v>515</v>
      </c>
      <c r="D1260" s="35" t="s">
        <v>29</v>
      </c>
      <c r="E1260" s="35" t="s">
        <v>30</v>
      </c>
      <c r="F1260" s="40">
        <v>1</v>
      </c>
      <c r="G1260" s="38">
        <v>20</v>
      </c>
      <c r="J1260" s="19">
        <v>1259</v>
      </c>
    </row>
    <row r="1261" spans="1:10" x14ac:dyDescent="0.25">
      <c r="A1261" s="18">
        <v>61</v>
      </c>
      <c r="B1261" s="18" t="s">
        <v>504</v>
      </c>
      <c r="C1261" s="18" t="s">
        <v>515</v>
      </c>
      <c r="D1261" s="35" t="s">
        <v>29</v>
      </c>
      <c r="E1261" s="35" t="s">
        <v>30</v>
      </c>
      <c r="F1261" s="40">
        <v>2</v>
      </c>
      <c r="G1261" s="38">
        <v>15</v>
      </c>
      <c r="J1261" s="19">
        <v>1260</v>
      </c>
    </row>
    <row r="1262" spans="1:10" x14ac:dyDescent="0.25">
      <c r="A1262" s="18">
        <v>61</v>
      </c>
      <c r="B1262" s="18" t="s">
        <v>504</v>
      </c>
      <c r="C1262" s="18" t="s">
        <v>515</v>
      </c>
      <c r="D1262" s="35" t="s">
        <v>29</v>
      </c>
      <c r="E1262" s="35" t="s">
        <v>30</v>
      </c>
      <c r="F1262" s="40">
        <v>3</v>
      </c>
      <c r="G1262" s="38">
        <v>16</v>
      </c>
      <c r="J1262" s="19">
        <v>1261</v>
      </c>
    </row>
    <row r="1263" spans="1:10" x14ac:dyDescent="0.25">
      <c r="A1263" s="18">
        <v>61</v>
      </c>
      <c r="B1263" s="18" t="s">
        <v>504</v>
      </c>
      <c r="C1263" s="18" t="s">
        <v>515</v>
      </c>
      <c r="D1263" s="35" t="s">
        <v>29</v>
      </c>
      <c r="E1263" s="35" t="s">
        <v>30</v>
      </c>
      <c r="F1263" s="40">
        <v>4</v>
      </c>
      <c r="G1263" s="38">
        <v>16</v>
      </c>
      <c r="J1263" s="19">
        <v>1262</v>
      </c>
    </row>
    <row r="1264" spans="1:10" x14ac:dyDescent="0.25">
      <c r="A1264" s="18">
        <v>61</v>
      </c>
      <c r="B1264" s="18" t="s">
        <v>504</v>
      </c>
      <c r="C1264" s="18" t="s">
        <v>515</v>
      </c>
      <c r="D1264" s="35" t="s">
        <v>29</v>
      </c>
      <c r="E1264" s="35" t="s">
        <v>30</v>
      </c>
      <c r="F1264" s="40">
        <v>5</v>
      </c>
      <c r="G1264" s="38">
        <v>25</v>
      </c>
      <c r="J1264" s="19">
        <v>1263</v>
      </c>
    </row>
    <row r="1265" spans="1:11" ht="16.5" thickBot="1" x14ac:dyDescent="0.3">
      <c r="A1265" s="18">
        <v>61</v>
      </c>
      <c r="B1265" s="18" t="s">
        <v>504</v>
      </c>
      <c r="C1265" s="18" t="s">
        <v>515</v>
      </c>
      <c r="D1265" s="36" t="s">
        <v>29</v>
      </c>
      <c r="E1265" s="36" t="s">
        <v>30</v>
      </c>
      <c r="F1265" s="41">
        <v>6</v>
      </c>
      <c r="G1265" s="39">
        <v>21</v>
      </c>
      <c r="H1265" s="21">
        <v>113</v>
      </c>
      <c r="I1265" s="21">
        <v>6</v>
      </c>
      <c r="J1265" s="19">
        <v>1264</v>
      </c>
    </row>
    <row r="1266" spans="1:11" ht="16.5" thickTop="1" x14ac:dyDescent="0.25">
      <c r="A1266" s="18">
        <v>62</v>
      </c>
      <c r="B1266" s="18" t="s">
        <v>504</v>
      </c>
      <c r="C1266" s="18" t="s">
        <v>515</v>
      </c>
      <c r="D1266" s="35" t="s">
        <v>31</v>
      </c>
      <c r="E1266" s="35" t="s">
        <v>32</v>
      </c>
      <c r="F1266" s="40">
        <v>1</v>
      </c>
      <c r="G1266" s="38">
        <v>18</v>
      </c>
      <c r="J1266" s="19">
        <v>1265</v>
      </c>
    </row>
    <row r="1267" spans="1:11" x14ac:dyDescent="0.25">
      <c r="A1267" s="18">
        <v>62</v>
      </c>
      <c r="B1267" s="18" t="s">
        <v>504</v>
      </c>
      <c r="C1267" s="18" t="s">
        <v>515</v>
      </c>
      <c r="D1267" s="35" t="s">
        <v>31</v>
      </c>
      <c r="E1267" s="35" t="s">
        <v>32</v>
      </c>
      <c r="F1267" s="40">
        <v>2</v>
      </c>
      <c r="G1267" s="38">
        <v>26</v>
      </c>
      <c r="J1267" s="19">
        <v>1266</v>
      </c>
    </row>
    <row r="1268" spans="1:11" x14ac:dyDescent="0.25">
      <c r="A1268" s="18">
        <v>62</v>
      </c>
      <c r="B1268" s="18" t="s">
        <v>504</v>
      </c>
      <c r="C1268" s="18" t="s">
        <v>515</v>
      </c>
      <c r="D1268" s="35" t="s">
        <v>31</v>
      </c>
      <c r="E1268" s="35" t="s">
        <v>32</v>
      </c>
      <c r="F1268" s="40">
        <v>3</v>
      </c>
      <c r="G1268" s="38">
        <v>17</v>
      </c>
      <c r="J1268" s="19">
        <v>1267</v>
      </c>
      <c r="K1268" s="19" t="s">
        <v>875</v>
      </c>
    </row>
    <row r="1269" spans="1:11" ht="16.5" thickBot="1" x14ac:dyDescent="0.3">
      <c r="A1269" s="18">
        <v>62</v>
      </c>
      <c r="B1269" s="18" t="s">
        <v>504</v>
      </c>
      <c r="C1269" s="18" t="s">
        <v>515</v>
      </c>
      <c r="D1269" s="36" t="s">
        <v>31</v>
      </c>
      <c r="E1269" s="36" t="s">
        <v>32</v>
      </c>
      <c r="F1269" s="41">
        <v>4</v>
      </c>
      <c r="G1269" s="39">
        <v>22</v>
      </c>
      <c r="H1269" s="21">
        <v>83</v>
      </c>
      <c r="I1269" s="21">
        <v>4</v>
      </c>
      <c r="J1269" s="19">
        <v>1268</v>
      </c>
    </row>
    <row r="1270" spans="1:11" ht="16.5" thickTop="1" x14ac:dyDescent="0.25">
      <c r="A1270" s="18">
        <v>63</v>
      </c>
      <c r="B1270" s="18" t="s">
        <v>504</v>
      </c>
      <c r="C1270" s="18" t="s">
        <v>515</v>
      </c>
      <c r="D1270" s="35" t="s">
        <v>33</v>
      </c>
      <c r="E1270" s="35" t="s">
        <v>34</v>
      </c>
      <c r="F1270" s="40">
        <v>1</v>
      </c>
      <c r="G1270" s="38">
        <v>16</v>
      </c>
      <c r="J1270" s="19">
        <v>1269</v>
      </c>
    </row>
    <row r="1271" spans="1:11" x14ac:dyDescent="0.25">
      <c r="A1271" s="18">
        <v>63</v>
      </c>
      <c r="B1271" s="18" t="s">
        <v>504</v>
      </c>
      <c r="C1271" s="18" t="s">
        <v>515</v>
      </c>
      <c r="D1271" s="35" t="s">
        <v>33</v>
      </c>
      <c r="E1271" s="35" t="s">
        <v>34</v>
      </c>
      <c r="F1271" s="40">
        <v>2</v>
      </c>
      <c r="G1271" s="38">
        <v>15</v>
      </c>
      <c r="J1271" s="19">
        <v>1270</v>
      </c>
    </row>
    <row r="1272" spans="1:11" ht="16.5" thickBot="1" x14ac:dyDescent="0.3">
      <c r="A1272" s="18">
        <v>63</v>
      </c>
      <c r="B1272" s="18" t="s">
        <v>504</v>
      </c>
      <c r="C1272" s="18" t="s">
        <v>515</v>
      </c>
      <c r="D1272" s="36" t="s">
        <v>33</v>
      </c>
      <c r="E1272" s="36" t="s">
        <v>34</v>
      </c>
      <c r="F1272" s="41">
        <v>3</v>
      </c>
      <c r="G1272" s="39">
        <v>15</v>
      </c>
      <c r="H1272" s="21">
        <v>46</v>
      </c>
      <c r="I1272" s="21">
        <v>3</v>
      </c>
      <c r="J1272" s="19">
        <v>1271</v>
      </c>
    </row>
    <row r="1273" spans="1:11" ht="17.25" thickTop="1" thickBot="1" x14ac:dyDescent="0.3">
      <c r="A1273" s="18">
        <v>64</v>
      </c>
      <c r="B1273" s="18" t="s">
        <v>504</v>
      </c>
      <c r="C1273" s="18" t="s">
        <v>515</v>
      </c>
      <c r="D1273" s="36" t="s">
        <v>35</v>
      </c>
      <c r="E1273" s="36" t="s">
        <v>36</v>
      </c>
      <c r="F1273" s="41">
        <v>1</v>
      </c>
      <c r="G1273" s="39">
        <v>25</v>
      </c>
      <c r="H1273" s="21">
        <v>25</v>
      </c>
      <c r="I1273" s="21">
        <v>1</v>
      </c>
      <c r="J1273" s="19">
        <v>1272</v>
      </c>
    </row>
    <row r="1274" spans="1:11" ht="16.5" thickTop="1" x14ac:dyDescent="0.25">
      <c r="A1274" s="18">
        <v>65</v>
      </c>
      <c r="B1274" s="18" t="s">
        <v>504</v>
      </c>
      <c r="C1274" s="18" t="s">
        <v>516</v>
      </c>
      <c r="D1274" s="35" t="s">
        <v>435</v>
      </c>
      <c r="E1274" s="35" t="s">
        <v>37</v>
      </c>
      <c r="F1274" s="40">
        <v>1</v>
      </c>
      <c r="G1274" s="38">
        <v>14</v>
      </c>
      <c r="J1274" s="19">
        <v>1273</v>
      </c>
    </row>
    <row r="1275" spans="1:11" x14ac:dyDescent="0.25">
      <c r="A1275" s="18">
        <v>65</v>
      </c>
      <c r="B1275" s="18" t="s">
        <v>504</v>
      </c>
      <c r="C1275" s="18" t="s">
        <v>516</v>
      </c>
      <c r="D1275" s="35" t="s">
        <v>435</v>
      </c>
      <c r="E1275" s="35" t="s">
        <v>37</v>
      </c>
      <c r="F1275" s="40">
        <v>2</v>
      </c>
      <c r="G1275" s="38">
        <v>18</v>
      </c>
      <c r="J1275" s="19">
        <v>1274</v>
      </c>
    </row>
    <row r="1276" spans="1:11" x14ac:dyDescent="0.25">
      <c r="A1276" s="18">
        <v>65</v>
      </c>
      <c r="B1276" s="18" t="s">
        <v>504</v>
      </c>
      <c r="C1276" s="18" t="s">
        <v>516</v>
      </c>
      <c r="D1276" s="35" t="s">
        <v>435</v>
      </c>
      <c r="E1276" s="35" t="s">
        <v>37</v>
      </c>
      <c r="F1276" s="40">
        <v>3</v>
      </c>
      <c r="G1276" s="38">
        <v>19</v>
      </c>
      <c r="J1276" s="19">
        <v>1275</v>
      </c>
    </row>
    <row r="1277" spans="1:11" x14ac:dyDescent="0.25">
      <c r="A1277" s="18">
        <v>65</v>
      </c>
      <c r="B1277" s="18" t="s">
        <v>504</v>
      </c>
      <c r="C1277" s="18" t="s">
        <v>516</v>
      </c>
      <c r="D1277" s="35" t="s">
        <v>435</v>
      </c>
      <c r="E1277" s="35" t="s">
        <v>37</v>
      </c>
      <c r="F1277" s="40">
        <v>4</v>
      </c>
      <c r="G1277" s="38">
        <v>16</v>
      </c>
      <c r="J1277" s="19">
        <v>1276</v>
      </c>
    </row>
    <row r="1278" spans="1:11" x14ac:dyDescent="0.25">
      <c r="A1278" s="18">
        <v>65</v>
      </c>
      <c r="B1278" s="18" t="s">
        <v>504</v>
      </c>
      <c r="C1278" s="18" t="s">
        <v>516</v>
      </c>
      <c r="D1278" s="35" t="s">
        <v>435</v>
      </c>
      <c r="E1278" s="35" t="s">
        <v>37</v>
      </c>
      <c r="F1278" s="40">
        <v>5</v>
      </c>
      <c r="G1278" s="38">
        <v>14</v>
      </c>
      <c r="J1278" s="19">
        <v>1277</v>
      </c>
    </row>
    <row r="1279" spans="1:11" x14ac:dyDescent="0.25">
      <c r="A1279" s="18">
        <v>65</v>
      </c>
      <c r="B1279" s="18" t="s">
        <v>504</v>
      </c>
      <c r="C1279" s="18" t="s">
        <v>516</v>
      </c>
      <c r="D1279" s="35" t="s">
        <v>435</v>
      </c>
      <c r="E1279" s="35" t="s">
        <v>37</v>
      </c>
      <c r="F1279" s="40">
        <v>6</v>
      </c>
      <c r="G1279" s="38">
        <v>20</v>
      </c>
      <c r="J1279" s="19">
        <v>1278</v>
      </c>
    </row>
    <row r="1280" spans="1:11" x14ac:dyDescent="0.25">
      <c r="A1280" s="18">
        <v>65</v>
      </c>
      <c r="B1280" s="18" t="s">
        <v>504</v>
      </c>
      <c r="C1280" s="18" t="s">
        <v>516</v>
      </c>
      <c r="D1280" s="35" t="s">
        <v>435</v>
      </c>
      <c r="E1280" s="35" t="s">
        <v>37</v>
      </c>
      <c r="F1280" s="40">
        <v>7</v>
      </c>
      <c r="G1280" s="38">
        <v>28</v>
      </c>
      <c r="J1280" s="19">
        <v>1279</v>
      </c>
    </row>
    <row r="1281" spans="1:10" x14ac:dyDescent="0.25">
      <c r="A1281" s="18">
        <v>65</v>
      </c>
      <c r="B1281" s="18" t="s">
        <v>504</v>
      </c>
      <c r="C1281" s="18" t="s">
        <v>516</v>
      </c>
      <c r="D1281" s="35" t="s">
        <v>435</v>
      </c>
      <c r="E1281" s="35" t="s">
        <v>37</v>
      </c>
      <c r="F1281" s="40">
        <v>8</v>
      </c>
      <c r="G1281" s="38">
        <v>13</v>
      </c>
      <c r="J1281" s="19">
        <v>1280</v>
      </c>
    </row>
    <row r="1282" spans="1:10" x14ac:dyDescent="0.25">
      <c r="A1282" s="18">
        <v>65</v>
      </c>
      <c r="B1282" s="18" t="s">
        <v>504</v>
      </c>
      <c r="C1282" s="18" t="s">
        <v>516</v>
      </c>
      <c r="D1282" s="35" t="s">
        <v>435</v>
      </c>
      <c r="E1282" s="35" t="s">
        <v>37</v>
      </c>
      <c r="F1282" s="40">
        <v>9</v>
      </c>
      <c r="G1282" s="38">
        <v>28</v>
      </c>
      <c r="J1282" s="19">
        <v>1281</v>
      </c>
    </row>
    <row r="1283" spans="1:10" x14ac:dyDescent="0.25">
      <c r="A1283" s="18">
        <v>65</v>
      </c>
      <c r="B1283" s="18" t="s">
        <v>504</v>
      </c>
      <c r="C1283" s="18" t="s">
        <v>516</v>
      </c>
      <c r="D1283" s="35" t="s">
        <v>435</v>
      </c>
      <c r="E1283" s="35" t="s">
        <v>37</v>
      </c>
      <c r="F1283" s="40">
        <v>10</v>
      </c>
      <c r="G1283" s="38">
        <v>39</v>
      </c>
      <c r="J1283" s="19">
        <v>1282</v>
      </c>
    </row>
    <row r="1284" spans="1:10" x14ac:dyDescent="0.25">
      <c r="A1284" s="18">
        <v>65</v>
      </c>
      <c r="B1284" s="18" t="s">
        <v>504</v>
      </c>
      <c r="C1284" s="18" t="s">
        <v>516</v>
      </c>
      <c r="D1284" s="35" t="s">
        <v>435</v>
      </c>
      <c r="E1284" s="35" t="s">
        <v>37</v>
      </c>
      <c r="F1284" s="40">
        <v>11</v>
      </c>
      <c r="G1284" s="38">
        <v>40</v>
      </c>
      <c r="J1284" s="19">
        <v>1283</v>
      </c>
    </row>
    <row r="1285" spans="1:10" x14ac:dyDescent="0.25">
      <c r="A1285" s="18">
        <v>65</v>
      </c>
      <c r="B1285" s="18" t="s">
        <v>504</v>
      </c>
      <c r="C1285" s="18" t="s">
        <v>516</v>
      </c>
      <c r="D1285" s="35" t="s">
        <v>435</v>
      </c>
      <c r="E1285" s="35" t="s">
        <v>37</v>
      </c>
      <c r="F1285" s="40">
        <v>12</v>
      </c>
      <c r="G1285" s="38">
        <v>29</v>
      </c>
      <c r="J1285" s="19">
        <v>1284</v>
      </c>
    </row>
    <row r="1286" spans="1:10" ht="16.5" thickBot="1" x14ac:dyDescent="0.3">
      <c r="A1286" s="18">
        <v>65</v>
      </c>
      <c r="B1286" s="18" t="s">
        <v>504</v>
      </c>
      <c r="C1286" s="18" t="s">
        <v>516</v>
      </c>
      <c r="D1286" s="36" t="s">
        <v>435</v>
      </c>
      <c r="E1286" s="36" t="s">
        <v>37</v>
      </c>
      <c r="F1286" s="41">
        <v>13</v>
      </c>
      <c r="G1286" s="39">
        <v>24</v>
      </c>
      <c r="H1286" s="21">
        <v>302</v>
      </c>
      <c r="I1286" s="21">
        <v>13</v>
      </c>
      <c r="J1286" s="19">
        <v>1285</v>
      </c>
    </row>
    <row r="1287" spans="1:10" ht="16.5" thickTop="1" x14ac:dyDescent="0.25">
      <c r="A1287" s="18">
        <v>66</v>
      </c>
      <c r="B1287" s="18" t="s">
        <v>504</v>
      </c>
      <c r="C1287" s="18" t="s">
        <v>516</v>
      </c>
      <c r="D1287" s="35" t="s">
        <v>38</v>
      </c>
      <c r="E1287" s="35" t="s">
        <v>39</v>
      </c>
      <c r="F1287" s="40">
        <v>1</v>
      </c>
      <c r="G1287" s="38">
        <v>27</v>
      </c>
      <c r="J1287" s="19">
        <v>1286</v>
      </c>
    </row>
    <row r="1288" spans="1:10" x14ac:dyDescent="0.25">
      <c r="A1288" s="18">
        <v>66</v>
      </c>
      <c r="B1288" s="18" t="s">
        <v>504</v>
      </c>
      <c r="C1288" s="18" t="s">
        <v>516</v>
      </c>
      <c r="D1288" s="35" t="s">
        <v>38</v>
      </c>
      <c r="E1288" s="35" t="s">
        <v>39</v>
      </c>
      <c r="F1288" s="40">
        <v>2</v>
      </c>
      <c r="G1288" s="38">
        <v>26</v>
      </c>
      <c r="J1288" s="19">
        <v>1287</v>
      </c>
    </row>
    <row r="1289" spans="1:10" x14ac:dyDescent="0.25">
      <c r="A1289" s="18">
        <v>66</v>
      </c>
      <c r="B1289" s="18" t="s">
        <v>504</v>
      </c>
      <c r="C1289" s="18" t="s">
        <v>516</v>
      </c>
      <c r="D1289" s="35" t="s">
        <v>38</v>
      </c>
      <c r="E1289" s="35" t="s">
        <v>39</v>
      </c>
      <c r="F1289" s="40">
        <v>3</v>
      </c>
      <c r="G1289" s="38">
        <v>18</v>
      </c>
      <c r="J1289" s="19">
        <v>1288</v>
      </c>
    </row>
    <row r="1290" spans="1:10" x14ac:dyDescent="0.25">
      <c r="A1290" s="18">
        <v>66</v>
      </c>
      <c r="B1290" s="18" t="s">
        <v>504</v>
      </c>
      <c r="C1290" s="18" t="s">
        <v>516</v>
      </c>
      <c r="D1290" s="35" t="s">
        <v>38</v>
      </c>
      <c r="E1290" s="35" t="s">
        <v>39</v>
      </c>
      <c r="F1290" s="40">
        <v>4</v>
      </c>
      <c r="G1290" s="38">
        <v>17</v>
      </c>
      <c r="J1290" s="19">
        <v>1289</v>
      </c>
    </row>
    <row r="1291" spans="1:10" ht="16.5" thickBot="1" x14ac:dyDescent="0.3">
      <c r="A1291" s="18">
        <v>66</v>
      </c>
      <c r="B1291" s="18" t="s">
        <v>504</v>
      </c>
      <c r="C1291" s="18" t="s">
        <v>516</v>
      </c>
      <c r="D1291" s="36" t="s">
        <v>38</v>
      </c>
      <c r="E1291" s="36" t="s">
        <v>39</v>
      </c>
      <c r="F1291" s="41">
        <v>5</v>
      </c>
      <c r="G1291" s="39">
        <v>20</v>
      </c>
      <c r="H1291" s="21">
        <v>108</v>
      </c>
      <c r="I1291" s="21">
        <v>5</v>
      </c>
      <c r="J1291" s="19">
        <v>1290</v>
      </c>
    </row>
    <row r="1292" spans="1:10" ht="16.5" thickTop="1" x14ac:dyDescent="0.25">
      <c r="A1292" s="18">
        <v>67</v>
      </c>
      <c r="B1292" s="18" t="s">
        <v>504</v>
      </c>
      <c r="C1292" s="18" t="s">
        <v>516</v>
      </c>
      <c r="D1292" s="35" t="s">
        <v>40</v>
      </c>
      <c r="E1292" s="35" t="s">
        <v>41</v>
      </c>
      <c r="F1292" s="40">
        <v>1</v>
      </c>
      <c r="G1292" s="38">
        <v>25</v>
      </c>
      <c r="J1292" s="19">
        <v>1291</v>
      </c>
    </row>
    <row r="1293" spans="1:10" x14ac:dyDescent="0.25">
      <c r="A1293" s="18">
        <v>67</v>
      </c>
      <c r="B1293" s="18" t="s">
        <v>504</v>
      </c>
      <c r="C1293" s="18" t="s">
        <v>516</v>
      </c>
      <c r="D1293" s="35" t="s">
        <v>40</v>
      </c>
      <c r="E1293" s="35" t="s">
        <v>41</v>
      </c>
      <c r="F1293" s="40">
        <v>2</v>
      </c>
      <c r="G1293" s="38">
        <v>25</v>
      </c>
      <c r="J1293" s="19">
        <v>1292</v>
      </c>
    </row>
    <row r="1294" spans="1:10" x14ac:dyDescent="0.25">
      <c r="A1294" s="18">
        <v>67</v>
      </c>
      <c r="B1294" s="18" t="s">
        <v>504</v>
      </c>
      <c r="C1294" s="18" t="s">
        <v>516</v>
      </c>
      <c r="D1294" s="35" t="s">
        <v>40</v>
      </c>
      <c r="E1294" s="35" t="s">
        <v>41</v>
      </c>
      <c r="F1294" s="40">
        <v>3</v>
      </c>
      <c r="G1294" s="38">
        <v>22</v>
      </c>
      <c r="J1294" s="19">
        <v>1293</v>
      </c>
    </row>
    <row r="1295" spans="1:10" x14ac:dyDescent="0.25">
      <c r="A1295" s="18">
        <v>67</v>
      </c>
      <c r="B1295" s="18" t="s">
        <v>504</v>
      </c>
      <c r="C1295" s="18" t="s">
        <v>516</v>
      </c>
      <c r="D1295" s="35" t="s">
        <v>40</v>
      </c>
      <c r="E1295" s="35" t="s">
        <v>41</v>
      </c>
      <c r="F1295" s="40">
        <v>4</v>
      </c>
      <c r="G1295" s="38">
        <v>19</v>
      </c>
      <c r="J1295" s="19">
        <v>1294</v>
      </c>
    </row>
    <row r="1296" spans="1:10" ht="16.5" thickBot="1" x14ac:dyDescent="0.3">
      <c r="A1296" s="18">
        <v>67</v>
      </c>
      <c r="B1296" s="18" t="s">
        <v>504</v>
      </c>
      <c r="C1296" s="18" t="s">
        <v>516</v>
      </c>
      <c r="D1296" s="36" t="s">
        <v>40</v>
      </c>
      <c r="E1296" s="36" t="s">
        <v>41</v>
      </c>
      <c r="F1296" s="41">
        <v>5</v>
      </c>
      <c r="G1296" s="39">
        <v>14</v>
      </c>
      <c r="H1296" s="21">
        <v>105</v>
      </c>
      <c r="I1296" s="21">
        <v>5</v>
      </c>
      <c r="J1296" s="19">
        <v>1295</v>
      </c>
    </row>
    <row r="1297" spans="1:10" ht="16.5" thickTop="1" x14ac:dyDescent="0.25">
      <c r="A1297" s="18">
        <v>68</v>
      </c>
      <c r="B1297" s="18" t="s">
        <v>504</v>
      </c>
      <c r="C1297" s="18" t="s">
        <v>516</v>
      </c>
      <c r="D1297" s="35" t="s">
        <v>42</v>
      </c>
      <c r="E1297" s="35" t="s">
        <v>43</v>
      </c>
      <c r="F1297" s="40">
        <v>1</v>
      </c>
      <c r="G1297" s="38">
        <v>21</v>
      </c>
      <c r="J1297" s="19">
        <v>1296</v>
      </c>
    </row>
    <row r="1298" spans="1:10" x14ac:dyDescent="0.25">
      <c r="A1298" s="18">
        <v>68</v>
      </c>
      <c r="B1298" s="18" t="s">
        <v>504</v>
      </c>
      <c r="C1298" s="18" t="s">
        <v>516</v>
      </c>
      <c r="D1298" s="35" t="s">
        <v>42</v>
      </c>
      <c r="E1298" s="35" t="s">
        <v>43</v>
      </c>
      <c r="F1298" s="40">
        <v>2</v>
      </c>
      <c r="G1298" s="38">
        <v>22</v>
      </c>
      <c r="J1298" s="19">
        <v>1297</v>
      </c>
    </row>
    <row r="1299" spans="1:10" ht="16.5" thickBot="1" x14ac:dyDescent="0.3">
      <c r="A1299" s="18">
        <v>68</v>
      </c>
      <c r="B1299" s="18" t="s">
        <v>504</v>
      </c>
      <c r="C1299" s="18" t="s">
        <v>516</v>
      </c>
      <c r="D1299" s="36" t="s">
        <v>42</v>
      </c>
      <c r="E1299" s="36" t="s">
        <v>43</v>
      </c>
      <c r="F1299" s="41">
        <v>3</v>
      </c>
      <c r="G1299" s="39">
        <v>18</v>
      </c>
      <c r="H1299" s="21">
        <v>61</v>
      </c>
      <c r="I1299" s="21">
        <v>3</v>
      </c>
      <c r="J1299" s="19">
        <v>1298</v>
      </c>
    </row>
    <row r="1300" spans="1:10" ht="16.5" thickTop="1" x14ac:dyDescent="0.25">
      <c r="A1300" s="18">
        <v>69</v>
      </c>
      <c r="B1300" s="18" t="s">
        <v>504</v>
      </c>
      <c r="C1300" s="18" t="s">
        <v>516</v>
      </c>
      <c r="D1300" s="35" t="s">
        <v>44</v>
      </c>
      <c r="E1300" s="35" t="s">
        <v>45</v>
      </c>
      <c r="F1300" s="40">
        <v>1</v>
      </c>
      <c r="G1300" s="38">
        <v>10</v>
      </c>
      <c r="J1300" s="19">
        <v>1299</v>
      </c>
    </row>
    <row r="1301" spans="1:10" x14ac:dyDescent="0.25">
      <c r="A1301" s="18">
        <v>69</v>
      </c>
      <c r="B1301" s="18" t="s">
        <v>504</v>
      </c>
      <c r="C1301" s="18" t="s">
        <v>516</v>
      </c>
      <c r="D1301" s="35" t="s">
        <v>44</v>
      </c>
      <c r="E1301" s="35" t="s">
        <v>45</v>
      </c>
      <c r="F1301" s="40">
        <v>2</v>
      </c>
      <c r="G1301" s="38">
        <v>29</v>
      </c>
      <c r="J1301" s="19">
        <v>1300</v>
      </c>
    </row>
    <row r="1302" spans="1:10" x14ac:dyDescent="0.25">
      <c r="A1302" s="18">
        <v>69</v>
      </c>
      <c r="B1302" s="18" t="s">
        <v>504</v>
      </c>
      <c r="C1302" s="18" t="s">
        <v>516</v>
      </c>
      <c r="D1302" s="35" t="s">
        <v>44</v>
      </c>
      <c r="E1302" s="35" t="s">
        <v>45</v>
      </c>
      <c r="F1302" s="40">
        <v>3</v>
      </c>
      <c r="G1302" s="38">
        <v>24</v>
      </c>
      <c r="J1302" s="19">
        <v>1301</v>
      </c>
    </row>
    <row r="1303" spans="1:10" x14ac:dyDescent="0.25">
      <c r="A1303" s="18">
        <v>69</v>
      </c>
      <c r="B1303" s="18" t="s">
        <v>504</v>
      </c>
      <c r="C1303" s="18" t="s">
        <v>516</v>
      </c>
      <c r="D1303" s="35" t="s">
        <v>44</v>
      </c>
      <c r="E1303" s="35" t="s">
        <v>45</v>
      </c>
      <c r="F1303" s="40">
        <v>4</v>
      </c>
      <c r="G1303" s="38">
        <v>21</v>
      </c>
      <c r="J1303" s="19">
        <v>1302</v>
      </c>
    </row>
    <row r="1304" spans="1:10" ht="16.5" thickBot="1" x14ac:dyDescent="0.3">
      <c r="A1304" s="18">
        <v>69</v>
      </c>
      <c r="B1304" s="18" t="s">
        <v>504</v>
      </c>
      <c r="C1304" s="18" t="s">
        <v>516</v>
      </c>
      <c r="D1304" s="36" t="s">
        <v>44</v>
      </c>
      <c r="E1304" s="36" t="s">
        <v>45</v>
      </c>
      <c r="F1304" s="41">
        <v>5</v>
      </c>
      <c r="G1304" s="39">
        <v>21</v>
      </c>
      <c r="H1304" s="21">
        <v>105</v>
      </c>
      <c r="I1304" s="21">
        <v>5</v>
      </c>
      <c r="J1304" s="19">
        <v>1303</v>
      </c>
    </row>
    <row r="1305" spans="1:10" ht="17.25" thickTop="1" thickBot="1" x14ac:dyDescent="0.3">
      <c r="A1305" s="18">
        <v>70</v>
      </c>
      <c r="B1305" s="18" t="s">
        <v>504</v>
      </c>
      <c r="C1305" s="18" t="s">
        <v>516</v>
      </c>
      <c r="D1305" s="36" t="s">
        <v>46</v>
      </c>
      <c r="E1305" s="36" t="s">
        <v>47</v>
      </c>
      <c r="F1305" s="41">
        <v>1</v>
      </c>
      <c r="G1305" s="39">
        <v>13</v>
      </c>
      <c r="H1305" s="21">
        <v>13</v>
      </c>
      <c r="I1305" s="21">
        <v>1</v>
      </c>
      <c r="J1305" s="19">
        <v>1304</v>
      </c>
    </row>
    <row r="1306" spans="1:10" ht="17.25" thickTop="1" thickBot="1" x14ac:dyDescent="0.3">
      <c r="A1306" s="18">
        <v>71</v>
      </c>
      <c r="B1306" s="18" t="s">
        <v>504</v>
      </c>
      <c r="C1306" s="18" t="s">
        <v>516</v>
      </c>
      <c r="D1306" s="36" t="s">
        <v>48</v>
      </c>
      <c r="E1306" s="36" t="s">
        <v>49</v>
      </c>
      <c r="F1306" s="41">
        <v>1</v>
      </c>
      <c r="G1306" s="39">
        <v>14</v>
      </c>
      <c r="H1306" s="21">
        <v>14</v>
      </c>
      <c r="I1306" s="21">
        <v>1</v>
      </c>
      <c r="J1306" s="19">
        <v>1305</v>
      </c>
    </row>
    <row r="1307" spans="1:10" ht="17.25" thickTop="1" thickBot="1" x14ac:dyDescent="0.3">
      <c r="A1307" s="18">
        <v>72</v>
      </c>
      <c r="B1307" s="18" t="s">
        <v>504</v>
      </c>
      <c r="C1307" s="18" t="s">
        <v>516</v>
      </c>
      <c r="D1307" s="36" t="s">
        <v>52</v>
      </c>
      <c r="E1307" s="36" t="s">
        <v>53</v>
      </c>
      <c r="F1307" s="41">
        <v>1</v>
      </c>
      <c r="G1307" s="39">
        <v>25</v>
      </c>
      <c r="H1307" s="21">
        <v>25</v>
      </c>
      <c r="I1307" s="21">
        <v>1</v>
      </c>
      <c r="J1307" s="19">
        <v>1306</v>
      </c>
    </row>
    <row r="1308" spans="1:10" ht="16.5" thickTop="1" x14ac:dyDescent="0.25">
      <c r="A1308" s="22">
        <v>73</v>
      </c>
      <c r="B1308" s="22" t="s">
        <v>504</v>
      </c>
      <c r="C1308" s="22" t="s">
        <v>517</v>
      </c>
      <c r="D1308" s="35" t="s">
        <v>50</v>
      </c>
      <c r="E1308" s="35" t="s">
        <v>51</v>
      </c>
      <c r="F1308" s="40">
        <v>1</v>
      </c>
      <c r="G1308" s="38">
        <v>20</v>
      </c>
      <c r="H1308" s="20"/>
      <c r="I1308" s="20"/>
      <c r="J1308" s="20">
        <v>1307</v>
      </c>
    </row>
    <row r="1309" spans="1:10" x14ac:dyDescent="0.25">
      <c r="A1309" s="22">
        <v>73</v>
      </c>
      <c r="B1309" s="22" t="s">
        <v>504</v>
      </c>
      <c r="C1309" s="22" t="s">
        <v>517</v>
      </c>
      <c r="D1309" s="35" t="s">
        <v>50</v>
      </c>
      <c r="E1309" s="35" t="s">
        <v>51</v>
      </c>
      <c r="F1309" s="40">
        <v>2</v>
      </c>
      <c r="G1309" s="38">
        <v>29</v>
      </c>
      <c r="H1309" s="20"/>
      <c r="I1309" s="20"/>
      <c r="J1309" s="20">
        <v>1308</v>
      </c>
    </row>
    <row r="1310" spans="1:10" x14ac:dyDescent="0.25">
      <c r="A1310" s="22">
        <v>73</v>
      </c>
      <c r="B1310" s="22" t="s">
        <v>504</v>
      </c>
      <c r="C1310" s="22" t="s">
        <v>517</v>
      </c>
      <c r="D1310" s="35" t="s">
        <v>50</v>
      </c>
      <c r="E1310" s="35" t="s">
        <v>51</v>
      </c>
      <c r="F1310" s="40">
        <v>3</v>
      </c>
      <c r="G1310" s="38">
        <v>22</v>
      </c>
      <c r="H1310" s="20"/>
      <c r="I1310" s="20"/>
      <c r="J1310" s="20">
        <v>1309</v>
      </c>
    </row>
    <row r="1311" spans="1:10" x14ac:dyDescent="0.25">
      <c r="A1311" s="22">
        <v>73</v>
      </c>
      <c r="B1311" s="22" t="s">
        <v>504</v>
      </c>
      <c r="C1311" s="22" t="s">
        <v>517</v>
      </c>
      <c r="D1311" s="35" t="s">
        <v>50</v>
      </c>
      <c r="E1311" s="35" t="s">
        <v>51</v>
      </c>
      <c r="F1311" s="40">
        <v>4</v>
      </c>
      <c r="G1311" s="38">
        <v>11</v>
      </c>
      <c r="H1311" s="20"/>
      <c r="I1311" s="20"/>
      <c r="J1311" s="20">
        <v>1310</v>
      </c>
    </row>
    <row r="1312" spans="1:10" x14ac:dyDescent="0.25">
      <c r="A1312" s="22">
        <v>73</v>
      </c>
      <c r="B1312" s="22" t="s">
        <v>504</v>
      </c>
      <c r="C1312" s="22" t="s">
        <v>517</v>
      </c>
      <c r="D1312" s="35" t="s">
        <v>50</v>
      </c>
      <c r="E1312" s="35" t="s">
        <v>51</v>
      </c>
      <c r="F1312" s="40">
        <v>5</v>
      </c>
      <c r="G1312" s="38">
        <v>14</v>
      </c>
      <c r="H1312" s="20"/>
      <c r="I1312" s="20"/>
      <c r="J1312" s="20">
        <v>1311</v>
      </c>
    </row>
    <row r="1313" spans="1:10" x14ac:dyDescent="0.25">
      <c r="A1313" s="22">
        <v>73</v>
      </c>
      <c r="B1313" s="22" t="s">
        <v>504</v>
      </c>
      <c r="C1313" s="22" t="s">
        <v>517</v>
      </c>
      <c r="D1313" s="35" t="s">
        <v>50</v>
      </c>
      <c r="E1313" s="35" t="s">
        <v>51</v>
      </c>
      <c r="F1313" s="40">
        <v>6</v>
      </c>
      <c r="G1313" s="38">
        <v>17</v>
      </c>
      <c r="H1313" s="20"/>
      <c r="I1313" s="20"/>
      <c r="J1313" s="20">
        <v>1312</v>
      </c>
    </row>
    <row r="1314" spans="1:10" x14ac:dyDescent="0.25">
      <c r="A1314" s="22">
        <v>73</v>
      </c>
      <c r="B1314" s="22" t="s">
        <v>504</v>
      </c>
      <c r="C1314" s="22" t="s">
        <v>517</v>
      </c>
      <c r="D1314" s="35" t="s">
        <v>50</v>
      </c>
      <c r="E1314" s="35" t="s">
        <v>51</v>
      </c>
      <c r="F1314" s="40">
        <v>7</v>
      </c>
      <c r="G1314" s="38">
        <v>17</v>
      </c>
      <c r="H1314" s="20"/>
      <c r="I1314" s="20"/>
      <c r="J1314" s="20">
        <v>1313</v>
      </c>
    </row>
    <row r="1315" spans="1:10" x14ac:dyDescent="0.25">
      <c r="A1315" s="22">
        <v>73</v>
      </c>
      <c r="B1315" s="22" t="s">
        <v>504</v>
      </c>
      <c r="C1315" s="22" t="s">
        <v>517</v>
      </c>
      <c r="D1315" s="35" t="s">
        <v>50</v>
      </c>
      <c r="E1315" s="35" t="s">
        <v>51</v>
      </c>
      <c r="F1315" s="40">
        <v>8</v>
      </c>
      <c r="G1315" s="38">
        <v>13</v>
      </c>
      <c r="H1315" s="20"/>
      <c r="I1315" s="20"/>
      <c r="J1315" s="20">
        <v>1314</v>
      </c>
    </row>
    <row r="1316" spans="1:10" x14ac:dyDescent="0.25">
      <c r="A1316" s="22">
        <v>73</v>
      </c>
      <c r="B1316" s="22" t="s">
        <v>504</v>
      </c>
      <c r="C1316" s="22" t="s">
        <v>517</v>
      </c>
      <c r="D1316" s="35" t="s">
        <v>50</v>
      </c>
      <c r="E1316" s="35" t="s">
        <v>51</v>
      </c>
      <c r="F1316" s="40">
        <v>9</v>
      </c>
      <c r="G1316" s="38">
        <v>21</v>
      </c>
      <c r="H1316" s="20"/>
      <c r="I1316" s="20"/>
      <c r="J1316" s="20">
        <v>1315</v>
      </c>
    </row>
    <row r="1317" spans="1:10" x14ac:dyDescent="0.25">
      <c r="A1317" s="22">
        <v>73</v>
      </c>
      <c r="B1317" s="22" t="s">
        <v>504</v>
      </c>
      <c r="C1317" s="22" t="s">
        <v>517</v>
      </c>
      <c r="D1317" s="35" t="s">
        <v>50</v>
      </c>
      <c r="E1317" s="35" t="s">
        <v>51</v>
      </c>
      <c r="F1317" s="40">
        <v>10</v>
      </c>
      <c r="G1317" s="38">
        <v>11</v>
      </c>
      <c r="H1317" s="20"/>
      <c r="I1317" s="20"/>
      <c r="J1317" s="20">
        <v>1316</v>
      </c>
    </row>
    <row r="1318" spans="1:10" x14ac:dyDescent="0.25">
      <c r="A1318" s="22">
        <v>73</v>
      </c>
      <c r="B1318" s="22" t="s">
        <v>504</v>
      </c>
      <c r="C1318" s="22" t="s">
        <v>517</v>
      </c>
      <c r="D1318" s="35" t="s">
        <v>50</v>
      </c>
      <c r="E1318" s="35" t="s">
        <v>51</v>
      </c>
      <c r="F1318" s="40">
        <v>11</v>
      </c>
      <c r="G1318" s="38">
        <v>19</v>
      </c>
      <c r="H1318" s="20"/>
      <c r="I1318" s="20"/>
      <c r="J1318" s="20">
        <v>1317</v>
      </c>
    </row>
    <row r="1319" spans="1:10" x14ac:dyDescent="0.25">
      <c r="A1319" s="22">
        <v>73</v>
      </c>
      <c r="B1319" s="22" t="s">
        <v>504</v>
      </c>
      <c r="C1319" s="22" t="s">
        <v>517</v>
      </c>
      <c r="D1319" s="35" t="s">
        <v>50</v>
      </c>
      <c r="E1319" s="35" t="s">
        <v>51</v>
      </c>
      <c r="F1319" s="40">
        <v>12</v>
      </c>
      <c r="G1319" s="38">
        <v>18</v>
      </c>
      <c r="H1319" s="20"/>
      <c r="I1319" s="20"/>
      <c r="J1319" s="20">
        <v>1318</v>
      </c>
    </row>
    <row r="1320" spans="1:10" x14ac:dyDescent="0.25">
      <c r="A1320" s="22">
        <v>73</v>
      </c>
      <c r="B1320" s="22" t="s">
        <v>504</v>
      </c>
      <c r="C1320" s="22" t="s">
        <v>517</v>
      </c>
      <c r="D1320" s="35" t="s">
        <v>50</v>
      </c>
      <c r="E1320" s="35" t="s">
        <v>51</v>
      </c>
      <c r="F1320" s="40">
        <v>13</v>
      </c>
      <c r="G1320" s="38">
        <v>18</v>
      </c>
      <c r="H1320" s="20"/>
      <c r="I1320" s="20"/>
      <c r="J1320" s="20">
        <v>1319</v>
      </c>
    </row>
    <row r="1321" spans="1:10" x14ac:dyDescent="0.25">
      <c r="A1321" s="22">
        <v>73</v>
      </c>
      <c r="B1321" s="22" t="s">
        <v>504</v>
      </c>
      <c r="C1321" s="22" t="s">
        <v>517</v>
      </c>
      <c r="D1321" s="35" t="s">
        <v>50</v>
      </c>
      <c r="E1321" s="35" t="s">
        <v>51</v>
      </c>
      <c r="F1321" s="40">
        <v>14</v>
      </c>
      <c r="G1321" s="38">
        <v>20</v>
      </c>
      <c r="H1321" s="20"/>
      <c r="I1321" s="20"/>
      <c r="J1321" s="20">
        <v>1320</v>
      </c>
    </row>
    <row r="1322" spans="1:10" x14ac:dyDescent="0.25">
      <c r="A1322" s="22">
        <v>73</v>
      </c>
      <c r="B1322" s="22" t="s">
        <v>504</v>
      </c>
      <c r="C1322" s="22" t="s">
        <v>517</v>
      </c>
      <c r="D1322" s="35" t="s">
        <v>50</v>
      </c>
      <c r="E1322" s="35" t="s">
        <v>51</v>
      </c>
      <c r="F1322" s="40">
        <v>15</v>
      </c>
      <c r="G1322" s="38">
        <v>8</v>
      </c>
      <c r="H1322" s="20"/>
      <c r="I1322" s="20"/>
      <c r="J1322" s="20">
        <v>1321</v>
      </c>
    </row>
    <row r="1323" spans="1:10" x14ac:dyDescent="0.25">
      <c r="A1323" s="22">
        <v>73</v>
      </c>
      <c r="B1323" s="22" t="s">
        <v>504</v>
      </c>
      <c r="C1323" s="22" t="s">
        <v>517</v>
      </c>
      <c r="D1323" s="35" t="s">
        <v>50</v>
      </c>
      <c r="E1323" s="35" t="s">
        <v>51</v>
      </c>
      <c r="F1323" s="40">
        <v>16</v>
      </c>
      <c r="G1323" s="38">
        <v>21</v>
      </c>
      <c r="H1323" s="20"/>
      <c r="I1323" s="20"/>
      <c r="J1323" s="20">
        <v>1322</v>
      </c>
    </row>
    <row r="1324" spans="1:10" x14ac:dyDescent="0.25">
      <c r="A1324" s="22">
        <v>73</v>
      </c>
      <c r="B1324" s="22" t="s">
        <v>504</v>
      </c>
      <c r="C1324" s="22" t="s">
        <v>517</v>
      </c>
      <c r="D1324" s="35" t="s">
        <v>50</v>
      </c>
      <c r="E1324" s="35" t="s">
        <v>51</v>
      </c>
      <c r="F1324" s="40">
        <v>17</v>
      </c>
      <c r="G1324" s="38">
        <v>18</v>
      </c>
      <c r="H1324" s="20"/>
      <c r="I1324" s="20"/>
      <c r="J1324" s="20">
        <v>1323</v>
      </c>
    </row>
    <row r="1325" spans="1:10" x14ac:dyDescent="0.25">
      <c r="A1325" s="22">
        <v>73</v>
      </c>
      <c r="B1325" s="22" t="s">
        <v>504</v>
      </c>
      <c r="C1325" s="22" t="s">
        <v>517</v>
      </c>
      <c r="D1325" s="35" t="s">
        <v>50</v>
      </c>
      <c r="E1325" s="35" t="s">
        <v>51</v>
      </c>
      <c r="F1325" s="40">
        <v>18</v>
      </c>
      <c r="G1325" s="38">
        <v>24</v>
      </c>
      <c r="H1325" s="20"/>
      <c r="I1325" s="20"/>
      <c r="J1325" s="20">
        <v>1324</v>
      </c>
    </row>
    <row r="1326" spans="1:10" x14ac:dyDescent="0.25">
      <c r="A1326" s="22">
        <v>73</v>
      </c>
      <c r="B1326" s="22" t="s">
        <v>504</v>
      </c>
      <c r="C1326" s="22" t="s">
        <v>517</v>
      </c>
      <c r="D1326" s="35" t="s">
        <v>50</v>
      </c>
      <c r="E1326" s="35" t="s">
        <v>51</v>
      </c>
      <c r="F1326" s="40">
        <v>19</v>
      </c>
      <c r="G1326" s="38">
        <v>21</v>
      </c>
      <c r="H1326" s="20"/>
      <c r="I1326" s="20"/>
      <c r="J1326" s="20">
        <v>1325</v>
      </c>
    </row>
    <row r="1327" spans="1:10" x14ac:dyDescent="0.25">
      <c r="A1327" s="22">
        <v>73</v>
      </c>
      <c r="B1327" s="22" t="s">
        <v>504</v>
      </c>
      <c r="C1327" s="22" t="s">
        <v>517</v>
      </c>
      <c r="D1327" s="35" t="s">
        <v>50</v>
      </c>
      <c r="E1327" s="35" t="s">
        <v>51</v>
      </c>
      <c r="F1327" s="40">
        <v>20</v>
      </c>
      <c r="G1327" s="38">
        <v>15</v>
      </c>
      <c r="H1327" s="20"/>
      <c r="I1327" s="20"/>
      <c r="J1327" s="20">
        <v>1326</v>
      </c>
    </row>
    <row r="1328" spans="1:10" x14ac:dyDescent="0.25">
      <c r="A1328" s="22">
        <v>73</v>
      </c>
      <c r="B1328" s="22" t="s">
        <v>504</v>
      </c>
      <c r="C1328" s="22" t="s">
        <v>517</v>
      </c>
      <c r="D1328" s="35" t="s">
        <v>50</v>
      </c>
      <c r="E1328" s="35" t="s">
        <v>51</v>
      </c>
      <c r="F1328" s="40">
        <v>21</v>
      </c>
      <c r="G1328" s="38">
        <v>27</v>
      </c>
      <c r="H1328" s="20"/>
      <c r="I1328" s="20"/>
      <c r="J1328" s="20">
        <v>1327</v>
      </c>
    </row>
    <row r="1329" spans="1:10" ht="16.5" thickBot="1" x14ac:dyDescent="0.3">
      <c r="A1329" s="22">
        <v>73</v>
      </c>
      <c r="B1329" s="22" t="s">
        <v>504</v>
      </c>
      <c r="C1329" s="22" t="s">
        <v>517</v>
      </c>
      <c r="D1329" s="36" t="s">
        <v>50</v>
      </c>
      <c r="E1329" s="36" t="s">
        <v>51</v>
      </c>
      <c r="F1329" s="41">
        <v>22</v>
      </c>
      <c r="G1329" s="39">
        <v>20</v>
      </c>
      <c r="H1329" s="23">
        <v>404</v>
      </c>
      <c r="I1329" s="23">
        <v>22</v>
      </c>
      <c r="J1329" s="20">
        <v>1328</v>
      </c>
    </row>
    <row r="1330" spans="1:10" ht="16.5" thickTop="1" x14ac:dyDescent="0.25"/>
  </sheetData>
  <autoFilter ref="A1:J1329" xr:uid="{08A0FA6D-68D2-4306-B99C-3F1FD790BF65}"/>
  <hyperlinks>
    <hyperlink ref="F1070" location="'Mt1-74'!A1" display="'Mt1-74'!A1" xr:uid="{09AF3727-6877-4752-A0EF-81810F65259E}"/>
    <hyperlink ref="F1071" location="'Mt2-74'!A1" display="'Mt2-74'!A1" xr:uid="{F2408FF4-33DE-4474-8C4B-E9B460D12B80}"/>
    <hyperlink ref="F1072" location="'Mt3-74'!A1" display="'Mt3-74'!A1" xr:uid="{D83F8D7F-183E-4ABC-921F-3F9316CE3345}"/>
    <hyperlink ref="F1073" location="'Mt4-74'!A1" display="'Mt4-74'!A1" xr:uid="{B5F4EACF-B687-468C-B28B-B39B0FA1ECD1}"/>
    <hyperlink ref="F1074" location="'Mt5-74'!A1" display="'Mt5-74'!A1" xr:uid="{5692FED5-63EF-4F87-891D-1AFC71953549}"/>
    <hyperlink ref="F1075" location="'Mt6-74'!A1" display="'Mt6-74'!A1" xr:uid="{8801B759-41F1-4C9D-917E-836FB3DF73AB}"/>
    <hyperlink ref="F1076" location="'Mt7-74'!A1" display="'Mt7-74'!A1" xr:uid="{D663D9D0-EAA6-49F7-8B35-9A3176C7363F}"/>
    <hyperlink ref="F1077" location="'Mt8-74'!A1" display="'Mt8-74'!A1" xr:uid="{2044CE99-F1C2-404B-9787-595F390147AE}"/>
    <hyperlink ref="F1078" location="'Mt9-74'!A1" display="'Mt9-74'!A1" xr:uid="{2691F606-AA75-489B-96B4-2CD86E08DCC4}"/>
    <hyperlink ref="F1079" location="'Mt10-74'!A1" display="'Mt10-74'!A1" xr:uid="{7D881305-DA59-4658-9EE8-5B0101A3FA29}"/>
    <hyperlink ref="F1080" location="'Mt11-74'!A1" display="'Mt11-74'!A1" xr:uid="{D69E6EC4-6416-430A-9DCC-2E0F4B2DFA22}"/>
    <hyperlink ref="F1081" location="'Mt12-74'!A1" display="'Mt12-74'!A1" xr:uid="{48AC83B2-6B56-4E5E-93B3-FC54B32C69D9}"/>
    <hyperlink ref="F1082" location="'Mt13-74'!A1" display="'Mt13-74'!A1" xr:uid="{20DA89FC-A6DE-4A4C-B518-084329538B15}"/>
    <hyperlink ref="F1083" location="'Mt14-74'!A1" display="'Mt14-74'!A1" xr:uid="{E76A4D13-D537-47C8-9A4A-396194E19567}"/>
    <hyperlink ref="F1084" location="'Mt15-74'!A1" display="'Mt15-74'!A1" xr:uid="{24BB861A-A80A-4F14-92B1-7BAE51380833}"/>
    <hyperlink ref="F1085" location="'Mt16-74'!A1" display="'Mt16-74'!A1" xr:uid="{F04F2E89-ECA9-42D4-9FD1-A52DBD3745F7}"/>
    <hyperlink ref="F1086" location="'Mt17-74'!A1" display="'Mt17-74'!A1" xr:uid="{FBC88B1D-E289-44E8-949E-68ED7534404A}"/>
    <hyperlink ref="F1087" location="'Mt18-74'!A1" display="'Mt18-74'!A1" xr:uid="{5C0D53F1-0DA2-4B9B-8ED6-D0DEB1DBBEEF}"/>
    <hyperlink ref="F1088" location="'Mt19-74'!A1" display="'Mt19-74'!A1" xr:uid="{B96DB34E-0CB9-4CB7-B7F8-D743E8C8E1F4}"/>
    <hyperlink ref="F1089" location="'Mt20-74'!A1" display="'Mt20-74'!A1" xr:uid="{25EE3E62-4C33-4FEA-96AF-0A3A66C74B35}"/>
    <hyperlink ref="F1090" location="'Mt21-74'!A1" display="'Mt21-74'!A1" xr:uid="{DC11E10F-B06D-4BA4-B752-2C002945D88E}"/>
    <hyperlink ref="F1091" location="'Mt22-74'!A1" display="'Mt22-74'!A1" xr:uid="{10DE5E8A-C073-46F9-AFFF-4A83C7DA14A5}"/>
    <hyperlink ref="F1092" location="'Mt23-74'!A1" display="'Mt23-74'!A1" xr:uid="{169A2C44-C137-4AA8-A09E-F757F2D3DDF6}"/>
    <hyperlink ref="F1093" location="'Mt24-74'!A1" display="'Mt24-74'!A1" xr:uid="{AD6BD8AF-D06A-404B-BBFD-563453F842E9}"/>
    <hyperlink ref="F1094" location="'Mt25-74'!A1" display="'Mt25-74'!A1" xr:uid="{2E172C43-5F26-416E-A91A-A26AD6AFDED9}"/>
    <hyperlink ref="F1095" location="'Mt26-74'!A1" display="'Mt26-74'!A1" xr:uid="{783D399E-02B2-4416-84F3-29DEB4CC4A6B}"/>
    <hyperlink ref="F1096" location="'Mt27-74'!A1" display="'Mt27-74'!A1" xr:uid="{EFC3CC54-7902-4173-9608-567B551C4774}"/>
    <hyperlink ref="F1097" location="'Mt28-74'!A1" display="'Mt28-74'!A1" xr:uid="{29983785-26D3-4358-A2A1-A9813BF33978}"/>
    <hyperlink ref="F1099" location="'Mc2-74'!A1" display="'Mc2-74'!A1" xr:uid="{496D8A2C-209C-4883-A7E2-F1F56475400E}"/>
    <hyperlink ref="F1100" location="'Mc3-74'!A1" display="'Mc3-74'!A1" xr:uid="{012D440F-9815-429B-9F05-A4F212A85474}"/>
    <hyperlink ref="F1101" location="'Mc4-74'!A1" display="'Mc4-74'!A1" xr:uid="{D2894D20-22FC-4A06-9601-5FAE8BC5B27D}"/>
    <hyperlink ref="F1102" location="'Mc5-74'!A1" display="'Mc5-74'!A1" xr:uid="{EB511DEE-E024-48C6-A1E7-22C58F8BCE73}"/>
    <hyperlink ref="F1103" location="'Mc6-74'!A1" display="'Mc6-74'!A1" xr:uid="{B943735B-048D-45D0-8982-3C8818260F82}"/>
    <hyperlink ref="F1104" location="'Mc7-74'!A1" display="'Mc7-74'!A1" xr:uid="{BDAF5EF6-91A7-4D8D-8B49-DAEA0851D570}"/>
    <hyperlink ref="F1105" location="'Mc8-74'!A1" display="'Mc8-74'!A1" xr:uid="{C335E3F3-EA80-4045-A10A-AD0DD6948180}"/>
    <hyperlink ref="F1106" location="'Mc9-74'!A1" display="'Mc9-74'!A1" xr:uid="{2FFA24A2-2132-44DD-B9BA-0B8B133222D0}"/>
    <hyperlink ref="F1098" location="'Mc1-74'!A1" display="'Mc1-74'!A1" xr:uid="{09B1EEF4-5BB3-4241-9932-620EF1373876}"/>
    <hyperlink ref="F1108" location="'Mc11-74'!A1" display="11" xr:uid="{A853E42D-1F55-4BBD-AF05-2DCD5330A8D9}"/>
    <hyperlink ref="F1109" location="'Mc12-74'!A1" display="12" xr:uid="{CF2DC800-425B-4C51-A4B9-67E2F83CD022}"/>
    <hyperlink ref="F1110" location="'Mc13-74'!A1" display="13" xr:uid="{A66A4FE7-67ED-4584-981A-464E6419F2EA}"/>
    <hyperlink ref="F1111" location="'Mc14-74'!A1" display="14" xr:uid="{45343D1F-5DBA-41D3-975D-41A8923A1B99}"/>
    <hyperlink ref="F1112" location="'Mc15-74'!A1" display="15" xr:uid="{C6EC9EA8-F14D-4569-8EB0-5C4E4DDAC188}"/>
    <hyperlink ref="F1113" location="'Mc16-74'!A1" display="16" xr:uid="{AAD9F925-7C96-4B3F-9BEE-B16C8D6ED20A}"/>
    <hyperlink ref="F1114" location="'Lc1-74'!A1" display="1" xr:uid="{BE932CC6-671F-47AC-86EA-687910DBD5D8}"/>
    <hyperlink ref="F1115" location="'Lc2-74'!A1" display="2" xr:uid="{9E3DF3A6-1070-4051-B990-FF4079B7DC3B}"/>
    <hyperlink ref="F1116" location="'Lc3-74'!A1" display="3" xr:uid="{5863A581-D94E-4A62-8E8E-0A662905E4D4}"/>
    <hyperlink ref="F1117" location="'Lc4-74'!A1" display="4" xr:uid="{E532F633-AE97-41DF-BF2C-27F572B1D6ED}"/>
    <hyperlink ref="F1118" location="'Lc5-74'!A1" display="5" xr:uid="{CCA24EDD-3C77-480B-843D-85D6F56D6D17}"/>
    <hyperlink ref="F1119" location="'Lc6-74'!A1" display="6" xr:uid="{BA9E2659-1483-41ED-ADE2-A4153682257E}"/>
    <hyperlink ref="F1120" location="'Lc7-74'!A1" display="7" xr:uid="{D7CADC1D-9CB2-4B41-817B-725487601A19}"/>
    <hyperlink ref="F1121" location="'Lc8-74'!A1" display="8" xr:uid="{9739547D-452A-48C8-A50F-955D498C21F6}"/>
    <hyperlink ref="F1122" location="'Lc9-74'!A1" display="9" xr:uid="{0157D7C3-3478-4F2D-AA67-8F67B0E6BF2F}"/>
    <hyperlink ref="F1123" location="'Lc10-74'!A1" display="10" xr:uid="{456F3860-5034-45A7-AC83-33B14E0C2922}"/>
    <hyperlink ref="F1124" location="'Lc11-74'!A1" display="11" xr:uid="{56562EE4-D961-4A81-AC03-1B066DD02EB3}"/>
    <hyperlink ref="F1125" location="'Lc12-74'!A1" display="12" xr:uid="{05047E05-852B-46DD-B420-67B9F8073EC3}"/>
    <hyperlink ref="F1126" location="'Lc13-74'!A1" display="13" xr:uid="{C9F8AF32-AA15-4834-9CD8-5CE8E359C87E}"/>
    <hyperlink ref="F1127" location="'Lc14-74'!A1" display="14" xr:uid="{24F01499-7D3B-404A-8685-FF637312606F}"/>
    <hyperlink ref="F1128" location="'Lc15-74'!A1" display="15" xr:uid="{FA2C99CB-90F2-4115-9E54-EFC43CCAB8EC}"/>
    <hyperlink ref="F1129" location="'Lc16-74'!A1" display="16" xr:uid="{2F3955A3-44BA-4E8A-A149-1BA6A5843484}"/>
    <hyperlink ref="F1130" location="'Lc17-74'!A1" display="17" xr:uid="{BDAF53DE-254F-4DBC-A109-607275014ACE}"/>
    <hyperlink ref="F1131" location="'Lc18-74'!A1" display="18" xr:uid="{0C89A81A-8FB1-4C32-B1F6-C5E1EBFAECF2}"/>
    <hyperlink ref="F1132" location="'Lc19-74'!A1" display="19" xr:uid="{52D5AF88-BDA4-426D-BAAF-40C4D923133A}"/>
    <hyperlink ref="F1133" location="'Lc20-74'!A1" display="20" xr:uid="{DD70C70E-380C-422E-91A1-A62FF44CB387}"/>
    <hyperlink ref="F1134" location="'Lc21-74'!A1" display="21" xr:uid="{E582B3BF-ED8A-4C6E-844F-B84B2CBF0EE7}"/>
    <hyperlink ref="F1135" location="'Lc22-74'!A1" display="22" xr:uid="{B46DAF54-713B-4525-B554-EE2A1CD9037F}"/>
    <hyperlink ref="F1136" location="'Lc23-74'!A1" display="23" xr:uid="{4F5C2A3D-89FC-4D87-8187-8438529F715B}"/>
    <hyperlink ref="F1137" location="'Lc24-74'!A1" display="24" xr:uid="{6B44DB67-D818-4E12-8E8A-32936E2B5A94}"/>
    <hyperlink ref="F1138" location="'Gv1-74'!A1" display="1" xr:uid="{05E0221E-BBA8-420B-AEB6-54385F9D9279}"/>
    <hyperlink ref="F1139" location="'Gv2-74'!A1" display="2" xr:uid="{30BA5017-B646-4376-8BE0-AB5E523A6337}"/>
    <hyperlink ref="F1140" location="'Gv3-74'!A1" display="3" xr:uid="{A48C22D8-7971-4A27-89F5-8FA584FB20EE}"/>
    <hyperlink ref="F1141" location="'Gv4-74'!A1" display="4" xr:uid="{86F715C5-D71A-4EAA-A36E-EA6A17195A57}"/>
    <hyperlink ref="F1142" location="'Gv5-74'!A1" display="5" xr:uid="{6CD0A9A0-1C75-4E80-9F6B-5777B9D3CF63}"/>
    <hyperlink ref="F1143" location="'Gv6-74'!A1" display="6" xr:uid="{D9E1302C-6F12-4315-99E9-4F51FD0F5C6E}"/>
    <hyperlink ref="F1144" location="'Gv7-74'!A1" display="7" xr:uid="{A8EB5D8D-9E78-435A-BD06-93E3A73A3B0F}"/>
    <hyperlink ref="F1145" location="'Gv8-74'!A1" display="8" xr:uid="{C8A8E718-54D4-4B13-8781-EBB62A2CB3BD}"/>
    <hyperlink ref="F1146" location="'Gv9-74'!A1" display="9" xr:uid="{5C0DCA35-8F2E-4BCD-A5BE-205AD1372A7C}"/>
    <hyperlink ref="F1147" location="'Gv10-74'!A1" display="10" xr:uid="{0851EC39-18AF-44E1-B7D5-65B0C652167D}"/>
    <hyperlink ref="F1148" location="'Gv11-74'!A1" display="11" xr:uid="{9C6EE912-FF00-46B6-B5F0-77E386CE3692}"/>
    <hyperlink ref="F1149" location="'Gv12-74'!A1" display="12" xr:uid="{ED706C6F-1142-4DDD-8D42-2F0798BDEAE9}"/>
    <hyperlink ref="F1150" location="'Gv13-74'!A1" display="13" xr:uid="{3FF36973-6087-481F-8E7C-4D9563AEDC6C}"/>
    <hyperlink ref="F1151" location="'Gv14-74'!A1" display="14" xr:uid="{0A6D8C79-3A9F-4E03-AB06-F7D836F3BCFB}"/>
    <hyperlink ref="F1152" location="'Gv15-74'!A1" display="15" xr:uid="{470EF61B-3C0A-4BB3-8E11-5E48007BB6C6}"/>
    <hyperlink ref="F1153" location="'Gv16-74'!A1" display="16" xr:uid="{97448A07-F525-4ABE-B435-ECC3E222C634}"/>
    <hyperlink ref="F1154" location="'Gv17-74'!A1" display="17" xr:uid="{B16CB0C9-40D5-4AB8-8BCF-DBDD8BE42236}"/>
    <hyperlink ref="F1155" location="'Gv18-74'!A1" display="18" xr:uid="{37BD5690-3D85-45DE-8205-E82C08EF9430}"/>
    <hyperlink ref="F1156" location="'Gv19-74'!A1" display="19" xr:uid="{C884DC2D-2976-4474-B85F-4700CCB4B382}"/>
    <hyperlink ref="F1157" location="'Gv20-74'!A1" display="20" xr:uid="{8F4DAB08-B4DA-4849-A450-42AF7DC64486}"/>
    <hyperlink ref="F1158" location="'Gv21-74'!A1" display="21" xr:uid="{B93B7D89-9D14-4865-B794-1FC6B3D36959}"/>
    <hyperlink ref="F1159" location="'At1-74'!A1" display="1" xr:uid="{63F1ECD4-19E9-493A-AE2B-54289F429112}"/>
    <hyperlink ref="F1160" location="'At2-74'!A1" display="2" xr:uid="{1CAA12AD-210C-4950-98C5-A624D6F9277F}"/>
    <hyperlink ref="F1161" location="'At3-74'!A1" display="3" xr:uid="{53B4EB29-5BAE-4191-AD4C-43D18AA9F952}"/>
    <hyperlink ref="F1162" location="'At4-74'!A1" display="4" xr:uid="{FA821C7D-1D32-41DE-9368-EA36155ADE7F}"/>
    <hyperlink ref="F1163" location="'At5-74'!A1" display="5" xr:uid="{46814CC7-D8C9-4E4E-A836-00D202BF078B}"/>
    <hyperlink ref="F1164" location="'At6-74'!A1" display="6" xr:uid="{EA1EE446-9C2C-49F8-A242-0074517A01F7}"/>
    <hyperlink ref="F1165" location="'At7-74'!A1" display="7" xr:uid="{7A7B2CF1-C506-4298-B9D3-0FAAB0D6C24A}"/>
    <hyperlink ref="F1166" location="'At8-74'!A1" display="8" xr:uid="{BF9094CA-E4CE-4388-97DF-594E51522D75}"/>
    <hyperlink ref="F1167" location="'At9-74'!A1" display="9" xr:uid="{9FE2339D-3199-42A7-89B1-2D3F2387FD7E}"/>
    <hyperlink ref="F1168" location="'At10-74'!A1" display="10" xr:uid="{A5AE7D32-9740-486C-97E4-1DD3F9110926}"/>
    <hyperlink ref="F1169" location="'At11-74'!A1" display="11" xr:uid="{F6F227D2-DFE8-45DB-92E6-D752896F55E9}"/>
    <hyperlink ref="F1170" location="'At12-74'!A1" display="12" xr:uid="{C701B4F9-C6C9-479E-99B4-6FD25AA20F23}"/>
    <hyperlink ref="F1171" location="'At13-74'!A1" display="13" xr:uid="{CC3C3141-2ED2-4703-89C7-72A0B993A85C}"/>
    <hyperlink ref="F1172" location="'At14-74'!A1" display="14" xr:uid="{7FFBB2C8-6D74-4681-A46F-AA7792F9832D}"/>
    <hyperlink ref="F1173" location="'At15-74'!A1" display="15" xr:uid="{8D190289-8FE9-4607-A3FB-8AB3665C0A82}"/>
    <hyperlink ref="F1174" location="'At16-74'!A1" display="16" xr:uid="{77EB9151-1CBE-4713-9405-2FB1BE373556}"/>
    <hyperlink ref="F1175" location="'At17-74'!A1" display="17" xr:uid="{D1E105AA-5A25-4E78-AA29-937972240725}"/>
    <hyperlink ref="F1176" location="'At18-74'!A1" display="18" xr:uid="{2B28CDF5-32AB-4253-9453-5AEDD16B55B0}"/>
    <hyperlink ref="F1177" location="'At19-74'!A1" display="19" xr:uid="{F654AF33-77A1-465C-A3C5-358B69755BDD}"/>
    <hyperlink ref="F1178" location="'At20-74'!A1" display="20" xr:uid="{0C4B640D-C062-4DAD-A5DC-355984C43A89}"/>
    <hyperlink ref="F1179" location="'At21-74'!A1" display="21" xr:uid="{8B72B1E7-5BA4-479C-80A6-4147D526540F}"/>
    <hyperlink ref="F1180" location="'At22-74'!A1" display="22" xr:uid="{8170F0B8-8D31-4821-9ABF-32ADCFBC868F}"/>
    <hyperlink ref="F1181" location="'At23-74'!A1" display="23" xr:uid="{260B8F93-BBD6-4964-B89B-48863353E8A7}"/>
    <hyperlink ref="F1182" location="'At24-74'!A1" display="24" xr:uid="{8718356E-50C9-4A08-ABC1-1E6A67300DF5}"/>
    <hyperlink ref="F1183" location="'At25-74'!A1" display="25" xr:uid="{A66EB9E9-3638-4C2C-A866-31CF6CBBF96A}"/>
    <hyperlink ref="F1184" location="'At26-74'!A1" display="26" xr:uid="{B2E67EF4-4393-4F6D-BA50-5D253DAD3CCF}"/>
    <hyperlink ref="F1185" location="'At27-74'!A1" display="27" xr:uid="{E4822344-4CE0-4DFB-8AE3-374FF8736D1D}"/>
    <hyperlink ref="F1186" location="'At28-74'!A1" display="28" xr:uid="{E5635522-DDA1-4A50-BE35-1D11EE93429A}"/>
    <hyperlink ref="F1187" location="'Rm1-74'!A1" display="1" xr:uid="{B77D7A29-B069-4FA1-9945-4887A6FDCAEE}"/>
    <hyperlink ref="F1188" location="'Rm2-74'!A1" display="2" xr:uid="{BB81EE1C-AD12-40D0-B879-ADDE69C30FB7}"/>
    <hyperlink ref="F1189" location="'Rm3-74'!A1" display="3" xr:uid="{DF80931E-4BA7-4C19-95D6-F10ED267ECA1}"/>
    <hyperlink ref="F1190" location="'Rm4-74'!A1" display="4" xr:uid="{38AD51A5-30FC-4A49-87DA-573F76ED6F8D}"/>
    <hyperlink ref="F1191" location="'Rm5-74'!A1" display="5" xr:uid="{E54A3D00-3D70-414A-8D96-3D93F67CBC63}"/>
    <hyperlink ref="F1192" location="'Rm6-74'!A1" display="6" xr:uid="{A6BEB70B-DEEF-4A2C-89CF-DC02800834B2}"/>
    <hyperlink ref="F1193" location="'Rm7-74'!A1" display="7" xr:uid="{E0F666F4-3251-403D-91E1-FD6EEE5EF809}"/>
    <hyperlink ref="F1194" location="'Rm8-74'!A1" display="8" xr:uid="{60007F17-9CDA-4023-B5B2-1A2CB6C63BFA}"/>
    <hyperlink ref="F1195" location="'Rm9-74'!A1" display="9" xr:uid="{285B1F60-C66A-414C-B9CC-77E6A1E38FB9}"/>
    <hyperlink ref="F1196" location="'Rm10-74'!A1" display="10" xr:uid="{DC6A04BF-4F94-4910-B697-BBA4F53596C3}"/>
    <hyperlink ref="F1197" location="'Rm11-74'!A1" display="11" xr:uid="{2F1955C9-200D-41E2-846D-FB3F63DC4796}"/>
    <hyperlink ref="F1198" location="'Rm12-74'!A1" display="12" xr:uid="{72D15D97-1624-4354-8381-1C490E8E4F9D}"/>
    <hyperlink ref="F1199" location="'Rm13-74'!A1" display="13" xr:uid="{F79AA127-E798-4EE8-969E-CB5D427AED2F}"/>
    <hyperlink ref="F1200" location="'Rm14-74'!A1" display="14" xr:uid="{4212CB53-8FAF-49F4-AB82-F3111984D5FB}"/>
    <hyperlink ref="F1201" location="'Rm15-74'!A1" display="15" xr:uid="{573D537F-B8D5-4278-AD37-1F51201F2ACA}"/>
    <hyperlink ref="F1202" location="'Rm16-74'!A1" display="16" xr:uid="{3CFFCCF0-00BE-4304-AC3F-971308D3318E}"/>
    <hyperlink ref="F1203" location="'1Cor1-74'!A1" display="1" xr:uid="{7D6013F8-1BD2-47EB-9A02-D381E317A6F1}"/>
    <hyperlink ref="F1204" location="'1Cor2-74'!A1" display="2" xr:uid="{9621C25B-58F6-43A0-A2ED-5EA3958CC5F8}"/>
    <hyperlink ref="F1205" location="'1Cor3-74'!A1" display="3" xr:uid="{D62F8F05-4796-43D7-910E-DC5D02ECABDE}"/>
    <hyperlink ref="F1206" location="'1Cor4-74'!A1" display="4" xr:uid="{54405ACF-CCD8-4AF6-890D-54D5A22AC099}"/>
    <hyperlink ref="F1207" location="'1Cor5-74'!A1" display="5" xr:uid="{8FBC5B9E-0510-43FA-8F49-6A6B156A579C}"/>
    <hyperlink ref="F1208" location="'1Cor6-74'!A1" display="6" xr:uid="{6114204B-13C7-4DC4-A8C8-208B7382BD76}"/>
    <hyperlink ref="F1209" location="'1Cor7-74'!A1" display="7" xr:uid="{DD71B7AB-66FF-4E37-AA83-9ACC45A6C438}"/>
    <hyperlink ref="F1210" location="'1Cor8-74'!A1" display="8" xr:uid="{F81CBEF1-1635-40D6-8445-D5B9BECCBC26}"/>
    <hyperlink ref="F1211" location="'1Cor9-74'!A1" display="9" xr:uid="{38033FDA-0317-4928-A75D-39F157EDC779}"/>
    <hyperlink ref="F1212" location="'1Cor10-74'!A1" display="10" xr:uid="{13E0A09A-9143-4B83-A36E-53F30C741A43}"/>
    <hyperlink ref="F1213" location="'1Cor11-74'!A1" display="11" xr:uid="{27A6D913-B173-40CB-8846-EE397FAC20DE}"/>
    <hyperlink ref="F1214" location="'1Cor12-74'!A1" display="12" xr:uid="{14FB64C3-D65B-4E64-86FA-9B4DC29AEF50}"/>
    <hyperlink ref="F1215" location="'1Cor13-74'!A1" display="13" xr:uid="{C9368AFA-3EE8-4BC2-947D-5CB6A1BBC2AB}"/>
    <hyperlink ref="F1216" location="'1Cor14-74'!A1" display="14" xr:uid="{71242B69-C797-4117-9876-F33397860BF1}"/>
    <hyperlink ref="F1217" location="'1Cor15-74'!A1" display="15" xr:uid="{96F88596-AD57-4492-86AF-037B27B28699}"/>
    <hyperlink ref="F1218" location="'1Cor16-74'!A1" display="16" xr:uid="{E8CC47C0-CDD7-4150-913D-840113B6AD3B}"/>
    <hyperlink ref="F1219" location="'2Cor1-74'!A1" display="1" xr:uid="{32C23229-1434-46B5-A8B3-45E03F8B4888}"/>
    <hyperlink ref="F1220" location="'2Cor2-74'!A1" display="2" xr:uid="{4906C430-7AF2-41E9-BE05-9386B3473CE9}"/>
    <hyperlink ref="F1221" location="'2Cor3-74'!A1" display="3" xr:uid="{36270238-DA3A-4220-A71A-E2567C38315F}"/>
    <hyperlink ref="F1222" location="'2Cor4-74'!A1" display="4" xr:uid="{23B9229C-A5A6-4E8F-A118-69B7E57E8D82}"/>
    <hyperlink ref="F1223" location="'2Cor5-74'!A1" display="5" xr:uid="{18DDA3D9-1F69-4A4C-9AED-D12F6C0B489B}"/>
    <hyperlink ref="F1224" location="'2Cor6-74'!A1" display="6" xr:uid="{F009B1A7-35F0-4BA5-AF8B-D414B0815153}"/>
    <hyperlink ref="F1225" location="'2Cor7-74'!A1" display="7" xr:uid="{B1EFD473-DC15-4960-810E-BC74BF3604A8}"/>
    <hyperlink ref="F1226" location="'2Cor8-74'!A1" display="8" xr:uid="{E19687D0-032E-4EE5-A0F6-D0D71046E332}"/>
    <hyperlink ref="F1227" location="'2Cor9-74'!A1" display="9" xr:uid="{B91492DD-5BE5-4AE4-B6C1-8F01F4D2FD95}"/>
    <hyperlink ref="F1228" location="'2Cor10-74'!A1" display="10" xr:uid="{6807B5C6-8A8D-46D5-8C78-E8F622E2FE72}"/>
    <hyperlink ref="F1229" location="'2Cor11-74'!A1" display="11" xr:uid="{608A4CC0-E281-4B6B-B505-42AFEF0418A6}"/>
    <hyperlink ref="F1230" location="'2Cor12-74'!A1" display="12" xr:uid="{76E7110E-3779-497C-BABD-28369907745E}"/>
    <hyperlink ref="F1231" location="'2Cor13-74'!A1" display="13" xr:uid="{B2B6269A-F75E-4B6C-A349-6CEA14CCBA02}"/>
    <hyperlink ref="F1232" location="'Gal1-74'!A1" display="1" xr:uid="{7E2A6F77-4BB6-445E-B9E9-C6717DBDD007}"/>
    <hyperlink ref="F1233" location="'Gal2-74'!A1" display="2" xr:uid="{00EE125E-0E25-464A-A9C1-24F365796647}"/>
    <hyperlink ref="F1234" location="'Gal3-74'!A1" display="3" xr:uid="{F481F25D-9100-4F64-9410-FAFD2DB884B3}"/>
    <hyperlink ref="F1235" location="'Gal4-74'!A1" display="4" xr:uid="{D20F9920-98C0-400E-8381-B88E29DB991F}"/>
    <hyperlink ref="F1236" location="'Gal5-74'!A1" display="5" xr:uid="{8FF47173-8264-4EF6-9203-7778FC28E7B7}"/>
    <hyperlink ref="F1237" location="'Gal6-74'!A1" display="6" xr:uid="{EE562322-75E0-40AB-975E-AA58EA38F80C}"/>
    <hyperlink ref="F1238" location="'Ef1-74'!A1" display="1" xr:uid="{431F8B42-5545-419E-BA7D-A5DEECF2EEED}"/>
    <hyperlink ref="F1239" location="'Ef2-74'!A1" display="2" xr:uid="{121DD589-2E14-49C6-A6BC-85E4F35EF11C}"/>
    <hyperlink ref="F1240" location="'Ef3-74'!A1" display="3" xr:uid="{2D9449AC-4B92-45D1-9835-DCEB2CCCA543}"/>
    <hyperlink ref="F1241" location="'Ef4-74'!A1" display="4" xr:uid="{7A4F7DBD-20ED-4BAC-BA60-75E740718326}"/>
    <hyperlink ref="F1242" location="'Ef5-74'!A1" display="5" xr:uid="{2441A036-DAD3-4A0C-9BE1-D0280D28FB5E}"/>
    <hyperlink ref="F1243" location="'Ef6-74'!A1" display="6" xr:uid="{1CB5A15D-90EA-4D13-916F-C28768324668}"/>
    <hyperlink ref="F1244" location="'Fil1-74'!A1" display="1" xr:uid="{CAECC110-0195-4953-BB8E-3BE82963DC28}"/>
    <hyperlink ref="F1245" location="'Fil2-74'!A1" display="2" xr:uid="{6D85CF48-BFBF-4573-AE67-26F516AAA757}"/>
    <hyperlink ref="F1246" location="'Fil3-74'!A1" display="3" xr:uid="{48CD30C8-AAB1-4A62-87AF-F371A831B28B}"/>
    <hyperlink ref="F1247" location="'Fil4-74'!A1" display="4" xr:uid="{EE6296D7-A2C4-4148-B198-B8E029576A04}"/>
    <hyperlink ref="F1248" location="'Col1-74'!A1" display="1" xr:uid="{FD446250-94B8-436D-B0BB-1981FF3798AF}"/>
    <hyperlink ref="F1249" location="'Col2-74'!A1" display="2" xr:uid="{4F9B8647-F127-4B82-B492-32A997C63990}"/>
    <hyperlink ref="F1250" location="'Col3-74'!A1" display="3" xr:uid="{5375FEB9-FAB3-4E52-930B-17100F3B956B}"/>
    <hyperlink ref="F1251" location="'Col4-74'!A1" display="4" xr:uid="{CFCA5367-DE3C-4946-99CA-C0B0DBD5C0D4}"/>
    <hyperlink ref="F1252" location="'1Ts1-74'!A1" display="1" xr:uid="{74C9AE52-E174-4915-8BE9-4752D1CC6558}"/>
    <hyperlink ref="F1253" location="'1Ts2-74'!A1" display="2" xr:uid="{EAD6E7F9-FD97-4658-9465-451C8F4BF773}"/>
    <hyperlink ref="F1254" location="'1Ts3-74'!A1" display="3" xr:uid="{4CF805AB-5AF0-40E3-AC1C-808E2C2FDC5E}"/>
    <hyperlink ref="F1255" location="'1Ts4-74'!A1" display="4" xr:uid="{FB926715-CA12-4D0D-A2D2-A82F5E3DFF7A}"/>
    <hyperlink ref="F1256" location="'1Ts5-74'!A1" display="5" xr:uid="{9462F22E-7855-49C1-90B1-90D683E0121F}"/>
    <hyperlink ref="F1257" location="'2Ts1-74'!A1" display="1" xr:uid="{229563D5-5C98-4C24-B1AE-46A316B52A4C}"/>
    <hyperlink ref="F1258" location="'2Ts2-74'!A1" display="2" xr:uid="{26DC2C98-D566-49A2-B3F8-900CC374E36A}"/>
    <hyperlink ref="F1259" location="'2Ts3-74'!A1" display="3" xr:uid="{920D4B40-D95C-4F33-AC08-2BF9FBA3F967}"/>
    <hyperlink ref="F1260" location="'1Tm1-74'!A1" display="1" xr:uid="{726321A3-65A6-4613-ABDE-50A88F5B8FFC}"/>
    <hyperlink ref="F1261" location="'1Tm2-74'!A1" display="2" xr:uid="{C5B0CE2A-9D37-4736-A307-80D0940BC639}"/>
    <hyperlink ref="F1262" location="'1Tm3-74'!A1" display="3" xr:uid="{B575D316-CBD0-4D41-8350-BDFD92AE8A34}"/>
    <hyperlink ref="F1263" location="'1Tm4-74'!A1" display="4" xr:uid="{0B1245D9-E89F-4FC5-B32B-3CE95E500F8D}"/>
    <hyperlink ref="F1264" location="'1Tm5-74'!A1" display="5" xr:uid="{52D7D029-5C21-401A-BF6F-8805F80116B0}"/>
    <hyperlink ref="F1265" location="'1Tm6-74'!A1" display="6" xr:uid="{1575621E-1503-40BE-8316-A997C163E391}"/>
    <hyperlink ref="F1266" location="'2Tm1-74'!A1" display="1" xr:uid="{4306F4F9-0F24-45F5-91B5-213B8E2B88CA}"/>
    <hyperlink ref="F1267" location="'2Tm2-74'!A1" display="2" xr:uid="{F385D769-ABE1-4297-8A8F-A1790599BD46}"/>
    <hyperlink ref="F1268" location="'2Tm3-74'!A1" display="3" xr:uid="{FA4BE645-8A9C-4453-B371-C08F65D845B3}"/>
    <hyperlink ref="F1269" location="'2Tm4-74'!A1" display="4" xr:uid="{E2E6129F-7D88-4B1A-94E1-5FECD841D4C7}"/>
    <hyperlink ref="F1270" location="'Tt1-74'!A1" display="1" xr:uid="{86649A2C-745F-41D1-8F87-415D38995C1F}"/>
    <hyperlink ref="F1271" location="'Tt2-74'!A1" display="2" xr:uid="{CA6D5445-F810-41B8-8AF4-1BFD9CFD0109}"/>
    <hyperlink ref="F1272" location="'Tt3-74'!A1" display="3" xr:uid="{C0FD3773-AF8A-4F1A-A9E0-8EDBBB14601D}"/>
    <hyperlink ref="F1273" location="'Fm1-74'!A1" display="1" xr:uid="{FF59B7AC-CF58-4033-AACA-F4E74932FA1D}"/>
    <hyperlink ref="F1274" location="'Eb1-74'!A1" display="1" xr:uid="{20DF382C-CB5F-4836-9F62-1A8DF82D71CA}"/>
    <hyperlink ref="F1275" location="'Eb2-74'!A1" display="2" xr:uid="{672691EB-B3A3-4B56-B179-AC797A7F689E}"/>
    <hyperlink ref="F1276" location="'Eb3-74'!A1" display="3" xr:uid="{8D25F5C7-3880-4E82-84B3-1CFF3D75ACF9}"/>
    <hyperlink ref="F1277" location="'Eb4-74'!A1" display="4" xr:uid="{C1D1A993-7A2A-4823-A9E1-CFAF0EB41C9C}"/>
    <hyperlink ref="F1278" location="'Eb5-74'!A1" display="5" xr:uid="{3357C7F3-286B-463D-A4F4-5FD0E7DB3DB7}"/>
    <hyperlink ref="F1279" location="'Eb6-74'!A1" display="6" xr:uid="{16414BAC-BBEE-47E6-A301-76537468AAB2}"/>
    <hyperlink ref="F1280" location="'Eb7-74'!A1" display="7" xr:uid="{F4F5B221-F539-4706-B0D7-BBA0BE0AA90F}"/>
    <hyperlink ref="F1281" location="'Eb8-74'!A1" display="8" xr:uid="{082133B3-85F4-4677-9A42-566DB2A26ECC}"/>
    <hyperlink ref="F1282" location="'Eb9-74'!A1" display="9" xr:uid="{9E965ED3-755D-4E4F-807B-3BB3B832B6EF}"/>
    <hyperlink ref="F1283" location="'Eb10-74'!A1" display="10" xr:uid="{9012A75A-10A7-4904-93FE-3A08AD7307D0}"/>
    <hyperlink ref="F1284" location="'Eb11-74'!A1" display="11" xr:uid="{954B9272-3C1A-4106-8FAE-C3150CC89D1B}"/>
    <hyperlink ref="F1285" location="'Eb12-74'!A1" display="12" xr:uid="{95B34C44-85A5-467B-A54C-6F2D8B3D516B}"/>
    <hyperlink ref="F1286" location="'Eb13-74'!A1" display="13" xr:uid="{D93B67CF-70C7-4E93-8D43-B1665574A752}"/>
    <hyperlink ref="F1287" location="'Gc1-74'!A1" display="1" xr:uid="{99DF6E3E-7AD3-4E21-A704-473EA0D1A784}"/>
    <hyperlink ref="F1288" location="'Gc2-74'!A1" display="2" xr:uid="{7AEA6524-C2B2-4F43-8DE7-B6CAE78E3346}"/>
    <hyperlink ref="F1289" location="'Gc3-74'!A1" display="3" xr:uid="{D3DBFDAD-493C-43C4-8E0B-7A9EEF1E2D7A}"/>
    <hyperlink ref="F1290" location="'Gc4-74'!A1" display="4" xr:uid="{641DF4DF-A087-41FF-A920-1C95F542FB8E}"/>
    <hyperlink ref="F1291" location="'Gc5-74'!A1" display="5" xr:uid="{9E202F97-20D4-45BC-BC6D-D4EE98D93FE0}"/>
    <hyperlink ref="F1292" location="'1Pt1-74'!A1" display="1" xr:uid="{6A2A9D56-6D7D-4A1B-B8B9-DEE348BA02AB}"/>
    <hyperlink ref="F1293" location="'1Pt2-74'!A1" display="2" xr:uid="{00A61BC7-FC13-43B0-920B-E3A5CF4F8A46}"/>
    <hyperlink ref="F1294" location="'1Pt3-74'!A1" display="3" xr:uid="{BADF4759-3BF1-4370-A465-56567DEE35BC}"/>
    <hyperlink ref="F1295" location="'1Pt4-74'!A1" display="4" xr:uid="{6ADC4294-798C-432A-B0A6-5512FB573745}"/>
    <hyperlink ref="F1296" location="'1Pt5-74'!A1" display="5" xr:uid="{1FE73CB6-101F-41F3-BBA1-1D1969E6A38B}"/>
    <hyperlink ref="F1297" location="'2Pt1-74'!A1" display="1" xr:uid="{5E3E0E85-61D6-4D67-A596-35F19323732C}"/>
    <hyperlink ref="F1298" location="'2Pt2-74'!A1" display="2" xr:uid="{EEA3E645-B328-4E33-9FD4-B15C8A6EAD5D}"/>
    <hyperlink ref="F1299" location="'2Pt3-74'!A1" display="3" xr:uid="{EDC93021-ED04-42AF-BD7B-D097F68C2F41}"/>
    <hyperlink ref="F1300" location="'1Gv1-74'!A1" display="1" xr:uid="{A1811818-03EB-40FC-A7F4-1E341F90A8A6}"/>
    <hyperlink ref="F1301" location="'1Gv2-74'!A1" display="2" xr:uid="{ECC9E77D-B2B7-4A94-AE03-697830420D47}"/>
    <hyperlink ref="F1302" location="'1Gv3-74'!A1" display="3" xr:uid="{36CB8B15-6795-46A7-A288-0DB6ACAD1D21}"/>
    <hyperlink ref="F1303" location="'1Gv4-74'!A1" display="4" xr:uid="{DA8EC9C3-8DB4-4764-A6DD-F2B50AE81C59}"/>
    <hyperlink ref="F1304" location="'1Gv5-74'!A1" display="5" xr:uid="{2A7D73F4-FAF6-476B-8407-1DD48017CDA9}"/>
    <hyperlink ref="F1305" location="'2Gv1-74'!A1" display="1" xr:uid="{B3ED1838-868C-47FA-9A3B-29E44A80C9B5}"/>
    <hyperlink ref="F1306" location="'3Gv1-74'!A1" display="1" xr:uid="{0E87F0A7-39E2-452A-847A-E1EFA4BABB86}"/>
    <hyperlink ref="F1307" location="'Gd1-74'!A1" display="1" xr:uid="{C51F29C9-26E2-452A-9734-75B22659AF91}"/>
    <hyperlink ref="F1308" location="'Ap1-74'!A1" display="1" xr:uid="{887854CC-4E56-4AC6-B659-84A27DAA7797}"/>
    <hyperlink ref="F1309" location="'Ap2-74'!A1" display="2" xr:uid="{9D5E5BC3-8FB4-47F3-80DD-17A43EC18890}"/>
    <hyperlink ref="F1310" location="'Ap3-74'!A1" display="3" xr:uid="{63EE7CDD-C195-46C5-A21A-A0A4E6F476F0}"/>
    <hyperlink ref="F1311" location="'Ap4-74'!A1" display="4" xr:uid="{3E78F343-ED99-4B1B-8C3C-240EF7A17166}"/>
    <hyperlink ref="F1312" location="'Ap5-74'!A1" display="5" xr:uid="{B34A16CF-602E-4F47-8186-AD8EC2B16EE8}"/>
    <hyperlink ref="F1313" location="'Ap6-74'!A1" display="6" xr:uid="{C3846D41-BB5F-4726-A076-FB35319F5B09}"/>
    <hyperlink ref="F1314" location="'Ap7-74'!A1" display="7" xr:uid="{8D176FC2-49D6-4451-BA8D-DCEBC574BF3D}"/>
    <hyperlink ref="F1315" location="'Ap8-74'!A1" display="8" xr:uid="{030BE73D-4F8B-44AF-9F5B-28210EB03638}"/>
    <hyperlink ref="F1316" location="'Ap9-74'!A1" display="9" xr:uid="{9A5C353C-B4A7-4A37-8823-31E87A69F538}"/>
    <hyperlink ref="F1317" location="'Ap10-74'!A1" display="10" xr:uid="{1CA201F5-E367-4568-AB00-02467D7504F1}"/>
    <hyperlink ref="F1318" location="'Ap11-74'!A1" display="11" xr:uid="{2F31E5C0-6D1A-413A-8301-850E05DA6489}"/>
    <hyperlink ref="F1319" location="'Ap12-74'!A1" display="12" xr:uid="{B0864F47-181E-46DA-92CA-999DF0CAF55A}"/>
    <hyperlink ref="F1320" location="'Ap13-74'!A1" display="13" xr:uid="{D2958B15-95AD-4FE9-967C-C1D7606FE3D6}"/>
    <hyperlink ref="F1321" location="'Ap14-74'!A1" display="14" xr:uid="{81DC8DC9-080C-40A5-B7EB-6C6E4D25BC3B}"/>
    <hyperlink ref="F1322" location="'Ap15-74'!A1" display="15" xr:uid="{5BBDD3D5-AB3E-4959-A77D-B62E489C31FD}"/>
    <hyperlink ref="F1323" location="'Ap16-74'!A1" display="16" xr:uid="{0C04E4DA-1AFB-4616-8F44-BD36245FFC7D}"/>
    <hyperlink ref="F1324" location="'Ap17-74'!A1" display="17" xr:uid="{DCF54847-F3C8-4C0A-96D8-8A8E036ACF31}"/>
    <hyperlink ref="F1325" location="'Ap18-74'!A1" display="18" xr:uid="{3E922889-AF03-4988-97C6-D4D7E40118FC}"/>
    <hyperlink ref="F1326" location="'Ap19-74'!A1" display="19" xr:uid="{425122CA-1DD1-46B9-B133-E4A2F5ED301F}"/>
    <hyperlink ref="F1327" location="'Ap20-74'!A1" display="20" xr:uid="{6570D929-7537-4C0B-A614-1E59D458EA09}"/>
    <hyperlink ref="F1328" location="'Ap21-74'!A1" display="21" xr:uid="{7498D759-E50D-483A-BF16-8B48D6CAE517}"/>
    <hyperlink ref="F1329" location="'Ap22-74'!A1" display="22" xr:uid="{53D27968-47B6-4289-ADBF-6BB6B1FE72E8}"/>
    <hyperlink ref="F1107" location="'Mc10-74'!A1" display="'Mc10-74'!A1" xr:uid="{F73652A5-7F49-489C-B868-FB28CE00A537}"/>
  </hyperlink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E1768-283F-4A45-A2BB-F3B4178EDFAA}">
  <sheetPr codeName="Foglio14"/>
  <dimension ref="A1:L74"/>
  <sheetViews>
    <sheetView topLeftCell="A31" workbookViewId="0">
      <selection activeCell="F2" sqref="F2"/>
    </sheetView>
  </sheetViews>
  <sheetFormatPr defaultRowHeight="15.75" x14ac:dyDescent="0.25"/>
  <cols>
    <col min="1" max="1" width="3.7109375" customWidth="1"/>
    <col min="2" max="2" width="7.5703125" customWidth="1"/>
    <col min="3" max="3" width="28.28515625" customWidth="1"/>
    <col min="4" max="4" width="51.7109375" bestFit="1" customWidth="1"/>
    <col min="5" max="5" width="63.42578125" bestFit="1" customWidth="1"/>
    <col min="6" max="6" width="50.5703125" bestFit="1" customWidth="1"/>
    <col min="7" max="7" width="18.85546875" bestFit="1" customWidth="1"/>
    <col min="8" max="8" width="19.7109375" bestFit="1" customWidth="1"/>
    <col min="9" max="9" width="20.28515625" bestFit="1" customWidth="1"/>
    <col min="11" max="11" width="6.140625" style="19" bestFit="1" customWidth="1"/>
    <col min="12" max="12" width="255.7109375" bestFit="1" customWidth="1"/>
  </cols>
  <sheetData>
    <row r="1" spans="1:12" ht="63.75" x14ac:dyDescent="0.25">
      <c r="A1" t="s">
        <v>519</v>
      </c>
      <c r="B1" t="s">
        <v>520</v>
      </c>
      <c r="C1" t="s">
        <v>521</v>
      </c>
      <c r="D1" t="s">
        <v>522</v>
      </c>
      <c r="E1" t="s">
        <v>523</v>
      </c>
      <c r="F1" t="s">
        <v>524</v>
      </c>
      <c r="G1" t="s">
        <v>525</v>
      </c>
      <c r="H1" t="s">
        <v>526</v>
      </c>
      <c r="I1" t="s">
        <v>527</v>
      </c>
      <c r="K1" s="28" t="s">
        <v>528</v>
      </c>
      <c r="L1" s="28" t="s">
        <v>529</v>
      </c>
    </row>
    <row r="2" spans="1:12" x14ac:dyDescent="0.25">
      <c r="A2">
        <v>1</v>
      </c>
      <c r="B2" t="s">
        <v>530</v>
      </c>
      <c r="C2" t="s">
        <v>508</v>
      </c>
      <c r="D2" t="s">
        <v>380</v>
      </c>
      <c r="E2" t="s">
        <v>531</v>
      </c>
      <c r="F2" t="s">
        <v>532</v>
      </c>
      <c r="G2" t="s">
        <v>533</v>
      </c>
      <c r="H2" t="s">
        <v>534</v>
      </c>
      <c r="I2" t="s">
        <v>533</v>
      </c>
      <c r="K2" s="19">
        <v>0</v>
      </c>
      <c r="L2" t="str">
        <f>_xlfn.CONCAT("['Numero libro'," &amp; "'" &amp; A2 &amp; "', " &amp; "'Testamento'," &amp; "'" &amp; B2 &amp; "'"&amp; ", " &amp; "'Gruppo'," &amp; "'" &amp; C2 &amp; "'" &amp; ", " &amp; "'Nome libro IT'" &amp; "," &amp; "'" &amp; D2 &amp; "'," &amp; "'AbbrIT'," &amp; "'" &amp; E2 &amp; "'" &amp; "," &amp; "'Nome libro LT'," &amp; "'" &amp; F2 &amp; "'" &amp; "," &amp; "'AbbrLT'," &amp; "'" &amp; G2 &amp; "'" &amp; "," &amp; "'Nome libro EN'," &amp; "'" &amp; H2 &amp; "'" &amp; "," &amp; "'AbbrEN'," &amp; "'" &amp; I2 &amp; "'" &amp; "],")</f>
        <v>['Numero libro','1', 'Testamento','Antico Testamento', 'Gruppo','Il Pentateuco', 'Nome libro IT','Genesi','AbbrIT','Gn;Gen;Ge','Nome libro LT','Liber Genesis','AbbrLT','Gen','Nome libro EN','Genesis','AbbrEN','Gen'],</v>
      </c>
    </row>
    <row r="3" spans="1:12" x14ac:dyDescent="0.25">
      <c r="A3">
        <v>2</v>
      </c>
      <c r="B3" t="s">
        <v>530</v>
      </c>
      <c r="C3" t="s">
        <v>508</v>
      </c>
      <c r="D3" t="s">
        <v>382</v>
      </c>
      <c r="E3" t="s">
        <v>535</v>
      </c>
      <c r="F3" t="s">
        <v>536</v>
      </c>
      <c r="G3" t="s">
        <v>537</v>
      </c>
      <c r="H3" t="s">
        <v>538</v>
      </c>
      <c r="I3" t="s">
        <v>539</v>
      </c>
      <c r="K3" s="19">
        <v>1</v>
      </c>
      <c r="L3" t="str">
        <f t="shared" ref="L3:L66" si="0">_xlfn.CONCAT("['Numero libro'," &amp; "'" &amp; A3 &amp; "', " &amp; "'Testamento'," &amp; "'" &amp; B3 &amp; "'"&amp; ", " &amp; "'Gruppo'," &amp; "'" &amp; C3 &amp; "'" &amp; ", " &amp; "'Nome libro IT'" &amp; "," &amp; "'" &amp; D3 &amp; "'," &amp; "'AbbrIT'," &amp; "'" &amp; E3 &amp; "'" &amp; "," &amp; "'Nome libro LT'," &amp; "'" &amp; F3 &amp; "'" &amp; "," &amp; "'AbbrLT'," &amp; "'" &amp; G3 &amp; "'" &amp; "," &amp; "'Nome libro EN'," &amp; "'" &amp; H3 &amp; "'" &amp; "," &amp; "'AbbrEN'," &amp; "'" &amp; I3 &amp; "'" &amp; "],")</f>
        <v>['Numero libro','2', 'Testamento','Antico Testamento', 'Gruppo','Il Pentateuco', 'Nome libro IT','Esodo','AbbrIT','Es;Eso;Eo','Nome libro LT','Liber Exodus','AbbrLT','Ex','Nome libro EN','Exodus','AbbrEN','Exod'],</v>
      </c>
    </row>
    <row r="4" spans="1:12" x14ac:dyDescent="0.25">
      <c r="A4">
        <v>3</v>
      </c>
      <c r="B4" t="s">
        <v>530</v>
      </c>
      <c r="C4" t="s">
        <v>508</v>
      </c>
      <c r="D4" t="s">
        <v>384</v>
      </c>
      <c r="E4" t="s">
        <v>540</v>
      </c>
      <c r="F4" t="s">
        <v>541</v>
      </c>
      <c r="G4" t="s">
        <v>542</v>
      </c>
      <c r="H4" t="s">
        <v>543</v>
      </c>
      <c r="I4" t="s">
        <v>542</v>
      </c>
      <c r="K4" s="19">
        <v>2</v>
      </c>
      <c r="L4" t="str">
        <f t="shared" si="0"/>
        <v>['Numero libro','3', 'Testamento','Antico Testamento', 'Gruppo','Il Pentateuco', 'Nome libro IT','Levitico','AbbrIT','Lv;Le','Nome libro LT','Liber Leviticus','AbbrLT','Lev','Nome libro EN','Leviticus','AbbrEN','Lev'],</v>
      </c>
    </row>
    <row r="5" spans="1:12" x14ac:dyDescent="0.25">
      <c r="A5">
        <v>4</v>
      </c>
      <c r="B5" t="s">
        <v>530</v>
      </c>
      <c r="C5" t="s">
        <v>508</v>
      </c>
      <c r="D5" t="s">
        <v>386</v>
      </c>
      <c r="E5" t="s">
        <v>544</v>
      </c>
      <c r="F5" t="s">
        <v>545</v>
      </c>
      <c r="G5" t="s">
        <v>546</v>
      </c>
      <c r="H5" t="s">
        <v>547</v>
      </c>
      <c r="I5" t="s">
        <v>548</v>
      </c>
      <c r="K5" s="19">
        <v>3</v>
      </c>
      <c r="L5" t="str">
        <f t="shared" si="0"/>
        <v>['Numero libro','4', 'Testamento','Antico Testamento', 'Gruppo','Il Pentateuco', 'Nome libro IT','Numeri','AbbrIT','Nm;Nu','Nome libro LT','Liber Numeri','AbbrLT','Num','Nome libro EN','Numbers','AbbrEN','Nun'],</v>
      </c>
    </row>
    <row r="6" spans="1:12" x14ac:dyDescent="0.25">
      <c r="A6">
        <v>5</v>
      </c>
      <c r="B6" t="s">
        <v>530</v>
      </c>
      <c r="C6" t="s">
        <v>508</v>
      </c>
      <c r="D6" t="s">
        <v>549</v>
      </c>
      <c r="E6" t="s">
        <v>550</v>
      </c>
      <c r="F6" t="s">
        <v>551</v>
      </c>
      <c r="G6" t="s">
        <v>552</v>
      </c>
      <c r="H6" t="s">
        <v>553</v>
      </c>
      <c r="I6" t="s">
        <v>552</v>
      </c>
      <c r="K6" s="19">
        <v>4</v>
      </c>
      <c r="L6" t="str">
        <f t="shared" si="0"/>
        <v>['Numero libro','5', 'Testamento','Antico Testamento', 'Gruppo','Il Pentateuco', 'Nome libro IT','Deuteronomio','AbbrIT','Dt;Deut;De','Nome libro LT','Liber Deuteronomii','AbbrLT','Deut','Nome libro EN','Deuteronomy','AbbrEN','Deut'],</v>
      </c>
    </row>
    <row r="7" spans="1:12" x14ac:dyDescent="0.25">
      <c r="A7">
        <v>6</v>
      </c>
      <c r="B7" t="s">
        <v>530</v>
      </c>
      <c r="C7" t="s">
        <v>509</v>
      </c>
      <c r="D7" t="s">
        <v>390</v>
      </c>
      <c r="E7" t="s">
        <v>554</v>
      </c>
      <c r="F7" t="s">
        <v>555</v>
      </c>
      <c r="G7" t="s">
        <v>556</v>
      </c>
      <c r="H7" t="s">
        <v>557</v>
      </c>
      <c r="I7" t="s">
        <v>558</v>
      </c>
      <c r="K7" s="19">
        <v>5</v>
      </c>
      <c r="L7" t="str">
        <f t="shared" si="0"/>
        <v>['Numero libro','6', 'Testamento','Antico Testamento', 'Gruppo','I libri storici', 'Nome libro IT','Giosuè','AbbrIT','Gs;Gios','Nome libro LT','Liber Josue','AbbrLT','Ios','Nome libro EN','Joshua','AbbrEN','Josh'],</v>
      </c>
    </row>
    <row r="8" spans="1:12" x14ac:dyDescent="0.25">
      <c r="A8">
        <v>7</v>
      </c>
      <c r="B8" t="s">
        <v>530</v>
      </c>
      <c r="C8" t="s">
        <v>509</v>
      </c>
      <c r="D8" t="s">
        <v>393</v>
      </c>
      <c r="E8" t="s">
        <v>559</v>
      </c>
      <c r="F8" t="s">
        <v>560</v>
      </c>
      <c r="G8" t="s">
        <v>561</v>
      </c>
      <c r="H8" t="s">
        <v>562</v>
      </c>
      <c r="I8" t="s">
        <v>563</v>
      </c>
      <c r="K8" s="19">
        <v>6</v>
      </c>
      <c r="L8" t="str">
        <f t="shared" si="0"/>
        <v>['Numero libro','7', 'Testamento','Antico Testamento', 'Gruppo','I libri storici', 'Nome libro IT','Giudici','AbbrIT','Gdc; Giudic;Gc','Nome libro LT','Liber Judicum','AbbrLT','Iudc','Nome libro EN','Judges','AbbrEN','Judg'],</v>
      </c>
    </row>
    <row r="9" spans="1:12" x14ac:dyDescent="0.25">
      <c r="A9">
        <v>8</v>
      </c>
      <c r="B9" t="s">
        <v>530</v>
      </c>
      <c r="C9" t="s">
        <v>509</v>
      </c>
      <c r="D9" t="s">
        <v>397</v>
      </c>
      <c r="E9" t="s">
        <v>564</v>
      </c>
      <c r="F9" t="s">
        <v>565</v>
      </c>
      <c r="G9" t="s">
        <v>566</v>
      </c>
      <c r="H9" t="s">
        <v>566</v>
      </c>
      <c r="I9" t="s">
        <v>566</v>
      </c>
      <c r="K9" s="19">
        <v>7</v>
      </c>
      <c r="L9" t="str">
        <f t="shared" si="0"/>
        <v>['Numero libro','8', 'Testamento','Antico Testamento', 'Gruppo','I libri storici', 'Nome libro IT','Rut','AbbrIT','Rt;Ru','Nome libro LT','Liber Ruth','AbbrLT','Ruth','Nome libro EN','Ruth','AbbrEN','Ruth'],</v>
      </c>
    </row>
    <row r="10" spans="1:12" x14ac:dyDescent="0.25">
      <c r="A10">
        <v>9</v>
      </c>
      <c r="B10" t="s">
        <v>530</v>
      </c>
      <c r="C10" t="s">
        <v>509</v>
      </c>
      <c r="D10" t="s">
        <v>567</v>
      </c>
      <c r="E10" t="s">
        <v>568</v>
      </c>
      <c r="F10" t="s">
        <v>569</v>
      </c>
      <c r="G10" t="s">
        <v>407</v>
      </c>
      <c r="H10" t="s">
        <v>570</v>
      </c>
      <c r="I10" t="s">
        <v>402</v>
      </c>
      <c r="K10" s="19">
        <v>8</v>
      </c>
      <c r="L10" t="str">
        <f t="shared" si="0"/>
        <v>['Numero libro','9', 'Testamento','Antico Testamento', 'Gruppo','I libri storici', 'Nome libro IT','Primo libro di Samuele (=1 Re)','AbbrIT','1Sam;1 Sam;1S;ISam;I Sam;IS;I S','Nome libro LT','Liber Primus Regum','AbbrLT','1 Re','Nome libro EN','1 Samuel','AbbrEN','1 Sam'],</v>
      </c>
    </row>
    <row r="11" spans="1:12" x14ac:dyDescent="0.25">
      <c r="A11">
        <v>10</v>
      </c>
      <c r="B11" t="s">
        <v>530</v>
      </c>
      <c r="C11" t="s">
        <v>509</v>
      </c>
      <c r="D11" t="s">
        <v>571</v>
      </c>
      <c r="E11" t="s">
        <v>572</v>
      </c>
      <c r="F11" t="s">
        <v>573</v>
      </c>
      <c r="G11" t="s">
        <v>409</v>
      </c>
      <c r="H11" t="s">
        <v>574</v>
      </c>
      <c r="I11" t="s">
        <v>405</v>
      </c>
      <c r="K11" s="19">
        <v>9</v>
      </c>
      <c r="L11" t="str">
        <f t="shared" si="0"/>
        <v>['Numero libro','10', 'Testamento','Antico Testamento', 'Gruppo','I libri storici', 'Nome libro IT','Secondo libro di Samuele (=2 Re)','AbbrIT','2Sam;2 Sam;2S;IISam;II Sam;IIS;II S','Nome libro LT','Liber Secundus Regum','AbbrLT','2 Re','Nome libro EN','2 Samuel','AbbrEN','2 Sam'],</v>
      </c>
    </row>
    <row r="12" spans="1:12" x14ac:dyDescent="0.25">
      <c r="A12">
        <v>11</v>
      </c>
      <c r="B12" t="s">
        <v>530</v>
      </c>
      <c r="C12" t="s">
        <v>509</v>
      </c>
      <c r="D12" t="s">
        <v>575</v>
      </c>
      <c r="E12" t="s">
        <v>576</v>
      </c>
      <c r="F12" t="s">
        <v>577</v>
      </c>
      <c r="G12" t="s">
        <v>578</v>
      </c>
      <c r="H12" t="s">
        <v>579</v>
      </c>
      <c r="I12" t="s">
        <v>580</v>
      </c>
      <c r="K12" s="19">
        <v>10</v>
      </c>
      <c r="L12" t="str">
        <f t="shared" si="0"/>
        <v>['Numero libro','11', 'Testamento','Antico Testamento', 'Gruppo','I libri storici', 'Nome libro IT','Primo libro dei Re (=3 Re)','AbbrIT','1Re;1 Re;1R;1 R;IRe;I Re;IR;I R','Nome libro LT','Liber Tertius Regum','AbbrLT','3 Re','Nome libro EN','1 Kings','AbbrEN','1 Kgs'],</v>
      </c>
    </row>
    <row r="13" spans="1:12" x14ac:dyDescent="0.25">
      <c r="A13">
        <v>12</v>
      </c>
      <c r="B13" t="s">
        <v>530</v>
      </c>
      <c r="C13" t="s">
        <v>509</v>
      </c>
      <c r="D13" t="s">
        <v>581</v>
      </c>
      <c r="E13" t="s">
        <v>582</v>
      </c>
      <c r="F13" t="s">
        <v>583</v>
      </c>
      <c r="G13" t="s">
        <v>584</v>
      </c>
      <c r="H13" t="s">
        <v>585</v>
      </c>
      <c r="I13" t="s">
        <v>586</v>
      </c>
      <c r="K13" s="19">
        <v>11</v>
      </c>
      <c r="L13" t="str">
        <f t="shared" si="0"/>
        <v>['Numero libro','12', 'Testamento','Antico Testamento', 'Gruppo','I libri storici', 'Nome libro IT','Secondo libro dei Re (=4 Re)','AbbrIT','2Re;2 Re;2R;2 R;IIRe;II Re;IIR;II R','Nome libro LT','Liber Quartus Regum','AbbrLT','4 Re','Nome libro EN','2 Kings','AbbrEN','2 Kgs'],</v>
      </c>
    </row>
    <row r="14" spans="1:12" x14ac:dyDescent="0.25">
      <c r="A14">
        <v>13</v>
      </c>
      <c r="B14" t="s">
        <v>530</v>
      </c>
      <c r="C14" t="s">
        <v>509</v>
      </c>
      <c r="D14" t="s">
        <v>587</v>
      </c>
      <c r="E14" t="s">
        <v>588</v>
      </c>
      <c r="F14" t="s">
        <v>589</v>
      </c>
      <c r="G14" t="s">
        <v>590</v>
      </c>
      <c r="H14" t="s">
        <v>591</v>
      </c>
      <c r="I14" t="s">
        <v>592</v>
      </c>
      <c r="K14" s="19">
        <v>12</v>
      </c>
      <c r="L14" t="str">
        <f t="shared" si="0"/>
        <v>['Numero libro','13', 'Testamento','Antico Testamento', 'Gruppo','I libri storici', 'Nome libro IT','Primo libro delle Cronache (Paralipomeni)','AbbrIT','1Cr;1 Cr;I Cr;ICr','Nome libro LT','Liber Primus Paralipomenon','AbbrLT','1Par','Nome libro EN','1 Chronicles','AbbrEN','1 Chr'],</v>
      </c>
    </row>
    <row r="15" spans="1:12" x14ac:dyDescent="0.25">
      <c r="A15">
        <v>14</v>
      </c>
      <c r="B15" t="s">
        <v>530</v>
      </c>
      <c r="C15" t="s">
        <v>509</v>
      </c>
      <c r="D15" t="s">
        <v>593</v>
      </c>
      <c r="E15" t="s">
        <v>594</v>
      </c>
      <c r="F15" t="s">
        <v>595</v>
      </c>
      <c r="G15" t="s">
        <v>596</v>
      </c>
      <c r="H15" t="s">
        <v>597</v>
      </c>
      <c r="I15" t="s">
        <v>598</v>
      </c>
      <c r="K15" s="19">
        <v>13</v>
      </c>
      <c r="L15" t="str">
        <f t="shared" si="0"/>
        <v>['Numero libro','14', 'Testamento','Antico Testamento', 'Gruppo','I libri storici', 'Nome libro IT','Secondo libro delle Cronache (Paralipomeni)','AbbrIT','2Cr;2 Cr;II Cr;IICr','Nome libro LT','Liber Secundus Paralipomenon','AbbrLT','2Par','Nome libro EN','2 Chronicles','AbbrEN','2 Chr'],</v>
      </c>
    </row>
    <row r="16" spans="1:12" x14ac:dyDescent="0.25">
      <c r="A16">
        <v>15</v>
      </c>
      <c r="B16" t="s">
        <v>530</v>
      </c>
      <c r="C16" t="s">
        <v>509</v>
      </c>
      <c r="D16" t="s">
        <v>599</v>
      </c>
      <c r="E16" t="s">
        <v>600</v>
      </c>
      <c r="F16" t="s">
        <v>601</v>
      </c>
      <c r="G16" t="s">
        <v>420</v>
      </c>
      <c r="H16" t="s">
        <v>602</v>
      </c>
      <c r="I16" t="s">
        <v>602</v>
      </c>
      <c r="K16" s="19">
        <v>14</v>
      </c>
      <c r="L16" t="str">
        <f t="shared" si="0"/>
        <v>['Numero libro','15', 'Testamento','Antico Testamento', 'Gruppo','I libri storici', 'Nome libro IT','Esdra (= 1 Esdra)','AbbrIT','Esd;Ed','Nome libro LT','Liber Esdræ','AbbrLT','Esd','Nome libro EN','Ezra','AbbrEN','Ezra'],</v>
      </c>
    </row>
    <row r="17" spans="1:12" x14ac:dyDescent="0.25">
      <c r="A17">
        <v>16</v>
      </c>
      <c r="B17" t="s">
        <v>530</v>
      </c>
      <c r="C17" t="s">
        <v>509</v>
      </c>
      <c r="D17" t="s">
        <v>603</v>
      </c>
      <c r="E17" t="s">
        <v>424</v>
      </c>
      <c r="F17" t="s">
        <v>604</v>
      </c>
      <c r="G17" t="s">
        <v>605</v>
      </c>
      <c r="H17" t="s">
        <v>606</v>
      </c>
      <c r="I17" t="s">
        <v>605</v>
      </c>
      <c r="K17" s="19">
        <v>15</v>
      </c>
      <c r="L17" t="str">
        <f t="shared" si="0"/>
        <v>['Numero libro','16', 'Testamento','Antico Testamento', 'Gruppo','I libri storici', 'Nome libro IT','Neemia (= 2 Esdra)','AbbrIT','Ne','Nome libro LT','Liber Nehemiæ','AbbrLT','Neh','Nome libro EN','Nehemiah','AbbrEN','Neh'],</v>
      </c>
    </row>
    <row r="18" spans="1:12" x14ac:dyDescent="0.25">
      <c r="A18">
        <v>17</v>
      </c>
      <c r="B18" t="s">
        <v>530</v>
      </c>
      <c r="C18" t="s">
        <v>509</v>
      </c>
      <c r="D18" t="s">
        <v>427</v>
      </c>
      <c r="E18" t="s">
        <v>607</v>
      </c>
      <c r="F18" t="s">
        <v>608</v>
      </c>
      <c r="G18" t="s">
        <v>609</v>
      </c>
      <c r="H18" t="s">
        <v>610</v>
      </c>
      <c r="I18" t="s">
        <v>609</v>
      </c>
      <c r="K18" s="19">
        <v>16</v>
      </c>
      <c r="L18" t="str">
        <f t="shared" si="0"/>
        <v>['Numero libro','17', 'Testamento','Antico Testamento', 'Gruppo','I libri storici', 'Nome libro IT','Tobia','AbbrIT','Tb;Tob;To','Nome libro LT','Liber Tobiæ','AbbrLT','Tob','Nome libro EN','Tobit','AbbrEN','Tob'],</v>
      </c>
    </row>
    <row r="19" spans="1:12" x14ac:dyDescent="0.25">
      <c r="A19">
        <v>18</v>
      </c>
      <c r="B19" t="s">
        <v>530</v>
      </c>
      <c r="C19" t="s">
        <v>509</v>
      </c>
      <c r="D19" t="s">
        <v>430</v>
      </c>
      <c r="E19" t="s">
        <v>611</v>
      </c>
      <c r="F19" t="s">
        <v>612</v>
      </c>
      <c r="G19" t="s">
        <v>613</v>
      </c>
      <c r="H19" t="s">
        <v>614</v>
      </c>
      <c r="I19" t="s">
        <v>615</v>
      </c>
      <c r="K19" s="19">
        <v>17</v>
      </c>
      <c r="L19" t="str">
        <f t="shared" si="0"/>
        <v>['Numero libro','18', 'Testamento','Antico Testamento', 'Gruppo','I libri storici', 'Nome libro IT','Giuditta','AbbrIT','Gdt;Giudit','Nome libro LT','Liber Judith','AbbrLT','Iudt','Nome libro EN','Judith','AbbrEN','Jdt'],</v>
      </c>
    </row>
    <row r="20" spans="1:12" x14ac:dyDescent="0.25">
      <c r="A20">
        <v>19</v>
      </c>
      <c r="B20" t="s">
        <v>530</v>
      </c>
      <c r="C20" t="s">
        <v>509</v>
      </c>
      <c r="D20" t="s">
        <v>433</v>
      </c>
      <c r="E20" t="s">
        <v>616</v>
      </c>
      <c r="F20" t="s">
        <v>617</v>
      </c>
      <c r="G20" t="s">
        <v>618</v>
      </c>
      <c r="H20" t="s">
        <v>619</v>
      </c>
      <c r="I20" t="s">
        <v>618</v>
      </c>
      <c r="K20" s="19">
        <v>18</v>
      </c>
      <c r="L20" t="str">
        <f t="shared" si="0"/>
        <v>['Numero libro','19', 'Testamento','Antico Testamento', 'Gruppo','I libri storici', 'Nome libro IT','Ester','AbbrIT','Est;Et','Nome libro LT','Liber Esther','AbbrLT','Esth','Nome libro EN','Esther','AbbrEN','Esth'],</v>
      </c>
    </row>
    <row r="21" spans="1:12" x14ac:dyDescent="0.25">
      <c r="A21">
        <v>20</v>
      </c>
      <c r="B21" t="s">
        <v>530</v>
      </c>
      <c r="C21" t="s">
        <v>509</v>
      </c>
      <c r="D21" t="s">
        <v>620</v>
      </c>
      <c r="E21" t="s">
        <v>621</v>
      </c>
      <c r="F21" t="s">
        <v>622</v>
      </c>
      <c r="G21" t="s">
        <v>623</v>
      </c>
      <c r="H21" t="s">
        <v>624</v>
      </c>
      <c r="I21" t="s">
        <v>625</v>
      </c>
      <c r="K21" s="19">
        <v>19</v>
      </c>
      <c r="L21" t="str">
        <f t="shared" si="0"/>
        <v>['Numero libro','20', 'Testamento','Antico Testamento', 'Gruppo','I libri storici', 'Nome libro IT','Primo libro dei Maccabei','AbbrIT','1Mac;1 Mac;1Macc;1 Macc;IMac;I Mac;IMacc;I Macc;1M;1 M;IM;I M','Nome libro LT','Liber I Machabæorum','AbbrLT','1 Mach','Nome libro EN','1 Maccabees','AbbrEN','1 Macc'],</v>
      </c>
    </row>
    <row r="22" spans="1:12" x14ac:dyDescent="0.25">
      <c r="A22">
        <v>21</v>
      </c>
      <c r="B22" t="s">
        <v>530</v>
      </c>
      <c r="C22" t="s">
        <v>509</v>
      </c>
      <c r="D22" t="s">
        <v>626</v>
      </c>
      <c r="E22" t="s">
        <v>627</v>
      </c>
      <c r="F22" t="s">
        <v>628</v>
      </c>
      <c r="G22" t="s">
        <v>629</v>
      </c>
      <c r="H22" t="s">
        <v>630</v>
      </c>
      <c r="I22" t="s">
        <v>631</v>
      </c>
      <c r="K22" s="19">
        <v>20</v>
      </c>
      <c r="L22" t="str">
        <f t="shared" si="0"/>
        <v>['Numero libro','21', 'Testamento','Antico Testamento', 'Gruppo','I libri storici', 'Nome libro IT','Secondo libro dei Maccabei','AbbrIT','2Mac;2 Mac;2Macc;2 Macc;IIMac;II Mac;IIMacc;II Macc;2M;2 M;IIM;II M','Nome libro LT','Liber II Machabæorum','AbbrLT','2 Mach','Nome libro EN','2 Maccabees','AbbrEN','2 Macc'],</v>
      </c>
    </row>
    <row r="23" spans="1:12" x14ac:dyDescent="0.25">
      <c r="A23">
        <v>22</v>
      </c>
      <c r="B23" t="s">
        <v>530</v>
      </c>
      <c r="C23" t="s">
        <v>510</v>
      </c>
      <c r="D23" t="s">
        <v>442</v>
      </c>
      <c r="E23" t="s">
        <v>632</v>
      </c>
      <c r="F23" t="s">
        <v>633</v>
      </c>
      <c r="G23" t="s">
        <v>634</v>
      </c>
      <c r="H23" t="s">
        <v>635</v>
      </c>
      <c r="I23" t="s">
        <v>635</v>
      </c>
      <c r="K23" s="19">
        <v>21</v>
      </c>
      <c r="L23" t="str">
        <f t="shared" si="0"/>
        <v>['Numero libro','22', 'Testamento','Antico Testamento', 'Gruppo','I libri poetici e sapienziali', 'Nome libro IT','Giobbe','AbbrIT','Gb;Giob','Nome libro LT','Liber Job','AbbrLT','Iob','Nome libro EN','Job','AbbrEN','Job'],</v>
      </c>
    </row>
    <row r="24" spans="1:12" x14ac:dyDescent="0.25">
      <c r="A24">
        <v>23</v>
      </c>
      <c r="B24" t="s">
        <v>530</v>
      </c>
      <c r="C24" t="s">
        <v>510</v>
      </c>
      <c r="D24" t="s">
        <v>446</v>
      </c>
      <c r="E24" t="s">
        <v>636</v>
      </c>
      <c r="F24" t="s">
        <v>637</v>
      </c>
      <c r="G24" t="s">
        <v>638</v>
      </c>
      <c r="H24" t="s">
        <v>639</v>
      </c>
      <c r="I24" t="s">
        <v>640</v>
      </c>
      <c r="K24" s="19">
        <v>22</v>
      </c>
      <c r="L24" t="str">
        <f t="shared" si="0"/>
        <v>['Numero libro','23', 'Testamento','Antico Testamento', 'Gruppo','I libri poetici e sapienziali', 'Nome libro IT','Salmi','AbbrIT','Sal;Sl','Nome libro LT','Liber Psalmorum','AbbrLT','Ps','Nome libro EN','Psalms','AbbrEN','Ps(s)'],</v>
      </c>
    </row>
    <row r="25" spans="1:12" x14ac:dyDescent="0.25">
      <c r="A25">
        <v>24</v>
      </c>
      <c r="B25" t="s">
        <v>530</v>
      </c>
      <c r="C25" t="s">
        <v>510</v>
      </c>
      <c r="D25" t="s">
        <v>450</v>
      </c>
      <c r="E25" t="s">
        <v>641</v>
      </c>
      <c r="F25" t="s">
        <v>642</v>
      </c>
      <c r="G25" t="s">
        <v>643</v>
      </c>
      <c r="H25" t="s">
        <v>644</v>
      </c>
      <c r="I25" t="s">
        <v>643</v>
      </c>
      <c r="K25" s="19">
        <v>23</v>
      </c>
      <c r="L25" t="str">
        <f t="shared" si="0"/>
        <v>['Numero libro','24', 'Testamento','Antico Testamento', 'Gruppo','I libri poetici e sapienziali', 'Nome libro IT','Proverbi','AbbrIT','Prv;Prov;P','Nome libro LT','Liber Proverbiorum','AbbrLT','Prov','Nome libro EN','Proverbs','AbbrEN','Prov'],</v>
      </c>
    </row>
    <row r="26" spans="1:12" x14ac:dyDescent="0.25">
      <c r="A26">
        <v>25</v>
      </c>
      <c r="B26" t="s">
        <v>530</v>
      </c>
      <c r="C26" t="s">
        <v>510</v>
      </c>
      <c r="D26" t="s">
        <v>645</v>
      </c>
      <c r="E26" t="s">
        <v>646</v>
      </c>
      <c r="F26" t="s">
        <v>647</v>
      </c>
      <c r="G26" t="s">
        <v>648</v>
      </c>
      <c r="H26" t="s">
        <v>649</v>
      </c>
      <c r="I26" t="s">
        <v>650</v>
      </c>
      <c r="K26" s="19">
        <v>24</v>
      </c>
      <c r="L26" t="str">
        <f t="shared" si="0"/>
        <v>['Numero libro','25', 'Testamento','Antico Testamento', 'Gruppo','I libri poetici e sapienziali', 'Nome libro IT','Qoelet (=Ecclesiaste)','AbbrIT','Qo;Ec;Q','Nome libro LT','Liber Ecclesiastes','AbbrLT','Eccle','Nome libro EN','Ecclesiastes','AbbrEN','Eccl'],</v>
      </c>
    </row>
    <row r="27" spans="1:12" x14ac:dyDescent="0.25">
      <c r="A27">
        <v>26</v>
      </c>
      <c r="B27" t="s">
        <v>530</v>
      </c>
      <c r="C27" t="s">
        <v>510</v>
      </c>
      <c r="D27" t="s">
        <v>458</v>
      </c>
      <c r="E27" t="s">
        <v>651</v>
      </c>
      <c r="F27" t="s">
        <v>652</v>
      </c>
      <c r="G27" t="s">
        <v>653</v>
      </c>
      <c r="H27" t="s">
        <v>654</v>
      </c>
      <c r="I27" t="s">
        <v>655</v>
      </c>
      <c r="K27" s="19">
        <v>25</v>
      </c>
      <c r="L27" t="str">
        <f t="shared" si="0"/>
        <v>['Numero libro','26', 'Testamento','Antico Testamento', 'Gruppo','I libri poetici e sapienziali', 'Nome libro IT','Cantico','AbbrIT','Ct;Ca;CC','Nome libro LT','Canticum Canticorum Salomonis','AbbrLT','Cant','Nome libro EN','Song of Songs','AbbrEN','Song'],</v>
      </c>
    </row>
    <row r="28" spans="1:12" x14ac:dyDescent="0.25">
      <c r="A28">
        <v>27</v>
      </c>
      <c r="B28" t="s">
        <v>530</v>
      </c>
      <c r="C28" t="s">
        <v>510</v>
      </c>
      <c r="D28" t="s">
        <v>461</v>
      </c>
      <c r="E28" t="s">
        <v>462</v>
      </c>
      <c r="F28" t="s">
        <v>656</v>
      </c>
      <c r="G28" t="s">
        <v>462</v>
      </c>
      <c r="H28" t="s">
        <v>657</v>
      </c>
      <c r="I28" t="s">
        <v>658</v>
      </c>
      <c r="K28" s="19">
        <v>26</v>
      </c>
      <c r="L28" t="str">
        <f t="shared" si="0"/>
        <v>['Numero libro','27', 'Testamento','Antico Testamento', 'Gruppo','I libri poetici e sapienziali', 'Nome libro IT','Sapienza','AbbrIT','Sap','Nome libro LT','Liber Sapientiæ','AbbrLT','Sap','Nome libro EN','Wisdom of Solomon','AbbrEN','Wis'],</v>
      </c>
    </row>
    <row r="29" spans="1:12" x14ac:dyDescent="0.25">
      <c r="A29">
        <v>28</v>
      </c>
      <c r="B29" t="s">
        <v>530</v>
      </c>
      <c r="C29" t="s">
        <v>510</v>
      </c>
      <c r="D29" t="s">
        <v>659</v>
      </c>
      <c r="E29" t="s">
        <v>660</v>
      </c>
      <c r="F29" t="s">
        <v>661</v>
      </c>
      <c r="G29" t="s">
        <v>662</v>
      </c>
      <c r="H29" t="s">
        <v>663</v>
      </c>
      <c r="I29" t="s">
        <v>464</v>
      </c>
      <c r="K29" s="19">
        <v>27</v>
      </c>
      <c r="L29" t="str">
        <f t="shared" si="0"/>
        <v>['Numero libro','28', 'Testamento','Antico Testamento', 'Gruppo','I libri poetici e sapienziali', 'Nome libro IT','Siracide (= Ecclesiastico)','AbbrIT','Sir;Si','Nome libro LT','Ecclesiasticus Jesu, filii Sirach','AbbrLT','Eccli','Nome libro EN','Sirach/ Ecclesiasticus','AbbrEN','Sir'],</v>
      </c>
    </row>
    <row r="30" spans="1:12" x14ac:dyDescent="0.25">
      <c r="A30">
        <v>29</v>
      </c>
      <c r="B30" t="s">
        <v>530</v>
      </c>
      <c r="C30" t="s">
        <v>511</v>
      </c>
      <c r="D30" t="s">
        <v>465</v>
      </c>
      <c r="E30" t="s">
        <v>466</v>
      </c>
      <c r="F30" t="s">
        <v>664</v>
      </c>
      <c r="G30" t="s">
        <v>665</v>
      </c>
      <c r="H30" t="s">
        <v>666</v>
      </c>
      <c r="I30" t="s">
        <v>667</v>
      </c>
      <c r="K30" s="19">
        <v>28</v>
      </c>
      <c r="L30" t="str">
        <f t="shared" si="0"/>
        <v>['Numero libro','29', 'Testamento','Antico Testamento', 'Gruppo','I libri profetici: Profeti maggiori', 'Nome libro IT','Isaia','AbbrIT','Is','Nome libro LT','Prophetia Isaiæ','AbbrLT','Isai;Isa','Nome libro EN','Isaiah','AbbrEN','Isa'],</v>
      </c>
    </row>
    <row r="31" spans="1:12" x14ac:dyDescent="0.25">
      <c r="A31">
        <v>30</v>
      </c>
      <c r="B31" t="s">
        <v>530</v>
      </c>
      <c r="C31" t="s">
        <v>511</v>
      </c>
      <c r="D31" t="s">
        <v>467</v>
      </c>
      <c r="E31" t="s">
        <v>668</v>
      </c>
      <c r="F31" t="s">
        <v>669</v>
      </c>
      <c r="G31" t="s">
        <v>670</v>
      </c>
      <c r="H31" t="s">
        <v>671</v>
      </c>
      <c r="I31" t="s">
        <v>672</v>
      </c>
      <c r="K31" s="19">
        <v>29</v>
      </c>
      <c r="L31" t="str">
        <f t="shared" si="0"/>
        <v>['Numero libro','30', 'Testamento','Antico Testamento', 'Gruppo','I libri profetici: Profeti maggiori', 'Nome libro IT','Geremia','AbbrIT','Ger;Gr','Nome libro LT','Prophetia Jeremiæ','AbbrLT','Ier','Nome libro EN','Jeremiah','AbbrEN','Jer'],</v>
      </c>
    </row>
    <row r="32" spans="1:12" x14ac:dyDescent="0.25">
      <c r="A32">
        <v>31</v>
      </c>
      <c r="B32" t="s">
        <v>530</v>
      </c>
      <c r="C32" t="s">
        <v>511</v>
      </c>
      <c r="D32" t="s">
        <v>469</v>
      </c>
      <c r="E32" t="s">
        <v>673</v>
      </c>
      <c r="F32" t="s">
        <v>674</v>
      </c>
      <c r="G32" t="s">
        <v>470</v>
      </c>
      <c r="H32" t="s">
        <v>675</v>
      </c>
      <c r="I32" t="s">
        <v>470</v>
      </c>
      <c r="K32" s="19">
        <v>30</v>
      </c>
      <c r="L32" t="str">
        <f t="shared" si="0"/>
        <v>['Numero libro','31', 'Testamento','Antico Testamento', 'Gruppo','I libri profetici: Profeti maggiori', 'Nome libro IT','Lamentazioni','AbbrIT','Lam;La','Nome libro LT','Lamentationes Jeremiæ Prophetæ','AbbrLT','Lam','Nome libro EN','Lamentations','AbbrEN','Lam'],</v>
      </c>
    </row>
    <row r="33" spans="1:12" x14ac:dyDescent="0.25">
      <c r="A33">
        <v>32</v>
      </c>
      <c r="B33" t="s">
        <v>530</v>
      </c>
      <c r="C33" t="s">
        <v>511</v>
      </c>
      <c r="D33" t="s">
        <v>471</v>
      </c>
      <c r="E33" t="s">
        <v>676</v>
      </c>
      <c r="F33" t="s">
        <v>677</v>
      </c>
      <c r="G33" t="s">
        <v>472</v>
      </c>
      <c r="H33" t="s">
        <v>678</v>
      </c>
      <c r="I33" t="s">
        <v>472</v>
      </c>
      <c r="K33" s="19">
        <v>31</v>
      </c>
      <c r="L33" t="str">
        <f t="shared" si="0"/>
        <v>['Numero libro','32', 'Testamento','Antico Testamento', 'Gruppo','I libri profetici: Profeti maggiori', 'Nome libro IT','Baruc','AbbrIT','Bar;B','Nome libro LT','Prophetia Baruch','AbbrLT','Bar','Nome libro EN','Baruch','AbbrEN','Bar'],</v>
      </c>
    </row>
    <row r="34" spans="1:12" x14ac:dyDescent="0.25">
      <c r="A34">
        <v>33</v>
      </c>
      <c r="B34" t="s">
        <v>530</v>
      </c>
      <c r="C34" t="s">
        <v>511</v>
      </c>
      <c r="D34" t="s">
        <v>473</v>
      </c>
      <c r="E34" t="s">
        <v>474</v>
      </c>
      <c r="F34" t="s">
        <v>679</v>
      </c>
      <c r="G34" t="s">
        <v>474</v>
      </c>
      <c r="H34" t="s">
        <v>680</v>
      </c>
      <c r="I34" t="s">
        <v>681</v>
      </c>
      <c r="K34" s="19">
        <v>32</v>
      </c>
      <c r="L34" t="str">
        <f t="shared" si="0"/>
        <v>['Numero libro','33', 'Testamento','Antico Testamento', 'Gruppo','I libri profetici: Profeti maggiori', 'Nome libro IT','Ezechiele','AbbrIT','Ez','Nome libro LT','Prophetia Ezechielis','AbbrLT','Ez','Nome libro EN','Ezekiel','AbbrEN','Ezek'],</v>
      </c>
    </row>
    <row r="35" spans="1:12" x14ac:dyDescent="0.25">
      <c r="A35">
        <v>34</v>
      </c>
      <c r="B35" t="s">
        <v>530</v>
      </c>
      <c r="C35" t="s">
        <v>511</v>
      </c>
      <c r="D35" t="s">
        <v>475</v>
      </c>
      <c r="E35" t="s">
        <v>682</v>
      </c>
      <c r="F35" t="s">
        <v>683</v>
      </c>
      <c r="G35" t="s">
        <v>684</v>
      </c>
      <c r="H35" t="s">
        <v>685</v>
      </c>
      <c r="I35" t="s">
        <v>684</v>
      </c>
      <c r="K35" s="19">
        <v>33</v>
      </c>
      <c r="L35" t="str">
        <f t="shared" si="0"/>
        <v>['Numero libro','34', 'Testamento','Antico Testamento', 'Gruppo','I libri profetici: Profeti maggiori', 'Nome libro IT','Daniele','AbbrIT','Dn;Dan;Da','Nome libro LT','Prophetia Danielis','AbbrLT','Dan','Nome libro EN','Daniel','AbbrEN','Dan'],</v>
      </c>
    </row>
    <row r="36" spans="1:12" x14ac:dyDescent="0.25">
      <c r="A36">
        <v>35</v>
      </c>
      <c r="B36" t="s">
        <v>530</v>
      </c>
      <c r="C36" t="s">
        <v>512</v>
      </c>
      <c r="D36" t="s">
        <v>477</v>
      </c>
      <c r="E36" t="s">
        <v>686</v>
      </c>
      <c r="F36" t="s">
        <v>687</v>
      </c>
      <c r="G36" t="s">
        <v>478</v>
      </c>
      <c r="H36" t="s">
        <v>688</v>
      </c>
      <c r="I36" t="s">
        <v>689</v>
      </c>
      <c r="K36" s="19">
        <v>34</v>
      </c>
      <c r="L36" t="str">
        <f t="shared" si="0"/>
        <v>['Numero libro','35', 'Testamento','Antico Testamento', 'Gruppo','I libri profetici: Profeti minori', 'Nome libro IT','Osea','AbbrIT','Os;O','Nome libro LT','Prophetia Osee','AbbrLT','Os','Nome libro EN','Hosea','AbbrEN','Hos'],</v>
      </c>
    </row>
    <row r="37" spans="1:12" x14ac:dyDescent="0.25">
      <c r="A37">
        <v>36</v>
      </c>
      <c r="B37" t="s">
        <v>530</v>
      </c>
      <c r="C37" t="s">
        <v>512</v>
      </c>
      <c r="D37" t="s">
        <v>479</v>
      </c>
      <c r="E37" t="s">
        <v>690</v>
      </c>
      <c r="F37" t="s">
        <v>691</v>
      </c>
      <c r="G37" t="s">
        <v>692</v>
      </c>
      <c r="H37" t="s">
        <v>693</v>
      </c>
      <c r="I37" t="s">
        <v>693</v>
      </c>
      <c r="K37" s="19">
        <v>35</v>
      </c>
      <c r="L37" t="str">
        <f t="shared" si="0"/>
        <v>['Numero libro','36', 'Testamento','Antico Testamento', 'Gruppo','I libri profetici: Profeti minori', 'Nome libro IT','Gioele','AbbrIT','Gl;Gioe;Gi','Nome libro LT','Prophetia Joël','AbbrLT','Ioel','Nome libro EN','Joel','AbbrEN','Joel'],</v>
      </c>
    </row>
    <row r="38" spans="1:12" x14ac:dyDescent="0.25">
      <c r="A38">
        <v>37</v>
      </c>
      <c r="B38" t="s">
        <v>530</v>
      </c>
      <c r="C38" t="s">
        <v>512</v>
      </c>
      <c r="D38" t="s">
        <v>481</v>
      </c>
      <c r="E38" t="s">
        <v>482</v>
      </c>
      <c r="F38" t="s">
        <v>694</v>
      </c>
      <c r="G38" t="s">
        <v>482</v>
      </c>
      <c r="H38" t="s">
        <v>481</v>
      </c>
      <c r="I38" t="s">
        <v>481</v>
      </c>
      <c r="K38" s="19">
        <v>36</v>
      </c>
      <c r="L38" t="str">
        <f t="shared" si="0"/>
        <v>['Numero libro','37', 'Testamento','Antico Testamento', 'Gruppo','I libri profetici: Profeti minori', 'Nome libro IT','Amos','AbbrIT','Am','Nome libro LT','Prophetia Amos','AbbrLT','Am','Nome libro EN','Amos','AbbrEN','Amos'],</v>
      </c>
    </row>
    <row r="39" spans="1:12" x14ac:dyDescent="0.25">
      <c r="A39">
        <v>38</v>
      </c>
      <c r="B39" t="s">
        <v>530</v>
      </c>
      <c r="C39" t="s">
        <v>512</v>
      </c>
      <c r="D39" t="s">
        <v>483</v>
      </c>
      <c r="E39" t="s">
        <v>695</v>
      </c>
      <c r="F39" t="s">
        <v>696</v>
      </c>
      <c r="G39" t="s">
        <v>484</v>
      </c>
      <c r="H39" t="s">
        <v>697</v>
      </c>
      <c r="I39" t="s">
        <v>698</v>
      </c>
      <c r="K39" s="19">
        <v>37</v>
      </c>
      <c r="L39" t="str">
        <f t="shared" si="0"/>
        <v>['Numero libro','38', 'Testamento','Antico Testamento', 'Gruppo','I libri profetici: Profeti minori', 'Nome libro IT','Abdia','AbbrIT','Abd;Ad','Nome libro LT','Prophetia Abdiæ','AbbrLT','Abd','Nome libro EN','Obadiah','AbbrEN','Obad'],</v>
      </c>
    </row>
    <row r="40" spans="1:12" x14ac:dyDescent="0.25">
      <c r="A40">
        <v>39</v>
      </c>
      <c r="B40" t="s">
        <v>530</v>
      </c>
      <c r="C40" t="s">
        <v>512</v>
      </c>
      <c r="D40" t="s">
        <v>485</v>
      </c>
      <c r="E40" t="s">
        <v>699</v>
      </c>
      <c r="F40" t="s">
        <v>700</v>
      </c>
      <c r="G40" t="s">
        <v>701</v>
      </c>
      <c r="H40" t="s">
        <v>702</v>
      </c>
      <c r="I40" t="s">
        <v>702</v>
      </c>
      <c r="K40" s="19">
        <v>38</v>
      </c>
      <c r="L40" t="str">
        <f t="shared" si="0"/>
        <v>['Numero libro','39', 'Testamento','Antico Testamento', 'Gruppo','I libri profetici: Profeti minori', 'Nome libro IT','Giona','AbbrIT','Gio;Gion','Nome libro LT','Prophetia Jonæ','AbbrLT','Ion','Nome libro EN','Jonah','AbbrEN','Jonah'],</v>
      </c>
    </row>
    <row r="41" spans="1:12" x14ac:dyDescent="0.25">
      <c r="A41">
        <v>40</v>
      </c>
      <c r="B41" t="s">
        <v>530</v>
      </c>
      <c r="C41" t="s">
        <v>512</v>
      </c>
      <c r="D41" t="s">
        <v>487</v>
      </c>
      <c r="E41" t="s">
        <v>703</v>
      </c>
      <c r="F41" t="s">
        <v>704</v>
      </c>
      <c r="G41" t="s">
        <v>488</v>
      </c>
      <c r="H41" t="s">
        <v>705</v>
      </c>
      <c r="I41" t="s">
        <v>488</v>
      </c>
      <c r="K41" s="19">
        <v>39</v>
      </c>
      <c r="L41" t="str">
        <f t="shared" si="0"/>
        <v>['Numero libro','40', 'Testamento','Antico Testamento', 'Gruppo','I libri profetici: Profeti minori', 'Nome libro IT','Michea','AbbrIT','Mi','Nome libro LT','Prophetia Michææ','AbbrLT','Mic','Nome libro EN','Micah','AbbrEN','Mic'],</v>
      </c>
    </row>
    <row r="42" spans="1:12" x14ac:dyDescent="0.25">
      <c r="A42">
        <v>41</v>
      </c>
      <c r="B42" t="s">
        <v>530</v>
      </c>
      <c r="C42" t="s">
        <v>512</v>
      </c>
      <c r="D42" t="s">
        <v>489</v>
      </c>
      <c r="E42" t="s">
        <v>490</v>
      </c>
      <c r="F42" t="s">
        <v>706</v>
      </c>
      <c r="G42" t="s">
        <v>707</v>
      </c>
      <c r="H42" t="s">
        <v>708</v>
      </c>
      <c r="I42" t="s">
        <v>707</v>
      </c>
      <c r="K42" s="19">
        <v>40</v>
      </c>
      <c r="L42" t="str">
        <f t="shared" si="0"/>
        <v>['Numero libro','41', 'Testamento','Antico Testamento', 'Gruppo','I libri profetici: Profeti minori', 'Nome libro IT','Naum','AbbrIT','Na','Nome libro LT','Prophetia Nahum','AbbrLT','Nah','Nome libro EN','Nahum','AbbrEN','Nah'],</v>
      </c>
    </row>
    <row r="43" spans="1:12" x14ac:dyDescent="0.25">
      <c r="A43">
        <v>42</v>
      </c>
      <c r="B43" t="s">
        <v>530</v>
      </c>
      <c r="C43" t="s">
        <v>512</v>
      </c>
      <c r="D43" t="s">
        <v>491</v>
      </c>
      <c r="E43" t="s">
        <v>709</v>
      </c>
      <c r="F43" t="s">
        <v>710</v>
      </c>
      <c r="G43" t="s">
        <v>711</v>
      </c>
      <c r="H43" t="s">
        <v>712</v>
      </c>
      <c r="I43" t="s">
        <v>711</v>
      </c>
      <c r="K43" s="19">
        <v>41</v>
      </c>
      <c r="L43" t="str">
        <f t="shared" si="0"/>
        <v>['Numero libro','42', 'Testamento','Antico Testamento', 'Gruppo','I libri profetici: Profeti minori', 'Nome libro IT','Abacuc','AbbrIT','Ab;Abac;Aba;Ac;H','Nome libro LT','Prophetia Habacuc','AbbrLT','Hab','Nome libro EN','Habakkuk','AbbrEN','Hab'],</v>
      </c>
    </row>
    <row r="44" spans="1:12" x14ac:dyDescent="0.25">
      <c r="A44">
        <v>43</v>
      </c>
      <c r="B44" t="s">
        <v>530</v>
      </c>
      <c r="C44" t="s">
        <v>512</v>
      </c>
      <c r="D44" t="s">
        <v>493</v>
      </c>
      <c r="E44" t="s">
        <v>713</v>
      </c>
      <c r="F44" t="s">
        <v>714</v>
      </c>
      <c r="G44" t="s">
        <v>715</v>
      </c>
      <c r="H44" t="s">
        <v>716</v>
      </c>
      <c r="I44" t="s">
        <v>717</v>
      </c>
      <c r="K44" s="19">
        <v>42</v>
      </c>
      <c r="L44" t="str">
        <f t="shared" si="0"/>
        <v>['Numero libro','43', 'Testamento','Antico Testamento', 'Gruppo','I libri profetici: Profeti minori', 'Nome libro IT','Sofonia','AbbrIT','Sof;So','Nome libro LT','Prophetia Sophoniæ','AbbrLT','Soph','Nome libro EN','Zephaniah','AbbrEN','Zeph'],</v>
      </c>
    </row>
    <row r="45" spans="1:12" x14ac:dyDescent="0.25">
      <c r="A45">
        <v>44</v>
      </c>
      <c r="B45" t="s">
        <v>530</v>
      </c>
      <c r="C45" t="s">
        <v>512</v>
      </c>
      <c r="D45" t="s">
        <v>495</v>
      </c>
      <c r="E45" t="s">
        <v>718</v>
      </c>
      <c r="F45" t="s">
        <v>719</v>
      </c>
      <c r="G45" t="s">
        <v>720</v>
      </c>
      <c r="H45" t="s">
        <v>721</v>
      </c>
      <c r="I45" t="s">
        <v>722</v>
      </c>
      <c r="K45" s="19">
        <v>43</v>
      </c>
      <c r="L45" t="str">
        <f t="shared" si="0"/>
        <v>['Numero libro','44', 'Testamento','Antico Testamento', 'Gruppo','I libri profetici: Profeti minori', 'Nome libro IT','Aggeo','AbbrIT','Ag;Agg','Nome libro LT','Prophetia Aggæi','AbbrLT','Agg','Nome libro EN','Haggai','AbbrEN','Hag'],</v>
      </c>
    </row>
    <row r="46" spans="1:12" x14ac:dyDescent="0.25">
      <c r="A46">
        <v>45</v>
      </c>
      <c r="B46" t="s">
        <v>530</v>
      </c>
      <c r="C46" t="s">
        <v>512</v>
      </c>
      <c r="D46" t="s">
        <v>497</v>
      </c>
      <c r="E46" t="s">
        <v>723</v>
      </c>
      <c r="F46" t="s">
        <v>724</v>
      </c>
      <c r="G46" t="s">
        <v>725</v>
      </c>
      <c r="H46" t="s">
        <v>726</v>
      </c>
      <c r="I46" t="s">
        <v>727</v>
      </c>
      <c r="K46" s="19">
        <v>44</v>
      </c>
      <c r="L46" t="str">
        <f t="shared" si="0"/>
        <v>['Numero libro','45', 'Testamento','Antico Testamento', 'Gruppo','I libri profetici: Profeti minori', 'Nome libro IT','Zaccaria','AbbrIT','Zc;Zac;Z','Nome libro LT','Prophetia Zachariæ','AbbrLT','Zach','Nome libro EN','Zechariah','AbbrEN','Zech'],</v>
      </c>
    </row>
    <row r="47" spans="1:12" x14ac:dyDescent="0.25">
      <c r="A47">
        <v>46</v>
      </c>
      <c r="B47" t="s">
        <v>530</v>
      </c>
      <c r="C47" t="s">
        <v>512</v>
      </c>
      <c r="D47" t="s">
        <v>499</v>
      </c>
      <c r="E47" t="s">
        <v>728</v>
      </c>
      <c r="F47" t="s">
        <v>729</v>
      </c>
      <c r="G47" t="s">
        <v>730</v>
      </c>
      <c r="H47" t="s">
        <v>731</v>
      </c>
      <c r="I47" t="s">
        <v>730</v>
      </c>
      <c r="K47" s="19">
        <v>45</v>
      </c>
      <c r="L47" t="str">
        <f t="shared" si="0"/>
        <v>['Numero libro','46', 'Testamento','Antico Testamento', 'Gruppo','I libri profetici: Profeti minori', 'Nome libro IT','Malachia','AbbrIT','Ml;Mal','Nome libro LT','Prophetia Malachiæ','AbbrLT','Mal','Nome libro EN','Malachi','AbbrEN','Mal'],</v>
      </c>
    </row>
    <row r="48" spans="1:12" x14ac:dyDescent="0.25">
      <c r="A48">
        <v>47</v>
      </c>
      <c r="B48" t="s">
        <v>376</v>
      </c>
      <c r="C48" t="s">
        <v>513</v>
      </c>
      <c r="D48" t="s">
        <v>855</v>
      </c>
      <c r="E48" t="s">
        <v>732</v>
      </c>
      <c r="F48" t="s">
        <v>733</v>
      </c>
      <c r="G48" t="s">
        <v>2</v>
      </c>
      <c r="H48" t="s">
        <v>734</v>
      </c>
      <c r="I48" t="s">
        <v>735</v>
      </c>
      <c r="K48" s="19">
        <v>46</v>
      </c>
      <c r="L48" t="str">
        <f t="shared" si="0"/>
        <v>['Numero libro','47', 'Testamento','Nuovo Testamento', 'Gruppo','I Vangeli', 'Nome libro IT','Vangelo di san Matteo Apostolo ed Evangelista','AbbrIT','Mt;Mat','Nome libro LT','Evangelium secundum Matthæum','AbbrLT','Matteo','Nome libro EN','Matthew','AbbrEN','Matt'],</v>
      </c>
    </row>
    <row r="49" spans="1:12" x14ac:dyDescent="0.25">
      <c r="A49">
        <v>48</v>
      </c>
      <c r="B49" t="s">
        <v>376</v>
      </c>
      <c r="C49" t="s">
        <v>513</v>
      </c>
      <c r="D49" t="s">
        <v>856</v>
      </c>
      <c r="E49" t="s">
        <v>736</v>
      </c>
      <c r="F49" t="s">
        <v>737</v>
      </c>
      <c r="G49" t="s">
        <v>7</v>
      </c>
      <c r="H49" t="s">
        <v>738</v>
      </c>
      <c r="I49" t="s">
        <v>738</v>
      </c>
      <c r="K49" s="19">
        <v>47</v>
      </c>
      <c r="L49" t="str">
        <f t="shared" si="0"/>
        <v>['Numero libro','48', 'Testamento','Nuovo Testamento', 'Gruppo','I Vangeli', 'Nome libro IT','Vangelo di san Marco Evangelista','AbbrIT','Mc;Mar;Mr','Nome libro LT','Evangelium secundum Marcum','AbbrLT','Marco','Nome libro EN','Mark','AbbrEN','Mark'],</v>
      </c>
    </row>
    <row r="50" spans="1:12" x14ac:dyDescent="0.25">
      <c r="A50">
        <v>49</v>
      </c>
      <c r="B50" t="s">
        <v>376</v>
      </c>
      <c r="C50" t="s">
        <v>513</v>
      </c>
      <c r="D50" t="s">
        <v>857</v>
      </c>
      <c r="E50" t="s">
        <v>739</v>
      </c>
      <c r="F50" t="s">
        <v>740</v>
      </c>
      <c r="G50" t="s">
        <v>8</v>
      </c>
      <c r="H50" t="s">
        <v>741</v>
      </c>
      <c r="I50" t="s">
        <v>741</v>
      </c>
      <c r="K50" s="19">
        <v>48</v>
      </c>
      <c r="L50" t="str">
        <f t="shared" si="0"/>
        <v>['Numero libro','49', 'Testamento','Nuovo Testamento', 'Gruppo','I Vangeli', 'Nome libro IT','Vangelo di san Luca Evangelista','AbbrIT','Lc;Lu','Nome libro LT','Evangelium secundum Lucam','AbbrLT','Luca','Nome libro EN','Luke','AbbrEN','Luke'],</v>
      </c>
    </row>
    <row r="51" spans="1:12" x14ac:dyDescent="0.25">
      <c r="A51">
        <v>50</v>
      </c>
      <c r="B51" t="s">
        <v>376</v>
      </c>
      <c r="C51" t="s">
        <v>513</v>
      </c>
      <c r="D51" t="s">
        <v>858</v>
      </c>
      <c r="E51" t="s">
        <v>742</v>
      </c>
      <c r="F51" t="s">
        <v>743</v>
      </c>
      <c r="G51" t="s">
        <v>744</v>
      </c>
      <c r="H51" t="s">
        <v>745</v>
      </c>
      <c r="I51" t="s">
        <v>745</v>
      </c>
      <c r="K51" s="19">
        <v>49</v>
      </c>
      <c r="L51" t="str">
        <f t="shared" si="0"/>
        <v>['Numero libro','50', 'Testamento','Nuovo Testamento', 'Gruppo','I Vangeli', 'Nome libro IT','Vangelo di san Giovanni Apostolo ed Evangelista','AbbrIT','Gv;Giov','Nome libro LT','Evangelium secundum Joannem','AbbrLT','Io','Nome libro EN','John','AbbrEN','John'],</v>
      </c>
    </row>
    <row r="52" spans="1:12" x14ac:dyDescent="0.25">
      <c r="A52">
        <v>51</v>
      </c>
      <c r="B52" t="s">
        <v>376</v>
      </c>
      <c r="C52" t="s">
        <v>514</v>
      </c>
      <c r="D52" t="s">
        <v>10</v>
      </c>
      <c r="E52" t="s">
        <v>6</v>
      </c>
      <c r="F52" t="s">
        <v>746</v>
      </c>
      <c r="G52" t="s">
        <v>747</v>
      </c>
      <c r="H52" t="s">
        <v>748</v>
      </c>
      <c r="I52" t="s">
        <v>748</v>
      </c>
      <c r="K52" s="19">
        <v>50</v>
      </c>
      <c r="L52" t="str">
        <f t="shared" si="0"/>
        <v>['Numero libro','51', 'Testamento','Nuovo Testamento', 'Gruppo','Atti', 'Nome libro IT','Atti degli Apostoli','AbbrIT','At','Nome libro LT','Actus Apostolorum','AbbrLT','Act','Nome libro EN','Acts','AbbrEN','Acts'],</v>
      </c>
    </row>
    <row r="53" spans="1:12" x14ac:dyDescent="0.25">
      <c r="A53">
        <v>52</v>
      </c>
      <c r="B53" t="s">
        <v>376</v>
      </c>
      <c r="C53" t="s">
        <v>515</v>
      </c>
      <c r="D53" t="s">
        <v>749</v>
      </c>
      <c r="E53" t="s">
        <v>750</v>
      </c>
      <c r="F53" t="s">
        <v>751</v>
      </c>
      <c r="G53" t="s">
        <v>752</v>
      </c>
      <c r="H53" t="s">
        <v>753</v>
      </c>
      <c r="I53" t="s">
        <v>752</v>
      </c>
      <c r="K53" s="19">
        <v>51</v>
      </c>
      <c r="L53" t="str">
        <f t="shared" si="0"/>
        <v>['Numero libro','52', 'Testamento','Nuovo Testamento', 'Gruppo','Le Lettere Paoline', 'Nome libro IT','Lettera di san Paolo Apostolo ai Romani','AbbrIT','Rm;Ro','Nome libro LT','Epistola B. Pauli Apostoli ad Romanos','AbbrLT','Rom','Nome libro EN','Romans','AbbrEN','Rom'],</v>
      </c>
    </row>
    <row r="54" spans="1:12" x14ac:dyDescent="0.25">
      <c r="A54">
        <v>53</v>
      </c>
      <c r="B54" t="s">
        <v>376</v>
      </c>
      <c r="C54" t="s">
        <v>515</v>
      </c>
      <c r="D54" t="s">
        <v>754</v>
      </c>
      <c r="E54" t="s">
        <v>755</v>
      </c>
      <c r="F54" t="s">
        <v>756</v>
      </c>
      <c r="G54" t="s">
        <v>14</v>
      </c>
      <c r="H54" t="s">
        <v>757</v>
      </c>
      <c r="I54" t="s">
        <v>396</v>
      </c>
      <c r="K54" s="19">
        <v>52</v>
      </c>
      <c r="L54" t="str">
        <f t="shared" si="0"/>
        <v>['Numero libro','53', 'Testamento','Nuovo Testamento', 'Gruppo','Le Lettere Paoline', 'Nome libro IT','Prima lettera di san Paolo Apostolo ai Corinzi','AbbrIT','1Cor;1 Cor;I Cor;ICor;1Co;ICo;1 Co;I Co','Nome libro LT','Epistola B. Pauli Apostoli ad Corinthios Prima','AbbrLT','1Cor','Nome libro EN','1 Corinthians','AbbrEN','1 Cor'],</v>
      </c>
    </row>
    <row r="55" spans="1:12" x14ac:dyDescent="0.25">
      <c r="A55">
        <v>54</v>
      </c>
      <c r="B55" t="s">
        <v>376</v>
      </c>
      <c r="C55" t="s">
        <v>515</v>
      </c>
      <c r="D55" t="s">
        <v>758</v>
      </c>
      <c r="E55" t="s">
        <v>759</v>
      </c>
      <c r="F55" t="s">
        <v>760</v>
      </c>
      <c r="G55" t="s">
        <v>16</v>
      </c>
      <c r="H55" t="s">
        <v>761</v>
      </c>
      <c r="I55" t="s">
        <v>400</v>
      </c>
      <c r="K55" s="19">
        <v>53</v>
      </c>
      <c r="L55" t="str">
        <f t="shared" si="0"/>
        <v>['Numero libro','54', 'Testamento','Nuovo Testamento', 'Gruppo','Le Lettere Paoline', 'Nome libro IT','Seconda lettera di san Paolo Apostolo ai Corinzi','AbbrIT','2Cor;2 Cor;II cor;IICor;2Co;IICo;2 Co;II Co','Nome libro LT','Epistola B. Pauli Apostoli ad Corinthios Secunda','AbbrLT','2Cor','Nome libro EN','2 Corinthians','AbbrEN','2 Cor'],</v>
      </c>
    </row>
    <row r="56" spans="1:12" x14ac:dyDescent="0.25">
      <c r="A56">
        <v>55</v>
      </c>
      <c r="B56" t="s">
        <v>376</v>
      </c>
      <c r="C56" t="s">
        <v>515</v>
      </c>
      <c r="D56" t="s">
        <v>762</v>
      </c>
      <c r="E56" t="s">
        <v>763</v>
      </c>
      <c r="F56" t="s">
        <v>764</v>
      </c>
      <c r="G56" t="s">
        <v>18</v>
      </c>
      <c r="H56" t="s">
        <v>765</v>
      </c>
      <c r="I56" t="s">
        <v>18</v>
      </c>
      <c r="K56" s="19">
        <v>54</v>
      </c>
      <c r="L56" t="str">
        <f t="shared" si="0"/>
        <v>['Numero libro','55', 'Testamento','Nuovo Testamento', 'Gruppo','Le Lettere Paoline', 'Nome libro IT','Lettera di san Paolo Apostolo ai Galati','AbbrIT','Gal;Ga','Nome libro LT','Epistola B. Pauli Apostoli ad Galatas','AbbrLT','Gal','Nome libro EN','Galatians','AbbrEN','Gal'],</v>
      </c>
    </row>
    <row r="57" spans="1:12" x14ac:dyDescent="0.25">
      <c r="A57">
        <v>56</v>
      </c>
      <c r="B57" t="s">
        <v>376</v>
      </c>
      <c r="C57" t="s">
        <v>515</v>
      </c>
      <c r="D57" t="s">
        <v>766</v>
      </c>
      <c r="E57" t="s">
        <v>19</v>
      </c>
      <c r="F57" t="s">
        <v>767</v>
      </c>
      <c r="G57" t="s">
        <v>768</v>
      </c>
      <c r="H57" t="s">
        <v>769</v>
      </c>
      <c r="I57" t="s">
        <v>768</v>
      </c>
      <c r="K57" s="19">
        <v>55</v>
      </c>
      <c r="L57" t="str">
        <f t="shared" si="0"/>
        <v>['Numero libro','56', 'Testamento','Nuovo Testamento', 'Gruppo','Le Lettere Paoline', 'Nome libro IT','Lettera di san Paolo Apostolo agli Efesini','AbbrIT','Ef','Nome libro LT','Epistola B. Pauli Apostoli ad Ephesios','AbbrLT','Eph','Nome libro EN','Ephesians','AbbrEN','Eph'],</v>
      </c>
    </row>
    <row r="58" spans="1:12" x14ac:dyDescent="0.25">
      <c r="A58">
        <v>57</v>
      </c>
      <c r="B58" t="s">
        <v>376</v>
      </c>
      <c r="C58" t="s">
        <v>515</v>
      </c>
      <c r="D58" t="s">
        <v>770</v>
      </c>
      <c r="E58" t="s">
        <v>771</v>
      </c>
      <c r="F58" t="s">
        <v>772</v>
      </c>
      <c r="G58" t="s">
        <v>773</v>
      </c>
      <c r="H58" t="s">
        <v>774</v>
      </c>
      <c r="I58" t="s">
        <v>773</v>
      </c>
      <c r="K58" s="19">
        <v>56</v>
      </c>
      <c r="L58" t="str">
        <f t="shared" si="0"/>
        <v>['Numero libro','57', 'Testamento','Nuovo Testamento', 'Gruppo','Le Lettere Paoline', 'Nome libro IT','Lettera di san Paolo Apostolo ai Filippesi','AbbrIT','Fil;Fili;Fl','Nome libro LT','Epistola B. Pauli Apostoli ad Philippenses','AbbrLT','Phil','Nome libro EN','Philippians','AbbrEN','Phil'],</v>
      </c>
    </row>
    <row r="59" spans="1:12" x14ac:dyDescent="0.25">
      <c r="A59">
        <v>58</v>
      </c>
      <c r="B59" t="s">
        <v>376</v>
      </c>
      <c r="C59" t="s">
        <v>515</v>
      </c>
      <c r="D59" t="s">
        <v>775</v>
      </c>
      <c r="E59" t="s">
        <v>776</v>
      </c>
      <c r="F59" t="s">
        <v>777</v>
      </c>
      <c r="G59" t="s">
        <v>23</v>
      </c>
      <c r="H59" t="s">
        <v>778</v>
      </c>
      <c r="I59" t="s">
        <v>23</v>
      </c>
      <c r="K59" s="19">
        <v>57</v>
      </c>
      <c r="L59" t="str">
        <f t="shared" si="0"/>
        <v>['Numero libro','58', 'Testamento','Nuovo Testamento', 'Gruppo','Le Lettere Paoline', 'Nome libro IT','Lettera di san Paolo Apostolo ai Colossesi','AbbrIT','Col;Cl;Co','Nome libro LT','Epistola B. Pauli Apostoli ad Colossenses','AbbrLT','Col','Nome libro EN','Colossians','AbbrEN','Col'],</v>
      </c>
    </row>
    <row r="60" spans="1:12" x14ac:dyDescent="0.25">
      <c r="A60">
        <v>59</v>
      </c>
      <c r="B60" t="s">
        <v>376</v>
      </c>
      <c r="C60" t="s">
        <v>515</v>
      </c>
      <c r="D60" t="s">
        <v>779</v>
      </c>
      <c r="E60" t="s">
        <v>780</v>
      </c>
      <c r="F60" t="s">
        <v>781</v>
      </c>
      <c r="G60" t="s">
        <v>782</v>
      </c>
      <c r="H60" t="s">
        <v>783</v>
      </c>
      <c r="I60" t="s">
        <v>782</v>
      </c>
      <c r="K60" s="19">
        <v>58</v>
      </c>
      <c r="L60" t="str">
        <f t="shared" si="0"/>
        <v>['Numero libro','59', 'Testamento','Nuovo Testamento', 'Gruppo','Le Lettere Paoline', 'Nome libro IT','Prima Lettera di san Paolo Apostolo ai Tessalonicesi','AbbrIT','1Ts;1 Ts;1Te;1 Te;ITs;I Ts;ITe;I Te','Nome libro LT','Epistola B. Pauli Apostoli ad Thessalonicenses Prima','AbbrLT','1 Thess','Nome libro EN','1 Thessalonians','AbbrEN','1 Thess'],</v>
      </c>
    </row>
    <row r="61" spans="1:12" x14ac:dyDescent="0.25">
      <c r="A61">
        <v>60</v>
      </c>
      <c r="B61" t="s">
        <v>376</v>
      </c>
      <c r="C61" t="s">
        <v>515</v>
      </c>
      <c r="D61" t="s">
        <v>784</v>
      </c>
      <c r="E61" t="s">
        <v>785</v>
      </c>
      <c r="F61" t="s">
        <v>786</v>
      </c>
      <c r="G61" t="s">
        <v>787</v>
      </c>
      <c r="H61" t="s">
        <v>788</v>
      </c>
      <c r="I61" t="s">
        <v>787</v>
      </c>
      <c r="K61" s="19">
        <v>59</v>
      </c>
      <c r="L61" t="str">
        <f t="shared" si="0"/>
        <v>['Numero libro','60', 'Testamento','Nuovo Testamento', 'Gruppo','Le Lettere Paoline', 'Nome libro IT','Seconda Lettera di san Paolo Apostolo ai Tessalonicesi','AbbrIT','2Ts;2 Ts;2Te;2 Te;IITs;II Ts;IITe;II Te','Nome libro LT','Epistola B. Pauli Apostoli ad Thessalonicenses Secunda','AbbrLT','2 Thess','Nome libro EN','2 Thessalonians','AbbrEN','2 Thess'],</v>
      </c>
    </row>
    <row r="62" spans="1:12" x14ac:dyDescent="0.25">
      <c r="A62">
        <v>61</v>
      </c>
      <c r="B62" t="s">
        <v>376</v>
      </c>
      <c r="C62" t="s">
        <v>515</v>
      </c>
      <c r="D62" t="s">
        <v>789</v>
      </c>
      <c r="E62" t="s">
        <v>790</v>
      </c>
      <c r="F62" t="s">
        <v>791</v>
      </c>
      <c r="G62" t="s">
        <v>792</v>
      </c>
      <c r="H62" t="s">
        <v>793</v>
      </c>
      <c r="I62" t="s">
        <v>792</v>
      </c>
      <c r="K62" s="19">
        <v>60</v>
      </c>
      <c r="L62" t="str">
        <f t="shared" si="0"/>
        <v>['Numero libro','61', 'Testamento','Nuovo Testamento', 'Gruppo','Le Lettere Paoline', 'Nome libro IT','Prima Lettera di san Paolo Apostolo a Timoteo','AbbrIT','1Tm;1 Tm;1Ti;1 Ti;ITm;I Tm;ITi;I Ti','Nome libro LT','Epistola B. Pauli Apostoli ad Timotheum Prima','AbbrLT','1 Tim','Nome libro EN','1 Timothy','AbbrEN','1 Tim'],</v>
      </c>
    </row>
    <row r="63" spans="1:12" x14ac:dyDescent="0.25">
      <c r="A63">
        <v>62</v>
      </c>
      <c r="B63" t="s">
        <v>376</v>
      </c>
      <c r="C63" t="s">
        <v>515</v>
      </c>
      <c r="D63" t="s">
        <v>794</v>
      </c>
      <c r="E63" t="s">
        <v>795</v>
      </c>
      <c r="F63" t="s">
        <v>796</v>
      </c>
      <c r="G63" t="s">
        <v>797</v>
      </c>
      <c r="H63" t="s">
        <v>798</v>
      </c>
      <c r="I63" t="s">
        <v>797</v>
      </c>
      <c r="K63" s="19">
        <v>61</v>
      </c>
      <c r="L63" t="str">
        <f t="shared" si="0"/>
        <v>['Numero libro','62', 'Testamento','Nuovo Testamento', 'Gruppo','Le Lettere Paoline', 'Nome libro IT','Seconda Lettera di san Paolo Apostolo a Timoteo','AbbrIT','2Tm;2 Tm;2Ti;2 Ti;IITm;II Tm;IITi;II Ti','Nome libro LT','Epistola B. Pauli Apostoli ad Timotheum Secunda','AbbrLT','2 Tim','Nome libro EN','2 Timothy','AbbrEN','2 Tim'],</v>
      </c>
    </row>
    <row r="64" spans="1:12" x14ac:dyDescent="0.25">
      <c r="A64">
        <v>63</v>
      </c>
      <c r="B64" t="s">
        <v>376</v>
      </c>
      <c r="C64" t="s">
        <v>515</v>
      </c>
      <c r="D64" t="s">
        <v>799</v>
      </c>
      <c r="E64" t="s">
        <v>800</v>
      </c>
      <c r="F64" t="s">
        <v>801</v>
      </c>
      <c r="G64" t="s">
        <v>802</v>
      </c>
      <c r="H64" t="s">
        <v>803</v>
      </c>
      <c r="I64" t="s">
        <v>803</v>
      </c>
      <c r="K64" s="19">
        <v>62</v>
      </c>
      <c r="L64" t="str">
        <f t="shared" si="0"/>
        <v>['Numero libro','63', 'Testamento','Nuovo Testamento', 'Gruppo','Le Lettere Paoline', 'Nome libro IT','Lettera di san Paolo Apostolo a Tito','AbbrIT','Tt;Ti;Tit','Nome libro LT','Epistola B. Pauli Apostoli ad Titum','AbbrLT','Tit','Nome libro EN','Titus','AbbrEN','Titus'],</v>
      </c>
    </row>
    <row r="65" spans="1:12" x14ac:dyDescent="0.25">
      <c r="A65">
        <v>64</v>
      </c>
      <c r="B65" t="s">
        <v>376</v>
      </c>
      <c r="C65" t="s">
        <v>515</v>
      </c>
      <c r="D65" t="s">
        <v>804</v>
      </c>
      <c r="E65" t="s">
        <v>805</v>
      </c>
      <c r="F65" t="s">
        <v>806</v>
      </c>
      <c r="G65" t="s">
        <v>807</v>
      </c>
      <c r="H65" t="s">
        <v>808</v>
      </c>
      <c r="I65" t="s">
        <v>809</v>
      </c>
      <c r="K65" s="19">
        <v>63</v>
      </c>
      <c r="L65" t="str">
        <f t="shared" si="0"/>
        <v>['Numero libro','64', 'Testamento','Nuovo Testamento', 'Gruppo','Le Lettere Paoline', 'Nome libro IT','Lettera di san Paolo Apostolo a Filemone','AbbrIT','Fm;File','Nome libro LT','Epistola B. Pauli Apostoli ad Philemonem','AbbrLT','Philem','Nome libro EN','Philemon','AbbrEN','Phlm'],</v>
      </c>
    </row>
    <row r="66" spans="1:12" x14ac:dyDescent="0.25">
      <c r="A66">
        <v>65</v>
      </c>
      <c r="B66" t="s">
        <v>376</v>
      </c>
      <c r="C66" t="s">
        <v>516</v>
      </c>
      <c r="D66" t="s">
        <v>435</v>
      </c>
      <c r="E66" t="s">
        <v>37</v>
      </c>
      <c r="F66" t="s">
        <v>810</v>
      </c>
      <c r="G66" t="s">
        <v>811</v>
      </c>
      <c r="H66" t="s">
        <v>812</v>
      </c>
      <c r="I66" t="s">
        <v>813</v>
      </c>
      <c r="K66" s="19">
        <v>64</v>
      </c>
      <c r="L66" t="str">
        <f t="shared" si="0"/>
        <v>['Numero libro','65', 'Testamento','Nuovo Testamento', 'Gruppo','Le altre Lettere Cattoliche', 'Nome libro IT','Lettera agli Ebrei','AbbrIT','Eb','Nome libro LT','Epistola B. Pauli Apostoli ad Hebræos','AbbrLT','Hebr','Nome libro EN','Hebrews','AbbrEN','Heb'],</v>
      </c>
    </row>
    <row r="67" spans="1:12" x14ac:dyDescent="0.25">
      <c r="A67">
        <v>66</v>
      </c>
      <c r="B67" t="s">
        <v>376</v>
      </c>
      <c r="C67" t="s">
        <v>516</v>
      </c>
      <c r="D67" t="s">
        <v>814</v>
      </c>
      <c r="E67" t="s">
        <v>815</v>
      </c>
      <c r="F67" t="s">
        <v>816</v>
      </c>
      <c r="G67" t="s">
        <v>817</v>
      </c>
      <c r="H67" t="s">
        <v>818</v>
      </c>
      <c r="I67" t="s">
        <v>819</v>
      </c>
      <c r="K67" s="19">
        <v>65</v>
      </c>
      <c r="L67" t="str">
        <f t="shared" ref="L67:L74" si="1">_xlfn.CONCAT("['Numero libro'," &amp; "'" &amp; A67 &amp; "', " &amp; "'Testamento'," &amp; "'" &amp; B67 &amp; "'"&amp; ", " &amp; "'Gruppo'," &amp; "'" &amp; C67 &amp; "'" &amp; ", " &amp; "'Nome libro IT'" &amp; "," &amp; "'" &amp; D67 &amp; "'," &amp; "'AbbrIT'," &amp; "'" &amp; E67 &amp; "'" &amp; "," &amp; "'Nome libro LT'," &amp; "'" &amp; F67 &amp; "'" &amp; "," &amp; "'AbbrLT'," &amp; "'" &amp; G67 &amp; "'" &amp; "," &amp; "'Nome libro EN'," &amp; "'" &amp; H67 &amp; "'" &amp; "," &amp; "'AbbrEN'," &amp; "'" &amp; I67 &amp; "'" &amp; "],")</f>
        <v>['Numero libro','66', 'Testamento','Nuovo Testamento', 'Gruppo','Le altre Lettere Cattoliche', 'Nome libro IT','Lettera di san Giacomo Apostolo','AbbrIT','Gc;Giac;Gia;Gm','Nome libro LT','Epistola Catholica B. Jacobi Apostoli','AbbrLT','Iac','Nome libro EN','James','AbbrEN','Jas'],</v>
      </c>
    </row>
    <row r="68" spans="1:12" x14ac:dyDescent="0.25">
      <c r="A68">
        <v>67</v>
      </c>
      <c r="B68" t="s">
        <v>376</v>
      </c>
      <c r="C68" t="s">
        <v>516</v>
      </c>
      <c r="D68" t="s">
        <v>820</v>
      </c>
      <c r="E68" t="s">
        <v>821</v>
      </c>
      <c r="F68" t="s">
        <v>822</v>
      </c>
      <c r="G68" t="s">
        <v>41</v>
      </c>
      <c r="H68" t="s">
        <v>823</v>
      </c>
      <c r="I68" t="s">
        <v>824</v>
      </c>
      <c r="K68" s="19">
        <v>66</v>
      </c>
      <c r="L68" t="str">
        <f t="shared" si="1"/>
        <v>['Numero libro','67', 'Testamento','Nuovo Testamento', 'Gruppo','Le altre Lettere Cattoliche', 'Nome libro IT','Prima Lettera di san Pietro Apostolo','AbbrIT','1Pt;1 Pt;1P;1 P;IP;I P','Nome libro LT','Epistola B. Petri Apostoli Prima','AbbrLT','1Pt','Nome libro EN','1 Peter','AbbrEN','1 Pet'],</v>
      </c>
    </row>
    <row r="69" spans="1:12" x14ac:dyDescent="0.25">
      <c r="A69">
        <v>68</v>
      </c>
      <c r="B69" t="s">
        <v>376</v>
      </c>
      <c r="C69" t="s">
        <v>516</v>
      </c>
      <c r="D69" t="s">
        <v>825</v>
      </c>
      <c r="E69" t="s">
        <v>826</v>
      </c>
      <c r="F69" t="s">
        <v>827</v>
      </c>
      <c r="G69" t="s">
        <v>43</v>
      </c>
      <c r="H69" t="s">
        <v>828</v>
      </c>
      <c r="I69" t="s">
        <v>829</v>
      </c>
      <c r="K69" s="19">
        <v>67</v>
      </c>
      <c r="L69" t="str">
        <f t="shared" si="1"/>
        <v>['Numero libro','68', 'Testamento','Nuovo Testamento', 'Gruppo','Le altre Lettere Cattoliche', 'Nome libro IT','Seconda Lettera di san Pietro Apostolo','AbbrIT','2Pt;2 Pt;2P;2 P;IIP;II P','Nome libro LT','Epistola B. Petri Apostoli Secunda','AbbrLT','2Pt','Nome libro EN','2 Peter','AbbrEN','2 Pet'],</v>
      </c>
    </row>
    <row r="70" spans="1:12" x14ac:dyDescent="0.25">
      <c r="A70">
        <v>69</v>
      </c>
      <c r="B70" t="s">
        <v>376</v>
      </c>
      <c r="C70" t="s">
        <v>516</v>
      </c>
      <c r="D70" t="s">
        <v>830</v>
      </c>
      <c r="E70" t="s">
        <v>831</v>
      </c>
      <c r="F70" t="s">
        <v>832</v>
      </c>
      <c r="G70" t="s">
        <v>833</v>
      </c>
      <c r="H70" t="s">
        <v>834</v>
      </c>
      <c r="I70" t="s">
        <v>834</v>
      </c>
      <c r="K70" s="19">
        <v>68</v>
      </c>
      <c r="L70" t="str">
        <f t="shared" si="1"/>
        <v>['Numero libro','69', 'Testamento','Nuovo Testamento', 'Gruppo','Le altre Lettere Cattoliche', 'Nome libro IT','Prima lettera di san Giovanni Apostolo ed Evangelista','AbbrIT','1Gv;1 Gv;I Gv;IGv;1G;1 G;IG;I G','Nome libro LT','Epistola B. Joannis Apostoli Prima','AbbrLT','I Io','Nome libro EN','1 John','AbbrEN','1 John'],</v>
      </c>
    </row>
    <row r="71" spans="1:12" x14ac:dyDescent="0.25">
      <c r="A71">
        <v>70</v>
      </c>
      <c r="B71" t="s">
        <v>376</v>
      </c>
      <c r="C71" t="s">
        <v>516</v>
      </c>
      <c r="D71" t="s">
        <v>835</v>
      </c>
      <c r="E71" t="s">
        <v>836</v>
      </c>
      <c r="F71" t="s">
        <v>837</v>
      </c>
      <c r="G71" t="s">
        <v>838</v>
      </c>
      <c r="H71" t="s">
        <v>839</v>
      </c>
      <c r="I71" t="s">
        <v>839</v>
      </c>
      <c r="K71" s="19">
        <v>69</v>
      </c>
      <c r="L71" t="str">
        <f t="shared" si="1"/>
        <v>['Numero libro','70', 'Testamento','Nuovo Testamento', 'Gruppo','Le altre Lettere Cattoliche', 'Nome libro IT','Seconda lettera di san Giovanni Apostolo ed Evangelista','AbbrIT','2Gv;2 Gv;II Gv;IIGv;2G;2 G;IIG;II G','Nome libro LT','Epistola B. Joannis Apostoli Secunda','AbbrLT','II Io','Nome libro EN','2 John','AbbrEN','2 John'],</v>
      </c>
    </row>
    <row r="72" spans="1:12" x14ac:dyDescent="0.25">
      <c r="A72">
        <v>71</v>
      </c>
      <c r="B72" t="s">
        <v>376</v>
      </c>
      <c r="C72" t="s">
        <v>516</v>
      </c>
      <c r="D72" t="s">
        <v>840</v>
      </c>
      <c r="E72" t="s">
        <v>841</v>
      </c>
      <c r="F72" t="s">
        <v>842</v>
      </c>
      <c r="G72" t="s">
        <v>843</v>
      </c>
      <c r="H72" t="s">
        <v>844</v>
      </c>
      <c r="I72" t="s">
        <v>844</v>
      </c>
      <c r="K72" s="19">
        <v>70</v>
      </c>
      <c r="L72" t="str">
        <f t="shared" si="1"/>
        <v>['Numero libro','71', 'Testamento','Nuovo Testamento', 'Gruppo','Le altre Lettere Cattoliche', 'Nome libro IT','Terza lettera di san Giovanni Apostolo ed Evangelista','AbbrIT','3Gv;3 Gv;III Gv;IIIGv;3G;3 G;IIIG;III G','Nome libro LT','Epistola B. Joannis Apostoli Tertia','AbbrLT','III Io','Nome libro EN','3 John','AbbrEN','3 John'],</v>
      </c>
    </row>
    <row r="73" spans="1:12" x14ac:dyDescent="0.25">
      <c r="A73">
        <v>72</v>
      </c>
      <c r="B73" t="s">
        <v>376</v>
      </c>
      <c r="C73" t="s">
        <v>516</v>
      </c>
      <c r="D73" t="s">
        <v>845</v>
      </c>
      <c r="E73" t="s">
        <v>846</v>
      </c>
      <c r="F73" t="s">
        <v>847</v>
      </c>
      <c r="G73" t="s">
        <v>848</v>
      </c>
      <c r="H73" t="s">
        <v>849</v>
      </c>
      <c r="I73" t="s">
        <v>849</v>
      </c>
      <c r="K73" s="19">
        <v>71</v>
      </c>
      <c r="L73" t="str">
        <f t="shared" si="1"/>
        <v>['Numero libro','72', 'Testamento','Nuovo Testamento', 'Gruppo','Le altre Lettere Cattoliche', 'Nome libro IT','Lettera di san Giuda Apostolo','AbbrIT','Gd;Giuda','Nome libro LT','Epistola Catholica B. Judæ Apostoli','AbbrLT','Iud','Nome libro EN','Jude','AbbrEN','Jude'],</v>
      </c>
    </row>
    <row r="74" spans="1:12" x14ac:dyDescent="0.25">
      <c r="A74">
        <v>73</v>
      </c>
      <c r="B74" t="s">
        <v>376</v>
      </c>
      <c r="C74" t="s">
        <v>517</v>
      </c>
      <c r="D74" t="s">
        <v>850</v>
      </c>
      <c r="E74" t="s">
        <v>51</v>
      </c>
      <c r="F74" t="s">
        <v>851</v>
      </c>
      <c r="G74" t="s">
        <v>852</v>
      </c>
      <c r="H74" t="s">
        <v>853</v>
      </c>
      <c r="I74" t="s">
        <v>854</v>
      </c>
      <c r="K74" s="19">
        <v>72</v>
      </c>
      <c r="L74" t="str">
        <f t="shared" si="1"/>
        <v>['Numero libro','73', 'Testamento','Nuovo Testamento', 'Gruppo','Scritti apocalittici e apocalittica', 'Nome libro IT','Apocalisse di san Giovanni Apostolo ed Evangelista','AbbrIT','Ap','Nome libro LT','Apocalypsis B. Joannis Apostoli','AbbrLT','Apoc','Nome libro EN','Revelation','AbbrEN','Rev'],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C646-2F1A-4C15-A788-8F6CAAF4AD01}">
  <dimension ref="A1:O378"/>
  <sheetViews>
    <sheetView workbookViewId="0">
      <pane ySplit="2" topLeftCell="A347" activePane="bottomLeft" state="frozen"/>
      <selection pane="bottomLeft" activeCell="B2" sqref="B2:F2"/>
    </sheetView>
  </sheetViews>
  <sheetFormatPr defaultRowHeight="15" x14ac:dyDescent="0.25"/>
  <cols>
    <col min="1" max="1" width="10.42578125" bestFit="1" customWidth="1"/>
    <col min="2" max="2" width="5.42578125" bestFit="1" customWidth="1"/>
    <col min="3" max="3" width="8.42578125" style="32" bestFit="1" customWidth="1"/>
    <col min="4" max="4" width="51.7109375" bestFit="1" customWidth="1"/>
    <col min="5" max="5" width="8.140625" bestFit="1" customWidth="1"/>
    <col min="6" max="6" width="74.85546875" bestFit="1" customWidth="1"/>
    <col min="7" max="7" width="9.140625" style="32"/>
    <col min="8" max="8" width="2.42578125" style="43" customWidth="1"/>
    <col min="9" max="9" width="10.42578125" bestFit="1" customWidth="1"/>
    <col min="10" max="10" width="5.28515625" bestFit="1" customWidth="1"/>
    <col min="11" max="11" width="8.42578125" bestFit="1" customWidth="1"/>
    <col min="12" max="12" width="45" bestFit="1" customWidth="1"/>
    <col min="13" max="13" width="8.140625" bestFit="1" customWidth="1"/>
    <col min="14" max="14" width="68.7109375" bestFit="1" customWidth="1"/>
  </cols>
  <sheetData>
    <row r="1" spans="1:15" ht="23.25" x14ac:dyDescent="0.35">
      <c r="A1" s="64" t="s">
        <v>880</v>
      </c>
      <c r="B1" s="64"/>
      <c r="C1" s="64"/>
      <c r="D1" s="64"/>
      <c r="E1" s="64"/>
      <c r="F1" s="64"/>
      <c r="G1" s="64"/>
      <c r="I1" s="64" t="s">
        <v>881</v>
      </c>
      <c r="J1" s="64"/>
      <c r="K1" s="64"/>
      <c r="L1" s="64"/>
      <c r="M1" s="64"/>
      <c r="N1" s="64"/>
      <c r="O1" s="64"/>
    </row>
    <row r="2" spans="1:15" x14ac:dyDescent="0.25">
      <c r="A2" s="30" t="s">
        <v>862</v>
      </c>
      <c r="B2" s="30" t="s">
        <v>859</v>
      </c>
      <c r="C2" s="31" t="s">
        <v>0</v>
      </c>
      <c r="D2" s="30" t="s">
        <v>1</v>
      </c>
      <c r="E2" s="30" t="s">
        <v>860</v>
      </c>
      <c r="F2" s="30" t="s">
        <v>861</v>
      </c>
      <c r="G2" s="31"/>
      <c r="I2" s="30" t="s">
        <v>862</v>
      </c>
      <c r="J2" s="30" t="s">
        <v>859</v>
      </c>
      <c r="K2" s="31" t="s">
        <v>0</v>
      </c>
      <c r="L2" s="30" t="s">
        <v>1</v>
      </c>
      <c r="M2" s="30" t="s">
        <v>860</v>
      </c>
      <c r="N2" s="30" t="s">
        <v>861</v>
      </c>
      <c r="O2" s="31"/>
    </row>
    <row r="3" spans="1:15" x14ac:dyDescent="0.25">
      <c r="A3" s="29">
        <v>1</v>
      </c>
      <c r="B3" s="29" t="s">
        <v>449</v>
      </c>
      <c r="C3" s="32">
        <v>1</v>
      </c>
      <c r="D3" s="29" t="s">
        <v>830</v>
      </c>
      <c r="E3" s="29">
        <v>10</v>
      </c>
      <c r="F3" s="29" t="str">
        <f>_xlfn.CONCAT(" - [ ] [[",B3," ",C3,"|",D3,", capitolo ",C3,"]]")</f>
        <v xml:space="preserve"> - [ ] [[1 Gv 1|Prima lettera di san Giovanni Apostolo ed Evangelista, capitolo 1]]</v>
      </c>
      <c r="I3" s="29">
        <v>1</v>
      </c>
      <c r="J3" t="s">
        <v>150</v>
      </c>
      <c r="K3" s="32">
        <v>1</v>
      </c>
      <c r="L3" t="s">
        <v>857</v>
      </c>
      <c r="M3">
        <v>80</v>
      </c>
      <c r="N3" s="29" t="str">
        <f t="shared" ref="N3:N66" si="0">_xlfn.CONCAT(" - [ ] [[",J3," ",K3,"|",L3,", capitolo ",K3,"]]")</f>
        <v xml:space="preserve"> - [ ] [[Lc 1|Vangelo di san Luca Evangelista, capitolo 1]]</v>
      </c>
    </row>
    <row r="4" spans="1:15" x14ac:dyDescent="0.25">
      <c r="A4" s="29">
        <v>2</v>
      </c>
      <c r="B4" s="29" t="s">
        <v>449</v>
      </c>
      <c r="C4" s="32">
        <v>2</v>
      </c>
      <c r="D4" s="29" t="s">
        <v>830</v>
      </c>
      <c r="E4" s="29">
        <v>29</v>
      </c>
      <c r="F4" s="29" t="str">
        <f t="shared" ref="F4:F67" si="1">_xlfn.CONCAT(" - [ ] [[",B4," ",C4,"|",D4,", capitolo ",C4,"]]")</f>
        <v xml:space="preserve"> - [ ] [[1 Gv 2|Prima lettera di san Giovanni Apostolo ed Evangelista, capitolo 2]]</v>
      </c>
      <c r="I4" s="29">
        <v>2</v>
      </c>
      <c r="J4" t="s">
        <v>150</v>
      </c>
      <c r="K4" s="32">
        <v>2</v>
      </c>
      <c r="L4" t="s">
        <v>857</v>
      </c>
      <c r="M4">
        <v>52</v>
      </c>
      <c r="N4" s="29" t="str">
        <f t="shared" si="0"/>
        <v xml:space="preserve"> - [ ] [[Lc 2|Vangelo di san Luca Evangelista, capitolo 2]]</v>
      </c>
    </row>
    <row r="5" spans="1:15" x14ac:dyDescent="0.25">
      <c r="A5" s="29">
        <v>3</v>
      </c>
      <c r="B5" s="29" t="s">
        <v>449</v>
      </c>
      <c r="C5" s="32">
        <v>3</v>
      </c>
      <c r="D5" s="29" t="s">
        <v>830</v>
      </c>
      <c r="E5" s="29">
        <v>24</v>
      </c>
      <c r="F5" s="29" t="str">
        <f t="shared" si="1"/>
        <v xml:space="preserve"> - [ ] [[1 Gv 3|Prima lettera di san Giovanni Apostolo ed Evangelista, capitolo 3]]</v>
      </c>
      <c r="I5" s="29">
        <v>3</v>
      </c>
      <c r="J5" t="s">
        <v>150</v>
      </c>
      <c r="K5" s="32">
        <v>3</v>
      </c>
      <c r="L5" t="s">
        <v>857</v>
      </c>
      <c r="M5">
        <v>38</v>
      </c>
      <c r="N5" s="29" t="str">
        <f t="shared" si="0"/>
        <v xml:space="preserve"> - [ ] [[Lc 3|Vangelo di san Luca Evangelista, capitolo 3]]</v>
      </c>
    </row>
    <row r="6" spans="1:15" x14ac:dyDescent="0.25">
      <c r="A6" s="29">
        <v>4</v>
      </c>
      <c r="B6" s="29" t="s">
        <v>449</v>
      </c>
      <c r="C6" s="32">
        <v>4</v>
      </c>
      <c r="D6" s="29" t="s">
        <v>830</v>
      </c>
      <c r="E6" s="29">
        <v>21</v>
      </c>
      <c r="F6" s="29" t="str">
        <f t="shared" si="1"/>
        <v xml:space="preserve"> - [ ] [[1 Gv 4|Prima lettera di san Giovanni Apostolo ed Evangelista, capitolo 4]]</v>
      </c>
      <c r="I6" s="29">
        <v>4</v>
      </c>
      <c r="J6" t="s">
        <v>150</v>
      </c>
      <c r="K6" s="32">
        <v>4</v>
      </c>
      <c r="L6" t="s">
        <v>857</v>
      </c>
      <c r="M6">
        <v>44</v>
      </c>
      <c r="N6" s="29" t="str">
        <f t="shared" si="0"/>
        <v xml:space="preserve"> - [ ] [[Lc 4|Vangelo di san Luca Evangelista, capitolo 4]]</v>
      </c>
    </row>
    <row r="7" spans="1:15" x14ac:dyDescent="0.25">
      <c r="A7" s="33">
        <v>5</v>
      </c>
      <c r="B7" s="33" t="s">
        <v>449</v>
      </c>
      <c r="C7" s="34">
        <v>5</v>
      </c>
      <c r="D7" s="33" t="s">
        <v>830</v>
      </c>
      <c r="E7" s="33">
        <v>21</v>
      </c>
      <c r="F7" s="33" t="str">
        <f t="shared" si="1"/>
        <v xml:space="preserve"> - [ ] [[1 Gv 5|Prima lettera di san Giovanni Apostolo ed Evangelista, capitolo 5]]</v>
      </c>
      <c r="G7" s="34"/>
      <c r="I7" s="29">
        <v>5</v>
      </c>
      <c r="J7" t="s">
        <v>150</v>
      </c>
      <c r="K7" s="32">
        <v>5</v>
      </c>
      <c r="L7" t="s">
        <v>857</v>
      </c>
      <c r="M7">
        <v>39</v>
      </c>
      <c r="N7" s="29" t="str">
        <f t="shared" si="0"/>
        <v xml:space="preserve"> - [ ] [[Lc 5|Vangelo di san Luca Evangelista, capitolo 5]]</v>
      </c>
    </row>
    <row r="8" spans="1:15" x14ac:dyDescent="0.25">
      <c r="A8" s="29">
        <v>6</v>
      </c>
      <c r="B8" s="29" t="s">
        <v>151</v>
      </c>
      <c r="C8" s="32">
        <v>1</v>
      </c>
      <c r="D8" s="29" t="s">
        <v>858</v>
      </c>
      <c r="E8" s="29">
        <v>51</v>
      </c>
      <c r="F8" s="29" t="str">
        <f t="shared" si="1"/>
        <v xml:space="preserve"> - [ ] [[Gv 1|Vangelo di san Giovanni Apostolo ed Evangelista, capitolo 1]]</v>
      </c>
      <c r="I8" s="29">
        <v>6</v>
      </c>
      <c r="J8" t="s">
        <v>150</v>
      </c>
      <c r="K8" s="32">
        <v>6</v>
      </c>
      <c r="L8" t="s">
        <v>857</v>
      </c>
      <c r="M8">
        <v>49</v>
      </c>
      <c r="N8" s="29" t="str">
        <f t="shared" si="0"/>
        <v xml:space="preserve"> - [ ] [[Lc 6|Vangelo di san Luca Evangelista, capitolo 6]]</v>
      </c>
    </row>
    <row r="9" spans="1:15" x14ac:dyDescent="0.25">
      <c r="A9" s="29">
        <v>7</v>
      </c>
      <c r="B9" s="29" t="s">
        <v>151</v>
      </c>
      <c r="C9" s="32">
        <v>2</v>
      </c>
      <c r="D9" s="29" t="s">
        <v>858</v>
      </c>
      <c r="E9" s="29">
        <v>25</v>
      </c>
      <c r="F9" s="29" t="str">
        <f t="shared" si="1"/>
        <v xml:space="preserve"> - [ ] [[Gv 2|Vangelo di san Giovanni Apostolo ed Evangelista, capitolo 2]]</v>
      </c>
      <c r="I9" s="29">
        <v>7</v>
      </c>
      <c r="J9" t="s">
        <v>150</v>
      </c>
      <c r="K9" s="32">
        <v>7</v>
      </c>
      <c r="L9" t="s">
        <v>857</v>
      </c>
      <c r="M9">
        <v>50</v>
      </c>
      <c r="N9" s="29" t="str">
        <f t="shared" si="0"/>
        <v xml:space="preserve"> - [ ] [[Lc 7|Vangelo di san Luca Evangelista, capitolo 7]]</v>
      </c>
    </row>
    <row r="10" spans="1:15" x14ac:dyDescent="0.25">
      <c r="A10" s="29">
        <v>8</v>
      </c>
      <c r="B10" s="29" t="s">
        <v>151</v>
      </c>
      <c r="C10" s="32">
        <v>3</v>
      </c>
      <c r="D10" s="29" t="s">
        <v>858</v>
      </c>
      <c r="E10" s="29">
        <v>36</v>
      </c>
      <c r="F10" s="29" t="str">
        <f t="shared" si="1"/>
        <v xml:space="preserve"> - [ ] [[Gv 3|Vangelo di san Giovanni Apostolo ed Evangelista, capitolo 3]]</v>
      </c>
      <c r="I10" s="29">
        <v>8</v>
      </c>
      <c r="J10" t="s">
        <v>150</v>
      </c>
      <c r="K10" s="32">
        <v>8</v>
      </c>
      <c r="L10" t="s">
        <v>857</v>
      </c>
      <c r="M10">
        <v>56</v>
      </c>
      <c r="N10" s="29" t="str">
        <f t="shared" si="0"/>
        <v xml:space="preserve"> - [ ] [[Lc 8|Vangelo di san Luca Evangelista, capitolo 8]]</v>
      </c>
    </row>
    <row r="11" spans="1:15" x14ac:dyDescent="0.25">
      <c r="A11" s="29">
        <v>9</v>
      </c>
      <c r="B11" s="29" t="s">
        <v>151</v>
      </c>
      <c r="C11" s="32">
        <v>4</v>
      </c>
      <c r="D11" s="29" t="s">
        <v>858</v>
      </c>
      <c r="E11" s="29">
        <v>54</v>
      </c>
      <c r="F11" s="29" t="str">
        <f t="shared" si="1"/>
        <v xml:space="preserve"> - [ ] [[Gv 4|Vangelo di san Giovanni Apostolo ed Evangelista, capitolo 4]]</v>
      </c>
      <c r="I11" s="29">
        <v>9</v>
      </c>
      <c r="J11" t="s">
        <v>150</v>
      </c>
      <c r="K11" s="32">
        <v>9</v>
      </c>
      <c r="L11" t="s">
        <v>857</v>
      </c>
      <c r="M11">
        <v>62</v>
      </c>
      <c r="N11" s="29" t="str">
        <f t="shared" si="0"/>
        <v xml:space="preserve"> - [ ] [[Lc 9|Vangelo di san Luca Evangelista, capitolo 9]]</v>
      </c>
    </row>
    <row r="12" spans="1:15" x14ac:dyDescent="0.25">
      <c r="A12" s="29">
        <v>10</v>
      </c>
      <c r="B12" s="29" t="s">
        <v>151</v>
      </c>
      <c r="C12" s="32">
        <v>5</v>
      </c>
      <c r="D12" s="29" t="s">
        <v>858</v>
      </c>
      <c r="E12" s="29">
        <v>47</v>
      </c>
      <c r="F12" s="29" t="str">
        <f t="shared" si="1"/>
        <v xml:space="preserve"> - [ ] [[Gv 5|Vangelo di san Giovanni Apostolo ed Evangelista, capitolo 5]]</v>
      </c>
      <c r="I12" s="29">
        <v>10</v>
      </c>
      <c r="J12" t="s">
        <v>150</v>
      </c>
      <c r="K12" s="32">
        <v>10</v>
      </c>
      <c r="L12" t="s">
        <v>857</v>
      </c>
      <c r="M12">
        <v>42</v>
      </c>
      <c r="N12" s="29" t="str">
        <f t="shared" si="0"/>
        <v xml:space="preserve"> - [ ] [[Lc 10|Vangelo di san Luca Evangelista, capitolo 10]]</v>
      </c>
    </row>
    <row r="13" spans="1:15" x14ac:dyDescent="0.25">
      <c r="A13" s="29">
        <v>11</v>
      </c>
      <c r="B13" s="29" t="s">
        <v>151</v>
      </c>
      <c r="C13" s="32">
        <v>6</v>
      </c>
      <c r="D13" s="29" t="s">
        <v>858</v>
      </c>
      <c r="E13" s="29">
        <v>71</v>
      </c>
      <c r="F13" s="29" t="str">
        <f t="shared" si="1"/>
        <v xml:space="preserve"> - [ ] [[Gv 6|Vangelo di san Giovanni Apostolo ed Evangelista, capitolo 6]]</v>
      </c>
      <c r="I13" s="29">
        <v>11</v>
      </c>
      <c r="J13" t="s">
        <v>150</v>
      </c>
      <c r="K13" s="32">
        <v>11</v>
      </c>
      <c r="L13" t="s">
        <v>857</v>
      </c>
      <c r="M13">
        <v>54</v>
      </c>
      <c r="N13" s="29" t="str">
        <f t="shared" si="0"/>
        <v xml:space="preserve"> - [ ] [[Lc 11|Vangelo di san Luca Evangelista, capitolo 11]]</v>
      </c>
    </row>
    <row r="14" spans="1:15" x14ac:dyDescent="0.25">
      <c r="A14" s="29">
        <v>12</v>
      </c>
      <c r="B14" s="29" t="s">
        <v>151</v>
      </c>
      <c r="C14" s="32">
        <v>7</v>
      </c>
      <c r="D14" s="29" t="s">
        <v>858</v>
      </c>
      <c r="E14" s="29">
        <v>53</v>
      </c>
      <c r="F14" s="29" t="str">
        <f t="shared" si="1"/>
        <v xml:space="preserve"> - [ ] [[Gv 7|Vangelo di san Giovanni Apostolo ed Evangelista, capitolo 7]]</v>
      </c>
      <c r="I14" s="29">
        <v>12</v>
      </c>
      <c r="J14" t="s">
        <v>150</v>
      </c>
      <c r="K14" s="32">
        <v>12</v>
      </c>
      <c r="L14" t="s">
        <v>857</v>
      </c>
      <c r="M14">
        <v>59</v>
      </c>
      <c r="N14" s="29" t="str">
        <f t="shared" si="0"/>
        <v xml:space="preserve"> - [ ] [[Lc 12|Vangelo di san Luca Evangelista, capitolo 12]]</v>
      </c>
    </row>
    <row r="15" spans="1:15" x14ac:dyDescent="0.25">
      <c r="A15" s="29">
        <v>13</v>
      </c>
      <c r="B15" s="29" t="s">
        <v>151</v>
      </c>
      <c r="C15" s="32">
        <v>8</v>
      </c>
      <c r="D15" s="29" t="s">
        <v>858</v>
      </c>
      <c r="E15" s="29">
        <v>59</v>
      </c>
      <c r="F15" s="29" t="str">
        <f t="shared" si="1"/>
        <v xml:space="preserve"> - [ ] [[Gv 8|Vangelo di san Giovanni Apostolo ed Evangelista, capitolo 8]]</v>
      </c>
      <c r="I15" s="29">
        <v>13</v>
      </c>
      <c r="J15" t="s">
        <v>150</v>
      </c>
      <c r="K15" s="32">
        <v>13</v>
      </c>
      <c r="L15" t="s">
        <v>857</v>
      </c>
      <c r="M15">
        <v>35</v>
      </c>
      <c r="N15" s="29" t="str">
        <f t="shared" si="0"/>
        <v xml:space="preserve"> - [ ] [[Lc 13|Vangelo di san Luca Evangelista, capitolo 13]]</v>
      </c>
    </row>
    <row r="16" spans="1:15" x14ac:dyDescent="0.25">
      <c r="A16" s="29">
        <v>14</v>
      </c>
      <c r="B16" s="29" t="s">
        <v>151</v>
      </c>
      <c r="C16" s="32">
        <v>9</v>
      </c>
      <c r="D16" s="29" t="s">
        <v>858</v>
      </c>
      <c r="E16" s="29">
        <v>41</v>
      </c>
      <c r="F16" s="29" t="str">
        <f t="shared" si="1"/>
        <v xml:space="preserve"> - [ ] [[Gv 9|Vangelo di san Giovanni Apostolo ed Evangelista, capitolo 9]]</v>
      </c>
      <c r="I16" s="29">
        <v>14</v>
      </c>
      <c r="J16" t="s">
        <v>150</v>
      </c>
      <c r="K16" s="32">
        <v>14</v>
      </c>
      <c r="L16" t="s">
        <v>857</v>
      </c>
      <c r="M16">
        <v>35</v>
      </c>
      <c r="N16" s="29" t="str">
        <f t="shared" si="0"/>
        <v xml:space="preserve"> - [ ] [[Lc 14|Vangelo di san Luca Evangelista, capitolo 14]]</v>
      </c>
    </row>
    <row r="17" spans="1:15" x14ac:dyDescent="0.25">
      <c r="A17" s="29">
        <v>15</v>
      </c>
      <c r="B17" s="29" t="s">
        <v>151</v>
      </c>
      <c r="C17" s="32">
        <v>10</v>
      </c>
      <c r="D17" s="29" t="s">
        <v>858</v>
      </c>
      <c r="E17" s="29">
        <v>42</v>
      </c>
      <c r="F17" s="29" t="str">
        <f t="shared" si="1"/>
        <v xml:space="preserve"> - [ ] [[Gv 10|Vangelo di san Giovanni Apostolo ed Evangelista, capitolo 10]]</v>
      </c>
      <c r="I17" s="29">
        <v>15</v>
      </c>
      <c r="J17" t="s">
        <v>150</v>
      </c>
      <c r="K17" s="32">
        <v>15</v>
      </c>
      <c r="L17" t="s">
        <v>857</v>
      </c>
      <c r="M17">
        <v>32</v>
      </c>
      <c r="N17" s="29" t="str">
        <f t="shared" si="0"/>
        <v xml:space="preserve"> - [ ] [[Lc 15|Vangelo di san Luca Evangelista, capitolo 15]]</v>
      </c>
    </row>
    <row r="18" spans="1:15" x14ac:dyDescent="0.25">
      <c r="A18" s="29">
        <v>16</v>
      </c>
      <c r="B18" s="29" t="s">
        <v>151</v>
      </c>
      <c r="C18" s="32">
        <v>11</v>
      </c>
      <c r="D18" s="29" t="s">
        <v>858</v>
      </c>
      <c r="E18" s="29">
        <v>57</v>
      </c>
      <c r="F18" s="29" t="str">
        <f t="shared" si="1"/>
        <v xml:space="preserve"> - [ ] [[Gv 11|Vangelo di san Giovanni Apostolo ed Evangelista, capitolo 11]]</v>
      </c>
      <c r="I18" s="29">
        <v>16</v>
      </c>
      <c r="J18" t="s">
        <v>150</v>
      </c>
      <c r="K18" s="32">
        <v>16</v>
      </c>
      <c r="L18" t="s">
        <v>857</v>
      </c>
      <c r="M18">
        <v>31</v>
      </c>
      <c r="N18" s="29" t="str">
        <f t="shared" si="0"/>
        <v xml:space="preserve"> - [ ] [[Lc 16|Vangelo di san Luca Evangelista, capitolo 16]]</v>
      </c>
    </row>
    <row r="19" spans="1:15" x14ac:dyDescent="0.25">
      <c r="A19" s="29">
        <v>17</v>
      </c>
      <c r="B19" s="29" t="s">
        <v>151</v>
      </c>
      <c r="C19" s="32">
        <v>12</v>
      </c>
      <c r="D19" s="29" t="s">
        <v>858</v>
      </c>
      <c r="E19" s="29">
        <v>50</v>
      </c>
      <c r="F19" s="29" t="str">
        <f t="shared" si="1"/>
        <v xml:space="preserve"> - [ ] [[Gv 12|Vangelo di san Giovanni Apostolo ed Evangelista, capitolo 12]]</v>
      </c>
      <c r="I19" s="29">
        <v>17</v>
      </c>
      <c r="J19" t="s">
        <v>150</v>
      </c>
      <c r="K19" s="32">
        <v>17</v>
      </c>
      <c r="L19" t="s">
        <v>857</v>
      </c>
      <c r="M19">
        <v>37</v>
      </c>
      <c r="N19" s="29" t="str">
        <f t="shared" si="0"/>
        <v xml:space="preserve"> - [ ] [[Lc 17|Vangelo di san Luca Evangelista, capitolo 17]]</v>
      </c>
    </row>
    <row r="20" spans="1:15" x14ac:dyDescent="0.25">
      <c r="A20" s="29">
        <v>18</v>
      </c>
      <c r="B20" s="29" t="s">
        <v>151</v>
      </c>
      <c r="C20" s="32">
        <v>13</v>
      </c>
      <c r="D20" s="29" t="s">
        <v>858</v>
      </c>
      <c r="E20" s="29">
        <v>38</v>
      </c>
      <c r="F20" s="29" t="str">
        <f t="shared" si="1"/>
        <v xml:space="preserve"> - [ ] [[Gv 13|Vangelo di san Giovanni Apostolo ed Evangelista, capitolo 13]]</v>
      </c>
      <c r="I20" s="29">
        <v>18</v>
      </c>
      <c r="J20" t="s">
        <v>150</v>
      </c>
      <c r="K20" s="32">
        <v>18</v>
      </c>
      <c r="L20" t="s">
        <v>857</v>
      </c>
      <c r="M20">
        <v>43</v>
      </c>
      <c r="N20" s="29" t="str">
        <f t="shared" si="0"/>
        <v xml:space="preserve"> - [ ] [[Lc 18|Vangelo di san Luca Evangelista, capitolo 18]]</v>
      </c>
    </row>
    <row r="21" spans="1:15" x14ac:dyDescent="0.25">
      <c r="A21" s="29">
        <v>19</v>
      </c>
      <c r="B21" s="29" t="s">
        <v>151</v>
      </c>
      <c r="C21" s="32">
        <v>14</v>
      </c>
      <c r="D21" s="29" t="s">
        <v>858</v>
      </c>
      <c r="E21" s="29">
        <v>31</v>
      </c>
      <c r="F21" s="29" t="str">
        <f t="shared" si="1"/>
        <v xml:space="preserve"> - [ ] [[Gv 14|Vangelo di san Giovanni Apostolo ed Evangelista, capitolo 14]]</v>
      </c>
      <c r="I21" s="29">
        <v>19</v>
      </c>
      <c r="J21" t="s">
        <v>150</v>
      </c>
      <c r="K21" s="32">
        <v>19</v>
      </c>
      <c r="L21" t="s">
        <v>857</v>
      </c>
      <c r="M21">
        <v>48</v>
      </c>
      <c r="N21" s="29" t="str">
        <f t="shared" si="0"/>
        <v xml:space="preserve"> - [ ] [[Lc 19|Vangelo di san Luca Evangelista, capitolo 19]]</v>
      </c>
    </row>
    <row r="22" spans="1:15" x14ac:dyDescent="0.25">
      <c r="A22" s="29">
        <v>20</v>
      </c>
      <c r="B22" s="29" t="s">
        <v>151</v>
      </c>
      <c r="C22" s="32">
        <v>15</v>
      </c>
      <c r="D22" s="29" t="s">
        <v>858</v>
      </c>
      <c r="E22" s="29">
        <v>27</v>
      </c>
      <c r="F22" s="29" t="str">
        <f t="shared" si="1"/>
        <v xml:space="preserve"> - [ ] [[Gv 15|Vangelo di san Giovanni Apostolo ed Evangelista, capitolo 15]]</v>
      </c>
      <c r="I22" s="29">
        <v>20</v>
      </c>
      <c r="J22" t="s">
        <v>150</v>
      </c>
      <c r="K22" s="32">
        <v>20</v>
      </c>
      <c r="L22" t="s">
        <v>857</v>
      </c>
      <c r="M22">
        <v>47</v>
      </c>
      <c r="N22" s="29" t="str">
        <f t="shared" si="0"/>
        <v xml:space="preserve"> - [ ] [[Lc 20|Vangelo di san Luca Evangelista, capitolo 20]]</v>
      </c>
    </row>
    <row r="23" spans="1:15" x14ac:dyDescent="0.25">
      <c r="A23" s="29">
        <v>21</v>
      </c>
      <c r="B23" s="29" t="s">
        <v>151</v>
      </c>
      <c r="C23" s="32">
        <v>16</v>
      </c>
      <c r="D23" s="29" t="s">
        <v>858</v>
      </c>
      <c r="E23" s="29">
        <v>33</v>
      </c>
      <c r="F23" s="29" t="str">
        <f t="shared" si="1"/>
        <v xml:space="preserve"> - [ ] [[Gv 16|Vangelo di san Giovanni Apostolo ed Evangelista, capitolo 16]]</v>
      </c>
      <c r="I23" s="29">
        <v>21</v>
      </c>
      <c r="J23" t="s">
        <v>150</v>
      </c>
      <c r="K23" s="32">
        <v>21</v>
      </c>
      <c r="L23" t="s">
        <v>857</v>
      </c>
      <c r="M23">
        <v>38</v>
      </c>
      <c r="N23" s="29" t="str">
        <f t="shared" si="0"/>
        <v xml:space="preserve"> - [ ] [[Lc 21|Vangelo di san Luca Evangelista, capitolo 21]]</v>
      </c>
    </row>
    <row r="24" spans="1:15" x14ac:dyDescent="0.25">
      <c r="A24" s="29">
        <v>22</v>
      </c>
      <c r="B24" s="29" t="s">
        <v>151</v>
      </c>
      <c r="C24" s="32">
        <v>17</v>
      </c>
      <c r="D24" s="29" t="s">
        <v>858</v>
      </c>
      <c r="E24" s="29">
        <v>26</v>
      </c>
      <c r="F24" s="29" t="str">
        <f t="shared" si="1"/>
        <v xml:space="preserve"> - [ ] [[Gv 17|Vangelo di san Giovanni Apostolo ed Evangelista, capitolo 17]]</v>
      </c>
      <c r="I24" s="29">
        <v>22</v>
      </c>
      <c r="J24" t="s">
        <v>150</v>
      </c>
      <c r="K24" s="32">
        <v>22</v>
      </c>
      <c r="L24" t="s">
        <v>857</v>
      </c>
      <c r="M24">
        <v>71</v>
      </c>
      <c r="N24" s="29" t="str">
        <f t="shared" si="0"/>
        <v xml:space="preserve"> - [ ] [[Lc 22|Vangelo di san Luca Evangelista, capitolo 22]]</v>
      </c>
    </row>
    <row r="25" spans="1:15" x14ac:dyDescent="0.25">
      <c r="A25" s="29">
        <v>23</v>
      </c>
      <c r="B25" s="29" t="s">
        <v>151</v>
      </c>
      <c r="C25" s="32">
        <v>18</v>
      </c>
      <c r="D25" s="29" t="s">
        <v>858</v>
      </c>
      <c r="E25" s="29">
        <v>40</v>
      </c>
      <c r="F25" s="29" t="str">
        <f t="shared" si="1"/>
        <v xml:space="preserve"> - [ ] [[Gv 18|Vangelo di san Giovanni Apostolo ed Evangelista, capitolo 18]]</v>
      </c>
      <c r="I25" s="29">
        <v>23</v>
      </c>
      <c r="J25" t="s">
        <v>150</v>
      </c>
      <c r="K25" s="32">
        <v>23</v>
      </c>
      <c r="L25" t="s">
        <v>857</v>
      </c>
      <c r="M25">
        <v>56</v>
      </c>
      <c r="N25" s="29" t="str">
        <f t="shared" si="0"/>
        <v xml:space="preserve"> - [ ] [[Lc 23|Vangelo di san Luca Evangelista, capitolo 23]]</v>
      </c>
    </row>
    <row r="26" spans="1:15" x14ac:dyDescent="0.25">
      <c r="A26" s="29">
        <v>24</v>
      </c>
      <c r="B26" s="29" t="s">
        <v>151</v>
      </c>
      <c r="C26" s="32">
        <v>19</v>
      </c>
      <c r="D26" s="29" t="s">
        <v>858</v>
      </c>
      <c r="E26" s="29">
        <v>42</v>
      </c>
      <c r="F26" s="29" t="str">
        <f t="shared" si="1"/>
        <v xml:space="preserve"> - [ ] [[Gv 19|Vangelo di san Giovanni Apostolo ed Evangelista, capitolo 19]]</v>
      </c>
      <c r="I26" s="33">
        <v>24</v>
      </c>
      <c r="J26" s="37" t="s">
        <v>150</v>
      </c>
      <c r="K26" s="34">
        <v>24</v>
      </c>
      <c r="L26" s="37" t="s">
        <v>857</v>
      </c>
      <c r="M26" s="37">
        <v>53</v>
      </c>
      <c r="N26" s="33" t="str">
        <f t="shared" si="0"/>
        <v xml:space="preserve"> - [ ] [[Lc 24|Vangelo di san Luca Evangelista, capitolo 24]]</v>
      </c>
    </row>
    <row r="27" spans="1:15" x14ac:dyDescent="0.25">
      <c r="A27" s="29">
        <v>25</v>
      </c>
      <c r="B27" s="29" t="s">
        <v>151</v>
      </c>
      <c r="C27" s="32">
        <v>20</v>
      </c>
      <c r="D27" s="29" t="s">
        <v>858</v>
      </c>
      <c r="E27" s="29">
        <v>31</v>
      </c>
      <c r="F27" s="29" t="str">
        <f t="shared" si="1"/>
        <v xml:space="preserve"> - [ ] [[Gv 20|Vangelo di san Giovanni Apostolo ed Evangelista, capitolo 20]]</v>
      </c>
      <c r="I27" s="29">
        <v>25</v>
      </c>
      <c r="J27" t="s">
        <v>6</v>
      </c>
      <c r="K27" s="32">
        <v>1</v>
      </c>
      <c r="L27" t="s">
        <v>10</v>
      </c>
      <c r="M27">
        <v>25</v>
      </c>
      <c r="N27" s="29" t="str">
        <f t="shared" si="0"/>
        <v xml:space="preserve"> - [ ] [[At 1|Atti degli Apostoli, capitolo 1]]</v>
      </c>
      <c r="O27" s="32"/>
    </row>
    <row r="28" spans="1:15" x14ac:dyDescent="0.25">
      <c r="A28" s="33">
        <v>26</v>
      </c>
      <c r="B28" s="33" t="s">
        <v>151</v>
      </c>
      <c r="C28" s="34">
        <v>21</v>
      </c>
      <c r="D28" s="33" t="s">
        <v>858</v>
      </c>
      <c r="E28" s="33">
        <v>25</v>
      </c>
      <c r="F28" s="33" t="str">
        <f t="shared" si="1"/>
        <v xml:space="preserve"> - [ ] [[Gv 21|Vangelo di san Giovanni Apostolo ed Evangelista, capitolo 21]]</v>
      </c>
      <c r="G28" s="34"/>
      <c r="I28" s="29">
        <v>26</v>
      </c>
      <c r="J28" t="s">
        <v>6</v>
      </c>
      <c r="K28" s="32">
        <v>2</v>
      </c>
      <c r="L28" t="s">
        <v>10</v>
      </c>
      <c r="M28">
        <v>47</v>
      </c>
      <c r="N28" s="29" t="str">
        <f t="shared" si="0"/>
        <v xml:space="preserve"> - [ ] [[At 2|Atti degli Apostoli, capitolo 2]]</v>
      </c>
      <c r="O28" s="32"/>
    </row>
    <row r="29" spans="1:15" x14ac:dyDescent="0.25">
      <c r="A29" s="29">
        <v>27</v>
      </c>
      <c r="B29" s="29" t="s">
        <v>149</v>
      </c>
      <c r="C29" s="32">
        <v>1</v>
      </c>
      <c r="D29" s="29" t="s">
        <v>856</v>
      </c>
      <c r="E29" s="29">
        <v>45</v>
      </c>
      <c r="F29" s="29" t="str">
        <f t="shared" si="1"/>
        <v xml:space="preserve"> - [ ] [[Mc 1|Vangelo di san Marco Evangelista, capitolo 1]]</v>
      </c>
      <c r="I29" s="29">
        <v>27</v>
      </c>
      <c r="J29" t="s">
        <v>6</v>
      </c>
      <c r="K29" s="32">
        <v>3</v>
      </c>
      <c r="L29" t="s">
        <v>10</v>
      </c>
      <c r="M29">
        <v>26</v>
      </c>
      <c r="N29" s="29" t="str">
        <f t="shared" si="0"/>
        <v xml:space="preserve"> - [ ] [[At 3|Atti degli Apostoli, capitolo 3]]</v>
      </c>
      <c r="O29" s="32"/>
    </row>
    <row r="30" spans="1:15" x14ac:dyDescent="0.25">
      <c r="A30" s="29">
        <v>28</v>
      </c>
      <c r="B30" s="29" t="s">
        <v>149</v>
      </c>
      <c r="C30" s="32">
        <v>2</v>
      </c>
      <c r="D30" s="29" t="s">
        <v>856</v>
      </c>
      <c r="E30" s="29">
        <v>28</v>
      </c>
      <c r="F30" s="29" t="str">
        <f t="shared" si="1"/>
        <v xml:space="preserve"> - [ ] [[Mc 2|Vangelo di san Marco Evangelista, capitolo 2]]</v>
      </c>
      <c r="I30" s="29">
        <v>28</v>
      </c>
      <c r="J30" t="s">
        <v>6</v>
      </c>
      <c r="K30" s="32">
        <v>4</v>
      </c>
      <c r="L30" t="s">
        <v>10</v>
      </c>
      <c r="M30">
        <v>37</v>
      </c>
      <c r="N30" s="29" t="str">
        <f t="shared" si="0"/>
        <v xml:space="preserve"> - [ ] [[At 4|Atti degli Apostoli, capitolo 4]]</v>
      </c>
      <c r="O30" s="32"/>
    </row>
    <row r="31" spans="1:15" x14ac:dyDescent="0.25">
      <c r="A31" s="29">
        <v>29</v>
      </c>
      <c r="B31" s="29" t="s">
        <v>149</v>
      </c>
      <c r="C31" s="32">
        <v>3</v>
      </c>
      <c r="D31" s="29" t="s">
        <v>856</v>
      </c>
      <c r="E31" s="29">
        <v>35</v>
      </c>
      <c r="F31" s="29" t="str">
        <f t="shared" si="1"/>
        <v xml:space="preserve"> - [ ] [[Mc 3|Vangelo di san Marco Evangelista, capitolo 3]]</v>
      </c>
      <c r="I31" s="29">
        <v>29</v>
      </c>
      <c r="J31" t="s">
        <v>6</v>
      </c>
      <c r="K31" s="32">
        <v>5</v>
      </c>
      <c r="L31" t="s">
        <v>10</v>
      </c>
      <c r="M31">
        <v>42</v>
      </c>
      <c r="N31" s="29" t="str">
        <f t="shared" si="0"/>
        <v xml:space="preserve"> - [ ] [[At 5|Atti degli Apostoli, capitolo 5]]</v>
      </c>
      <c r="O31" s="32"/>
    </row>
    <row r="32" spans="1:15" x14ac:dyDescent="0.25">
      <c r="A32" s="29">
        <v>30</v>
      </c>
      <c r="B32" s="29" t="s">
        <v>149</v>
      </c>
      <c r="C32" s="32">
        <v>4</v>
      </c>
      <c r="D32" s="29" t="s">
        <v>856</v>
      </c>
      <c r="E32" s="29">
        <v>41</v>
      </c>
      <c r="F32" s="29" t="str">
        <f t="shared" si="1"/>
        <v xml:space="preserve"> - [ ] [[Mc 4|Vangelo di san Marco Evangelista, capitolo 4]]</v>
      </c>
      <c r="I32" s="29">
        <v>30</v>
      </c>
      <c r="J32" t="s">
        <v>6</v>
      </c>
      <c r="K32" s="32">
        <v>6</v>
      </c>
      <c r="L32" t="s">
        <v>10</v>
      </c>
      <c r="M32">
        <v>15</v>
      </c>
      <c r="N32" s="29" t="str">
        <f t="shared" si="0"/>
        <v xml:space="preserve"> - [ ] [[At 6|Atti degli Apostoli, capitolo 6]]</v>
      </c>
      <c r="O32" s="32"/>
    </row>
    <row r="33" spans="1:15" x14ac:dyDescent="0.25">
      <c r="A33" s="29">
        <v>31</v>
      </c>
      <c r="B33" s="29" t="s">
        <v>149</v>
      </c>
      <c r="C33" s="32">
        <v>5</v>
      </c>
      <c r="D33" s="29" t="s">
        <v>856</v>
      </c>
      <c r="E33" s="29">
        <v>43</v>
      </c>
      <c r="F33" s="29" t="str">
        <f t="shared" si="1"/>
        <v xml:space="preserve"> - [ ] [[Mc 5|Vangelo di san Marco Evangelista, capitolo 5]]</v>
      </c>
      <c r="I33" s="29">
        <v>31</v>
      </c>
      <c r="J33" t="s">
        <v>6</v>
      </c>
      <c r="K33" s="32">
        <v>7</v>
      </c>
      <c r="L33" t="s">
        <v>10</v>
      </c>
      <c r="M33">
        <v>60</v>
      </c>
      <c r="N33" s="29" t="str">
        <f t="shared" si="0"/>
        <v xml:space="preserve"> - [ ] [[At 7|Atti degli Apostoli, capitolo 7]]</v>
      </c>
      <c r="O33" s="32"/>
    </row>
    <row r="34" spans="1:15" x14ac:dyDescent="0.25">
      <c r="A34" s="30" t="s">
        <v>863</v>
      </c>
      <c r="B34" s="29" t="s">
        <v>149</v>
      </c>
      <c r="C34" s="32">
        <v>6</v>
      </c>
      <c r="D34" s="29" t="s">
        <v>856</v>
      </c>
      <c r="E34">
        <v>56</v>
      </c>
      <c r="F34" s="29" t="str">
        <f t="shared" si="1"/>
        <v xml:space="preserve"> - [ ] [[Mc 6|Vangelo di san Marco Evangelista, capitolo 6]]</v>
      </c>
      <c r="I34" s="30" t="s">
        <v>863</v>
      </c>
      <c r="J34" t="s">
        <v>6</v>
      </c>
      <c r="K34" s="32">
        <v>8</v>
      </c>
      <c r="L34" t="s">
        <v>10</v>
      </c>
      <c r="M34">
        <v>40</v>
      </c>
      <c r="N34" s="29" t="str">
        <f t="shared" si="0"/>
        <v xml:space="preserve"> - [ ] [[At 8|Atti degli Apostoli, capitolo 8]]</v>
      </c>
      <c r="O34" s="32"/>
    </row>
    <row r="35" spans="1:15" x14ac:dyDescent="0.25">
      <c r="A35" s="29">
        <v>1</v>
      </c>
      <c r="B35" s="29" t="s">
        <v>149</v>
      </c>
      <c r="C35" s="32">
        <v>7</v>
      </c>
      <c r="D35" s="29" t="s">
        <v>856</v>
      </c>
      <c r="E35">
        <v>37</v>
      </c>
      <c r="F35" s="29" t="str">
        <f t="shared" si="1"/>
        <v xml:space="preserve"> - [ ] [[Mc 7|Vangelo di san Marco Evangelista, capitolo 7]]</v>
      </c>
      <c r="I35" s="29">
        <v>1</v>
      </c>
      <c r="J35" t="s">
        <v>6</v>
      </c>
      <c r="K35" s="32">
        <v>9</v>
      </c>
      <c r="L35" t="s">
        <v>10</v>
      </c>
      <c r="M35">
        <v>43</v>
      </c>
      <c r="N35" s="29" t="str">
        <f t="shared" si="0"/>
        <v xml:space="preserve"> - [ ] [[At 9|Atti degli Apostoli, capitolo 9]]</v>
      </c>
      <c r="O35" s="32"/>
    </row>
    <row r="36" spans="1:15" x14ac:dyDescent="0.25">
      <c r="A36" s="29">
        <v>2</v>
      </c>
      <c r="B36" s="29" t="s">
        <v>149</v>
      </c>
      <c r="C36" s="32">
        <v>8</v>
      </c>
      <c r="D36" s="29" t="s">
        <v>856</v>
      </c>
      <c r="E36">
        <v>38</v>
      </c>
      <c r="F36" s="29" t="str">
        <f t="shared" si="1"/>
        <v xml:space="preserve"> - [ ] [[Mc 8|Vangelo di san Marco Evangelista, capitolo 8]]</v>
      </c>
      <c r="I36" s="29">
        <v>2</v>
      </c>
      <c r="J36" t="s">
        <v>6</v>
      </c>
      <c r="K36" s="32">
        <v>10</v>
      </c>
      <c r="L36" t="s">
        <v>10</v>
      </c>
      <c r="M36">
        <v>48</v>
      </c>
      <c r="N36" s="29" t="str">
        <f t="shared" si="0"/>
        <v xml:space="preserve"> - [ ] [[At 10|Atti degli Apostoli, capitolo 10]]</v>
      </c>
      <c r="O36" s="32"/>
    </row>
    <row r="37" spans="1:15" x14ac:dyDescent="0.25">
      <c r="A37" s="29">
        <v>3</v>
      </c>
      <c r="B37" s="29" t="s">
        <v>149</v>
      </c>
      <c r="C37" s="32">
        <v>9</v>
      </c>
      <c r="D37" s="29" t="s">
        <v>856</v>
      </c>
      <c r="E37">
        <v>50</v>
      </c>
      <c r="F37" s="29" t="str">
        <f t="shared" si="1"/>
        <v xml:space="preserve"> - [ ] [[Mc 9|Vangelo di san Marco Evangelista, capitolo 9]]</v>
      </c>
      <c r="I37" s="29">
        <v>3</v>
      </c>
      <c r="J37" t="s">
        <v>6</v>
      </c>
      <c r="K37" s="32">
        <v>11</v>
      </c>
      <c r="L37" t="s">
        <v>10</v>
      </c>
      <c r="M37">
        <v>30</v>
      </c>
      <c r="N37" s="29" t="str">
        <f t="shared" si="0"/>
        <v xml:space="preserve"> - [ ] [[At 11|Atti degli Apostoli, capitolo 11]]</v>
      </c>
      <c r="O37" s="32"/>
    </row>
    <row r="38" spans="1:15" x14ac:dyDescent="0.25">
      <c r="A38" s="29">
        <v>4</v>
      </c>
      <c r="B38" s="29" t="s">
        <v>149</v>
      </c>
      <c r="C38" s="32">
        <v>10</v>
      </c>
      <c r="D38" s="29" t="s">
        <v>856</v>
      </c>
      <c r="E38">
        <v>52</v>
      </c>
      <c r="F38" s="29" t="str">
        <f t="shared" si="1"/>
        <v xml:space="preserve"> - [ ] [[Mc 10|Vangelo di san Marco Evangelista, capitolo 10]]</v>
      </c>
      <c r="I38" s="29">
        <v>4</v>
      </c>
      <c r="J38" t="s">
        <v>6</v>
      </c>
      <c r="K38" s="32">
        <v>12</v>
      </c>
      <c r="L38" t="s">
        <v>10</v>
      </c>
      <c r="M38">
        <v>25</v>
      </c>
      <c r="N38" s="29" t="str">
        <f t="shared" si="0"/>
        <v xml:space="preserve"> - [ ] [[At 12|Atti degli Apostoli, capitolo 12]]</v>
      </c>
      <c r="O38" s="32"/>
    </row>
    <row r="39" spans="1:15" x14ac:dyDescent="0.25">
      <c r="A39" s="29">
        <v>5</v>
      </c>
      <c r="B39" s="29" t="s">
        <v>149</v>
      </c>
      <c r="C39" s="32">
        <v>11</v>
      </c>
      <c r="D39" s="29" t="s">
        <v>856</v>
      </c>
      <c r="E39">
        <v>33</v>
      </c>
      <c r="F39" s="29" t="str">
        <f t="shared" si="1"/>
        <v xml:space="preserve"> - [ ] [[Mc 11|Vangelo di san Marco Evangelista, capitolo 11]]</v>
      </c>
      <c r="I39" s="29">
        <v>5</v>
      </c>
      <c r="J39" t="s">
        <v>6</v>
      </c>
      <c r="K39" s="32">
        <v>13</v>
      </c>
      <c r="L39" t="s">
        <v>10</v>
      </c>
      <c r="M39">
        <v>52</v>
      </c>
      <c r="N39" s="29" t="str">
        <f t="shared" si="0"/>
        <v xml:space="preserve"> - [ ] [[At 13|Atti degli Apostoli, capitolo 13]]</v>
      </c>
      <c r="O39" s="32"/>
    </row>
    <row r="40" spans="1:15" x14ac:dyDescent="0.25">
      <c r="A40" s="29">
        <v>6</v>
      </c>
      <c r="B40" s="29" t="s">
        <v>149</v>
      </c>
      <c r="C40" s="32">
        <v>12</v>
      </c>
      <c r="D40" s="29" t="s">
        <v>856</v>
      </c>
      <c r="E40">
        <v>44</v>
      </c>
      <c r="F40" s="29" t="str">
        <f t="shared" si="1"/>
        <v xml:space="preserve"> - [ ] [[Mc 12|Vangelo di san Marco Evangelista, capitolo 12]]</v>
      </c>
      <c r="I40" s="29">
        <v>6</v>
      </c>
      <c r="J40" t="s">
        <v>6</v>
      </c>
      <c r="K40" s="32">
        <v>14</v>
      </c>
      <c r="L40" t="s">
        <v>10</v>
      </c>
      <c r="M40">
        <v>28</v>
      </c>
      <c r="N40" s="29" t="str">
        <f t="shared" si="0"/>
        <v xml:space="preserve"> - [ ] [[At 14|Atti degli Apostoli, capitolo 14]]</v>
      </c>
      <c r="O40" s="32"/>
    </row>
    <row r="41" spans="1:15" x14ac:dyDescent="0.25">
      <c r="A41" s="29">
        <v>7</v>
      </c>
      <c r="B41" s="29" t="s">
        <v>149</v>
      </c>
      <c r="C41" s="32">
        <v>13</v>
      </c>
      <c r="D41" s="29" t="s">
        <v>856</v>
      </c>
      <c r="E41">
        <v>37</v>
      </c>
      <c r="F41" s="29" t="str">
        <f t="shared" si="1"/>
        <v xml:space="preserve"> - [ ] [[Mc 13|Vangelo di san Marco Evangelista, capitolo 13]]</v>
      </c>
      <c r="I41" s="29">
        <v>7</v>
      </c>
      <c r="J41" t="s">
        <v>6</v>
      </c>
      <c r="K41" s="32">
        <v>15</v>
      </c>
      <c r="L41" t="s">
        <v>10</v>
      </c>
      <c r="M41">
        <v>41</v>
      </c>
      <c r="N41" s="29" t="str">
        <f t="shared" si="0"/>
        <v xml:space="preserve"> - [ ] [[At 15|Atti degli Apostoli, capitolo 15]]</v>
      </c>
      <c r="O41" s="32"/>
    </row>
    <row r="42" spans="1:15" x14ac:dyDescent="0.25">
      <c r="A42" s="29">
        <v>8</v>
      </c>
      <c r="B42" s="29" t="s">
        <v>149</v>
      </c>
      <c r="C42" s="32">
        <v>14</v>
      </c>
      <c r="D42" s="29" t="s">
        <v>856</v>
      </c>
      <c r="E42">
        <v>72</v>
      </c>
      <c r="F42" s="29" t="str">
        <f t="shared" si="1"/>
        <v xml:space="preserve"> - [ ] [[Mc 14|Vangelo di san Marco Evangelista, capitolo 14]]</v>
      </c>
      <c r="I42" s="29">
        <v>8</v>
      </c>
      <c r="J42" t="s">
        <v>6</v>
      </c>
      <c r="K42" s="32">
        <v>16</v>
      </c>
      <c r="L42" t="s">
        <v>10</v>
      </c>
      <c r="M42">
        <v>40</v>
      </c>
      <c r="N42" s="29" t="str">
        <f t="shared" si="0"/>
        <v xml:space="preserve"> - [ ] [[At 16|Atti degli Apostoli, capitolo 16]]</v>
      </c>
      <c r="O42" s="32"/>
    </row>
    <row r="43" spans="1:15" x14ac:dyDescent="0.25">
      <c r="A43" s="29">
        <v>9</v>
      </c>
      <c r="B43" s="29" t="s">
        <v>149</v>
      </c>
      <c r="C43" s="32">
        <v>15</v>
      </c>
      <c r="D43" s="29" t="s">
        <v>856</v>
      </c>
      <c r="E43">
        <v>47</v>
      </c>
      <c r="F43" s="29" t="str">
        <f t="shared" si="1"/>
        <v xml:space="preserve"> - [ ] [[Mc 15|Vangelo di san Marco Evangelista, capitolo 15]]</v>
      </c>
      <c r="I43" s="29">
        <v>9</v>
      </c>
      <c r="J43" t="s">
        <v>6</v>
      </c>
      <c r="K43" s="32">
        <v>17</v>
      </c>
      <c r="L43" t="s">
        <v>10</v>
      </c>
      <c r="M43">
        <v>34</v>
      </c>
      <c r="N43" s="29" t="str">
        <f t="shared" si="0"/>
        <v xml:space="preserve"> - [ ] [[At 17|Atti degli Apostoli, capitolo 17]]</v>
      </c>
      <c r="O43" s="32"/>
    </row>
    <row r="44" spans="1:15" x14ac:dyDescent="0.25">
      <c r="A44" s="33">
        <v>10</v>
      </c>
      <c r="B44" s="33" t="s">
        <v>149</v>
      </c>
      <c r="C44" s="34">
        <v>16</v>
      </c>
      <c r="D44" s="33" t="s">
        <v>856</v>
      </c>
      <c r="E44" s="37">
        <v>20</v>
      </c>
      <c r="F44" s="33" t="str">
        <f t="shared" si="1"/>
        <v xml:space="preserve"> - [ ] [[Mc 16|Vangelo di san Marco Evangelista, capitolo 16]]</v>
      </c>
      <c r="G44" s="34"/>
      <c r="I44" s="29">
        <v>10</v>
      </c>
      <c r="J44" t="s">
        <v>6</v>
      </c>
      <c r="K44" s="32">
        <v>18</v>
      </c>
      <c r="L44" t="s">
        <v>10</v>
      </c>
      <c r="M44">
        <v>28</v>
      </c>
      <c r="N44" s="29" t="str">
        <f t="shared" si="0"/>
        <v xml:space="preserve"> - [ ] [[At 18|Atti degli Apostoli, capitolo 18]]</v>
      </c>
      <c r="O44" s="32"/>
    </row>
    <row r="45" spans="1:15" x14ac:dyDescent="0.25">
      <c r="A45" s="29">
        <v>11</v>
      </c>
      <c r="B45" s="29" t="s">
        <v>18</v>
      </c>
      <c r="C45" s="32">
        <v>1</v>
      </c>
      <c r="D45" t="s">
        <v>762</v>
      </c>
      <c r="E45">
        <v>24</v>
      </c>
      <c r="F45" s="29" t="str">
        <f t="shared" si="1"/>
        <v xml:space="preserve"> - [ ] [[Gal 1|Lettera di san Paolo Apostolo ai Galati, capitolo 1]]</v>
      </c>
      <c r="I45" s="29">
        <v>11</v>
      </c>
      <c r="J45" t="s">
        <v>6</v>
      </c>
      <c r="K45" s="32">
        <v>19</v>
      </c>
      <c r="L45" t="s">
        <v>10</v>
      </c>
      <c r="M45">
        <v>40</v>
      </c>
      <c r="N45" s="29" t="str">
        <f t="shared" si="0"/>
        <v xml:space="preserve"> - [ ] [[At 19|Atti degli Apostoli, capitolo 19]]</v>
      </c>
      <c r="O45" s="32"/>
    </row>
    <row r="46" spans="1:15" x14ac:dyDescent="0.25">
      <c r="A46" s="29">
        <v>12</v>
      </c>
      <c r="B46" s="29" t="s">
        <v>18</v>
      </c>
      <c r="C46" s="32">
        <v>2</v>
      </c>
      <c r="D46" t="s">
        <v>762</v>
      </c>
      <c r="E46">
        <v>21</v>
      </c>
      <c r="F46" s="29" t="str">
        <f t="shared" si="1"/>
        <v xml:space="preserve"> - [ ] [[Gal 2|Lettera di san Paolo Apostolo ai Galati, capitolo 2]]</v>
      </c>
      <c r="I46" s="29">
        <v>12</v>
      </c>
      <c r="J46" t="s">
        <v>6</v>
      </c>
      <c r="K46" s="32">
        <v>20</v>
      </c>
      <c r="L46" t="s">
        <v>10</v>
      </c>
      <c r="M46">
        <v>38</v>
      </c>
      <c r="N46" s="29" t="str">
        <f t="shared" si="0"/>
        <v xml:space="preserve"> - [ ] [[At 20|Atti degli Apostoli, capitolo 20]]</v>
      </c>
      <c r="O46" s="32"/>
    </row>
    <row r="47" spans="1:15" x14ac:dyDescent="0.25">
      <c r="A47" s="29">
        <v>13</v>
      </c>
      <c r="B47" s="29" t="s">
        <v>18</v>
      </c>
      <c r="C47" s="32">
        <v>3</v>
      </c>
      <c r="D47" t="s">
        <v>762</v>
      </c>
      <c r="E47">
        <v>29</v>
      </c>
      <c r="F47" s="29" t="str">
        <f t="shared" si="1"/>
        <v xml:space="preserve"> - [ ] [[Gal 3|Lettera di san Paolo Apostolo ai Galati, capitolo 3]]</v>
      </c>
      <c r="I47" s="29">
        <v>13</v>
      </c>
      <c r="J47" t="s">
        <v>6</v>
      </c>
      <c r="K47" s="32">
        <v>21</v>
      </c>
      <c r="L47" t="s">
        <v>10</v>
      </c>
      <c r="M47">
        <v>40</v>
      </c>
      <c r="N47" s="29" t="str">
        <f t="shared" si="0"/>
        <v xml:space="preserve"> - [ ] [[At 21|Atti degli Apostoli, capitolo 21]]</v>
      </c>
      <c r="O47" s="32"/>
    </row>
    <row r="48" spans="1:15" x14ac:dyDescent="0.25">
      <c r="A48" s="29">
        <v>14</v>
      </c>
      <c r="B48" s="29" t="s">
        <v>18</v>
      </c>
      <c r="C48" s="32">
        <v>4</v>
      </c>
      <c r="D48" t="s">
        <v>762</v>
      </c>
      <c r="E48">
        <v>31</v>
      </c>
      <c r="F48" s="29" t="str">
        <f t="shared" si="1"/>
        <v xml:space="preserve"> - [ ] [[Gal 4|Lettera di san Paolo Apostolo ai Galati, capitolo 4]]</v>
      </c>
      <c r="I48" s="29">
        <v>14</v>
      </c>
      <c r="J48" t="s">
        <v>6</v>
      </c>
      <c r="K48" s="32">
        <v>22</v>
      </c>
      <c r="L48" t="s">
        <v>10</v>
      </c>
      <c r="M48">
        <v>30</v>
      </c>
      <c r="N48" s="29" t="str">
        <f t="shared" si="0"/>
        <v xml:space="preserve"> - [ ] [[At 22|Atti degli Apostoli, capitolo 22]]</v>
      </c>
      <c r="O48" s="32"/>
    </row>
    <row r="49" spans="1:15" x14ac:dyDescent="0.25">
      <c r="A49" s="29">
        <v>15</v>
      </c>
      <c r="B49" s="29" t="s">
        <v>18</v>
      </c>
      <c r="C49" s="32">
        <v>5</v>
      </c>
      <c r="D49" t="s">
        <v>762</v>
      </c>
      <c r="E49">
        <v>26</v>
      </c>
      <c r="F49" s="29" t="str">
        <f t="shared" si="1"/>
        <v xml:space="preserve"> - [ ] [[Gal 5|Lettera di san Paolo Apostolo ai Galati, capitolo 5]]</v>
      </c>
      <c r="I49" s="29">
        <v>15</v>
      </c>
      <c r="J49" t="s">
        <v>6</v>
      </c>
      <c r="K49" s="32">
        <v>23</v>
      </c>
      <c r="L49" t="s">
        <v>10</v>
      </c>
      <c r="M49">
        <v>35</v>
      </c>
      <c r="N49" s="29" t="str">
        <f t="shared" si="0"/>
        <v xml:space="preserve"> - [ ] [[At 23|Atti degli Apostoli, capitolo 23]]</v>
      </c>
      <c r="O49" s="32"/>
    </row>
    <row r="50" spans="1:15" x14ac:dyDescent="0.25">
      <c r="A50" s="33">
        <v>16</v>
      </c>
      <c r="B50" s="33" t="s">
        <v>18</v>
      </c>
      <c r="C50" s="34">
        <v>6</v>
      </c>
      <c r="D50" s="37" t="s">
        <v>762</v>
      </c>
      <c r="E50" s="37">
        <v>18</v>
      </c>
      <c r="F50" s="33" t="str">
        <f t="shared" si="1"/>
        <v xml:space="preserve"> - [ ] [[Gal 6|Lettera di san Paolo Apostolo ai Galati, capitolo 6]]</v>
      </c>
      <c r="G50" s="34"/>
      <c r="I50" s="29">
        <v>16</v>
      </c>
      <c r="J50" t="s">
        <v>6</v>
      </c>
      <c r="K50" s="32">
        <v>24</v>
      </c>
      <c r="L50" t="s">
        <v>10</v>
      </c>
      <c r="M50">
        <v>27</v>
      </c>
      <c r="N50" s="29" t="str">
        <f t="shared" si="0"/>
        <v xml:space="preserve"> - [ ] [[At 24|Atti degli Apostoli, capitolo 24]]</v>
      </c>
      <c r="O50" s="32"/>
    </row>
    <row r="51" spans="1:15" x14ac:dyDescent="0.25">
      <c r="A51" s="29">
        <v>17</v>
      </c>
      <c r="B51" s="29" t="s">
        <v>19</v>
      </c>
      <c r="C51" s="32">
        <v>1</v>
      </c>
      <c r="D51" t="s">
        <v>766</v>
      </c>
      <c r="E51">
        <v>23</v>
      </c>
      <c r="F51" s="29" t="str">
        <f t="shared" si="1"/>
        <v xml:space="preserve"> - [ ] [[Ef 1|Lettera di san Paolo Apostolo agli Efesini, capitolo 1]]</v>
      </c>
      <c r="I51" s="29">
        <v>17</v>
      </c>
      <c r="J51" t="s">
        <v>6</v>
      </c>
      <c r="K51" s="32">
        <v>25</v>
      </c>
      <c r="L51" t="s">
        <v>10</v>
      </c>
      <c r="M51">
        <v>27</v>
      </c>
      <c r="N51" s="29" t="str">
        <f t="shared" si="0"/>
        <v xml:space="preserve"> - [ ] [[At 25|Atti degli Apostoli, capitolo 25]]</v>
      </c>
      <c r="O51" s="32"/>
    </row>
    <row r="52" spans="1:15" x14ac:dyDescent="0.25">
      <c r="A52" s="29">
        <v>18</v>
      </c>
      <c r="B52" s="29" t="s">
        <v>19</v>
      </c>
      <c r="C52" s="32">
        <v>2</v>
      </c>
      <c r="D52" t="s">
        <v>766</v>
      </c>
      <c r="E52">
        <v>22</v>
      </c>
      <c r="F52" s="29" t="str">
        <f t="shared" si="1"/>
        <v xml:space="preserve"> - [ ] [[Ef 2|Lettera di san Paolo Apostolo agli Efesini, capitolo 2]]</v>
      </c>
      <c r="I52" s="29">
        <v>18</v>
      </c>
      <c r="J52" t="s">
        <v>6</v>
      </c>
      <c r="K52" s="32">
        <v>26</v>
      </c>
      <c r="L52" t="s">
        <v>10</v>
      </c>
      <c r="M52">
        <v>32</v>
      </c>
      <c r="N52" s="29" t="str">
        <f t="shared" si="0"/>
        <v xml:space="preserve"> - [ ] [[At 26|Atti degli Apostoli, capitolo 26]]</v>
      </c>
      <c r="O52" s="32"/>
    </row>
    <row r="53" spans="1:15" x14ac:dyDescent="0.25">
      <c r="A53" s="29">
        <v>19</v>
      </c>
      <c r="B53" s="29" t="s">
        <v>19</v>
      </c>
      <c r="C53" s="32">
        <v>3</v>
      </c>
      <c r="D53" t="s">
        <v>766</v>
      </c>
      <c r="E53">
        <v>21</v>
      </c>
      <c r="F53" s="29" t="str">
        <f t="shared" si="1"/>
        <v xml:space="preserve"> - [ ] [[Ef 3|Lettera di san Paolo Apostolo agli Efesini, capitolo 3]]</v>
      </c>
      <c r="I53" s="29">
        <v>19</v>
      </c>
      <c r="J53" t="s">
        <v>6</v>
      </c>
      <c r="K53" s="32">
        <v>27</v>
      </c>
      <c r="L53" t="s">
        <v>10</v>
      </c>
      <c r="M53">
        <v>44</v>
      </c>
      <c r="N53" s="29" t="str">
        <f t="shared" si="0"/>
        <v xml:space="preserve"> - [ ] [[At 27|Atti degli Apostoli, capitolo 27]]</v>
      </c>
      <c r="O53" s="32"/>
    </row>
    <row r="54" spans="1:15" x14ac:dyDescent="0.25">
      <c r="A54" s="29">
        <v>20</v>
      </c>
      <c r="B54" s="29" t="s">
        <v>19</v>
      </c>
      <c r="C54" s="32">
        <v>4</v>
      </c>
      <c r="D54" t="s">
        <v>766</v>
      </c>
      <c r="E54">
        <v>32</v>
      </c>
      <c r="F54" s="29" t="str">
        <f t="shared" si="1"/>
        <v xml:space="preserve"> - [ ] [[Ef 4|Lettera di san Paolo Apostolo agli Efesini, capitolo 4]]</v>
      </c>
      <c r="I54" s="33">
        <v>20</v>
      </c>
      <c r="J54" s="37" t="s">
        <v>6</v>
      </c>
      <c r="K54" s="34">
        <v>28</v>
      </c>
      <c r="L54" s="37" t="s">
        <v>10</v>
      </c>
      <c r="M54" s="37">
        <v>31</v>
      </c>
      <c r="N54" s="33" t="str">
        <f t="shared" si="0"/>
        <v xml:space="preserve"> - [ ] [[At 28|Atti degli Apostoli, capitolo 28]]</v>
      </c>
      <c r="O54" s="34"/>
    </row>
    <row r="55" spans="1:15" x14ac:dyDescent="0.25">
      <c r="A55" s="29">
        <v>21</v>
      </c>
      <c r="B55" s="29" t="s">
        <v>19</v>
      </c>
      <c r="C55" s="32">
        <v>5</v>
      </c>
      <c r="D55" t="s">
        <v>766</v>
      </c>
      <c r="E55">
        <v>33</v>
      </c>
      <c r="F55" s="29" t="str">
        <f t="shared" si="1"/>
        <v xml:space="preserve"> - [ ] [[Ef 5|Lettera di san Paolo Apostolo agli Efesini, capitolo 5]]</v>
      </c>
      <c r="I55" s="29">
        <v>21</v>
      </c>
      <c r="J55" t="s">
        <v>39</v>
      </c>
      <c r="K55" s="32">
        <v>1</v>
      </c>
      <c r="L55" t="s">
        <v>814</v>
      </c>
      <c r="M55">
        <v>27</v>
      </c>
      <c r="N55" s="29" t="str">
        <f t="shared" si="0"/>
        <v xml:space="preserve"> - [ ] [[Gc 1|Lettera di san Giacomo Apostolo, capitolo 1]]</v>
      </c>
      <c r="O55" s="32"/>
    </row>
    <row r="56" spans="1:15" x14ac:dyDescent="0.25">
      <c r="A56" s="33">
        <v>22</v>
      </c>
      <c r="B56" s="33" t="s">
        <v>19</v>
      </c>
      <c r="C56" s="34">
        <v>6</v>
      </c>
      <c r="D56" s="37" t="s">
        <v>766</v>
      </c>
      <c r="E56" s="37">
        <v>24</v>
      </c>
      <c r="F56" s="33" t="str">
        <f t="shared" si="1"/>
        <v xml:space="preserve"> - [ ] [[Ef 6|Lettera di san Paolo Apostolo agli Efesini, capitolo 6]]</v>
      </c>
      <c r="G56" s="34"/>
      <c r="I56" s="29">
        <v>22</v>
      </c>
      <c r="J56" t="s">
        <v>39</v>
      </c>
      <c r="K56" s="32">
        <v>2</v>
      </c>
      <c r="L56" t="s">
        <v>814</v>
      </c>
      <c r="M56">
        <v>26</v>
      </c>
      <c r="N56" s="29" t="str">
        <f t="shared" si="0"/>
        <v xml:space="preserve"> - [ ] [[Gc 2|Lettera di san Giacomo Apostolo, capitolo 2]]</v>
      </c>
      <c r="O56" s="32"/>
    </row>
    <row r="57" spans="1:15" x14ac:dyDescent="0.25">
      <c r="A57" s="29">
        <v>23</v>
      </c>
      <c r="B57" s="29" t="s">
        <v>22</v>
      </c>
      <c r="C57" s="32">
        <v>1</v>
      </c>
      <c r="D57" t="s">
        <v>770</v>
      </c>
      <c r="E57">
        <v>30</v>
      </c>
      <c r="F57" s="29" t="str">
        <f t="shared" si="1"/>
        <v xml:space="preserve"> - [ ] [[Fil 1|Lettera di san Paolo Apostolo ai Filippesi, capitolo 1]]</v>
      </c>
      <c r="I57" s="29">
        <v>23</v>
      </c>
      <c r="J57" t="s">
        <v>39</v>
      </c>
      <c r="K57" s="32">
        <v>3</v>
      </c>
      <c r="L57" t="s">
        <v>814</v>
      </c>
      <c r="M57">
        <v>18</v>
      </c>
      <c r="N57" s="29" t="str">
        <f t="shared" si="0"/>
        <v xml:space="preserve"> - [ ] [[Gc 3|Lettera di san Giacomo Apostolo, capitolo 3]]</v>
      </c>
      <c r="O57" s="32"/>
    </row>
    <row r="58" spans="1:15" x14ac:dyDescent="0.25">
      <c r="A58" s="29">
        <v>24</v>
      </c>
      <c r="B58" s="29" t="s">
        <v>22</v>
      </c>
      <c r="C58" s="32">
        <v>2</v>
      </c>
      <c r="D58" t="s">
        <v>770</v>
      </c>
      <c r="E58">
        <v>30</v>
      </c>
      <c r="F58" s="29" t="str">
        <f t="shared" si="1"/>
        <v xml:space="preserve"> - [ ] [[Fil 2|Lettera di san Paolo Apostolo ai Filippesi, capitolo 2]]</v>
      </c>
      <c r="I58" s="29">
        <v>24</v>
      </c>
      <c r="J58" t="s">
        <v>39</v>
      </c>
      <c r="K58" s="32">
        <v>4</v>
      </c>
      <c r="L58" t="s">
        <v>814</v>
      </c>
      <c r="M58">
        <v>17</v>
      </c>
      <c r="N58" s="29" t="str">
        <f t="shared" si="0"/>
        <v xml:space="preserve"> - [ ] [[Gc 4|Lettera di san Giacomo Apostolo, capitolo 4]]</v>
      </c>
      <c r="O58" s="32"/>
    </row>
    <row r="59" spans="1:15" x14ac:dyDescent="0.25">
      <c r="A59" s="29">
        <v>25</v>
      </c>
      <c r="B59" s="29" t="s">
        <v>22</v>
      </c>
      <c r="C59" s="32">
        <v>3</v>
      </c>
      <c r="D59" t="s">
        <v>770</v>
      </c>
      <c r="E59">
        <v>21</v>
      </c>
      <c r="F59" s="29" t="str">
        <f t="shared" si="1"/>
        <v xml:space="preserve"> - [ ] [[Fil 3|Lettera di san Paolo Apostolo ai Filippesi, capitolo 3]]</v>
      </c>
      <c r="I59" s="29">
        <v>25</v>
      </c>
      <c r="J59" s="37" t="s">
        <v>39</v>
      </c>
      <c r="K59" s="34">
        <v>5</v>
      </c>
      <c r="L59" s="37" t="s">
        <v>814</v>
      </c>
      <c r="M59" s="37">
        <v>20</v>
      </c>
      <c r="N59" s="33" t="str">
        <f t="shared" si="0"/>
        <v xml:space="preserve"> - [ ] [[Gc 5|Lettera di san Giacomo Apostolo, capitolo 5]]</v>
      </c>
      <c r="O59" s="34"/>
    </row>
    <row r="60" spans="1:15" x14ac:dyDescent="0.25">
      <c r="A60" s="33">
        <v>26</v>
      </c>
      <c r="B60" s="33" t="s">
        <v>22</v>
      </c>
      <c r="C60" s="34">
        <v>4</v>
      </c>
      <c r="D60" s="37" t="s">
        <v>770</v>
      </c>
      <c r="E60" s="37">
        <v>23</v>
      </c>
      <c r="F60" s="33" t="str">
        <f t="shared" si="1"/>
        <v xml:space="preserve"> - [ ] [[Fil 4|Lettera di san Paolo Apostolo ai Filippesi, capitolo 4]]</v>
      </c>
      <c r="G60" s="34"/>
      <c r="I60" s="29">
        <v>26</v>
      </c>
      <c r="J60" t="s">
        <v>441</v>
      </c>
      <c r="K60" s="32">
        <v>1</v>
      </c>
      <c r="L60" t="s">
        <v>820</v>
      </c>
      <c r="M60">
        <v>25</v>
      </c>
      <c r="N60" s="29" t="str">
        <f t="shared" si="0"/>
        <v xml:space="preserve"> - [ ] [[1 Pt 1|Prima Lettera di san Pietro Apostolo, capitolo 1]]</v>
      </c>
      <c r="O60" s="32"/>
    </row>
    <row r="61" spans="1:15" x14ac:dyDescent="0.25">
      <c r="A61" s="29">
        <v>27</v>
      </c>
      <c r="B61" s="29" t="s">
        <v>23</v>
      </c>
      <c r="C61" s="32">
        <v>1</v>
      </c>
      <c r="D61" t="s">
        <v>775</v>
      </c>
      <c r="E61">
        <v>29</v>
      </c>
      <c r="F61" s="29" t="str">
        <f t="shared" si="1"/>
        <v xml:space="preserve"> - [ ] [[Col 1|Lettera di san Paolo Apostolo ai Colossesi, capitolo 1]]</v>
      </c>
      <c r="I61" s="29">
        <v>27</v>
      </c>
      <c r="J61" t="s">
        <v>441</v>
      </c>
      <c r="K61" s="32">
        <v>2</v>
      </c>
      <c r="L61" t="s">
        <v>820</v>
      </c>
      <c r="M61">
        <v>25</v>
      </c>
      <c r="N61" s="29" t="str">
        <f t="shared" si="0"/>
        <v xml:space="preserve"> - [ ] [[1 Pt 2|Prima Lettera di san Pietro Apostolo, capitolo 2]]</v>
      </c>
      <c r="O61" s="32"/>
    </row>
    <row r="62" spans="1:15" x14ac:dyDescent="0.25">
      <c r="A62" s="29">
        <v>28</v>
      </c>
      <c r="B62" s="29" t="s">
        <v>23</v>
      </c>
      <c r="C62" s="32">
        <v>2</v>
      </c>
      <c r="D62" t="s">
        <v>775</v>
      </c>
      <c r="E62">
        <v>23</v>
      </c>
      <c r="F62" s="29" t="str">
        <f t="shared" si="1"/>
        <v xml:space="preserve"> - [ ] [[Col 2|Lettera di san Paolo Apostolo ai Colossesi, capitolo 2]]</v>
      </c>
      <c r="I62" s="29">
        <v>28</v>
      </c>
      <c r="J62" t="s">
        <v>441</v>
      </c>
      <c r="K62" s="32">
        <v>3</v>
      </c>
      <c r="L62" t="s">
        <v>820</v>
      </c>
      <c r="M62">
        <v>22</v>
      </c>
      <c r="N62" s="29" t="str">
        <f t="shared" si="0"/>
        <v xml:space="preserve"> - [ ] [[1 Pt 3|Prima Lettera di san Pietro Apostolo, capitolo 3]]</v>
      </c>
      <c r="O62" s="32"/>
    </row>
    <row r="63" spans="1:15" x14ac:dyDescent="0.25">
      <c r="A63" s="30" t="s">
        <v>864</v>
      </c>
      <c r="B63" s="29" t="s">
        <v>23</v>
      </c>
      <c r="C63" s="32">
        <v>3</v>
      </c>
      <c r="D63" t="s">
        <v>775</v>
      </c>
      <c r="E63">
        <v>25</v>
      </c>
      <c r="F63" s="29" t="str">
        <f t="shared" si="1"/>
        <v xml:space="preserve"> - [ ] [[Col 3|Lettera di san Paolo Apostolo ai Colossesi, capitolo 3]]</v>
      </c>
      <c r="I63" s="30" t="s">
        <v>864</v>
      </c>
      <c r="J63" t="s">
        <v>441</v>
      </c>
      <c r="K63" s="32">
        <v>4</v>
      </c>
      <c r="L63" t="s">
        <v>820</v>
      </c>
      <c r="M63">
        <v>19</v>
      </c>
      <c r="N63" s="29" t="str">
        <f t="shared" si="0"/>
        <v xml:space="preserve"> - [ ] [[1 Pt 4|Prima Lettera di san Pietro Apostolo, capitolo 4]]</v>
      </c>
      <c r="O63" s="32"/>
    </row>
    <row r="64" spans="1:15" x14ac:dyDescent="0.25">
      <c r="A64" s="33">
        <v>1</v>
      </c>
      <c r="B64" s="33" t="s">
        <v>23</v>
      </c>
      <c r="C64" s="34">
        <v>4</v>
      </c>
      <c r="D64" s="37" t="s">
        <v>775</v>
      </c>
      <c r="E64" s="37">
        <v>18</v>
      </c>
      <c r="F64" s="33" t="str">
        <f t="shared" si="1"/>
        <v xml:space="preserve"> - [ ] [[Col 4|Lettera di san Paolo Apostolo ai Colossesi, capitolo 4]]</v>
      </c>
      <c r="G64" s="34"/>
      <c r="I64" s="33">
        <v>1</v>
      </c>
      <c r="J64" s="37" t="s">
        <v>441</v>
      </c>
      <c r="K64" s="34">
        <v>5</v>
      </c>
      <c r="L64" s="37" t="s">
        <v>820</v>
      </c>
      <c r="M64" s="37">
        <v>14</v>
      </c>
      <c r="N64" s="33" t="str">
        <f t="shared" si="0"/>
        <v xml:space="preserve"> - [ ] [[1 Pt 5|Prima Lettera di san Pietro Apostolo, capitolo 5]]</v>
      </c>
      <c r="O64" s="34"/>
    </row>
    <row r="65" spans="1:15" x14ac:dyDescent="0.25">
      <c r="A65" s="29">
        <v>2</v>
      </c>
      <c r="B65" t="s">
        <v>414</v>
      </c>
      <c r="C65" s="32">
        <v>1</v>
      </c>
      <c r="D65" t="s">
        <v>779</v>
      </c>
      <c r="E65">
        <v>10</v>
      </c>
      <c r="F65" s="29" t="str">
        <f t="shared" si="1"/>
        <v xml:space="preserve"> - [ ] [[1 Ts 1|Prima Lettera di san Paolo Apostolo ai Tessalonicesi, capitolo 1]]</v>
      </c>
      <c r="I65" s="29">
        <v>2</v>
      </c>
      <c r="J65" t="s">
        <v>422</v>
      </c>
      <c r="K65" s="32">
        <v>1</v>
      </c>
      <c r="L65" t="s">
        <v>789</v>
      </c>
      <c r="M65">
        <v>20</v>
      </c>
      <c r="N65" s="29" t="str">
        <f t="shared" si="0"/>
        <v xml:space="preserve"> - [ ] [[1 Tm 1|Prima Lettera di san Paolo Apostolo a Timoteo, capitolo 1]]</v>
      </c>
      <c r="O65" s="32"/>
    </row>
    <row r="66" spans="1:15" x14ac:dyDescent="0.25">
      <c r="A66" s="29">
        <v>3</v>
      </c>
      <c r="B66" t="s">
        <v>414</v>
      </c>
      <c r="C66" s="32">
        <v>2</v>
      </c>
      <c r="D66" t="s">
        <v>779</v>
      </c>
      <c r="E66">
        <v>20</v>
      </c>
      <c r="F66" s="29" t="str">
        <f t="shared" si="1"/>
        <v xml:space="preserve"> - [ ] [[1 Ts 2|Prima Lettera di san Paolo Apostolo ai Tessalonicesi, capitolo 2]]</v>
      </c>
      <c r="I66" s="29">
        <v>3</v>
      </c>
      <c r="J66" t="s">
        <v>422</v>
      </c>
      <c r="K66" s="32">
        <v>2</v>
      </c>
      <c r="L66" t="s">
        <v>789</v>
      </c>
      <c r="M66">
        <v>15</v>
      </c>
      <c r="N66" s="29" t="str">
        <f t="shared" si="0"/>
        <v xml:space="preserve"> - [ ] [[1 Tm 2|Prima Lettera di san Paolo Apostolo a Timoteo, capitolo 2]]</v>
      </c>
      <c r="O66" s="32"/>
    </row>
    <row r="67" spans="1:15" x14ac:dyDescent="0.25">
      <c r="A67" s="29">
        <v>4</v>
      </c>
      <c r="B67" t="s">
        <v>414</v>
      </c>
      <c r="C67" s="32">
        <v>3</v>
      </c>
      <c r="D67" t="s">
        <v>779</v>
      </c>
      <c r="E67">
        <v>13</v>
      </c>
      <c r="F67" s="29" t="str">
        <f t="shared" si="1"/>
        <v xml:space="preserve"> - [ ] [[1 Ts 3|Prima Lettera di san Paolo Apostolo ai Tessalonicesi, capitolo 3]]</v>
      </c>
      <c r="I67" s="29">
        <v>4</v>
      </c>
      <c r="J67" t="s">
        <v>422</v>
      </c>
      <c r="K67" s="32">
        <v>3</v>
      </c>
      <c r="L67" t="s">
        <v>789</v>
      </c>
      <c r="M67">
        <v>16</v>
      </c>
      <c r="N67" s="29" t="str">
        <f t="shared" ref="N67:N121" si="2">_xlfn.CONCAT(" - [ ] [[",J67," ",K67,"|",L67,", capitolo ",K67,"]]")</f>
        <v xml:space="preserve"> - [ ] [[1 Tm 3|Prima Lettera di san Paolo Apostolo a Timoteo, capitolo 3]]</v>
      </c>
      <c r="O67" s="32"/>
    </row>
    <row r="68" spans="1:15" x14ac:dyDescent="0.25">
      <c r="A68" s="29">
        <v>5</v>
      </c>
      <c r="B68" t="s">
        <v>414</v>
      </c>
      <c r="C68" s="32">
        <v>4</v>
      </c>
      <c r="D68" t="s">
        <v>779</v>
      </c>
      <c r="E68">
        <v>18</v>
      </c>
      <c r="F68" s="29" t="str">
        <f t="shared" ref="F68:F131" si="3">_xlfn.CONCAT(" - [ ] [[",B68," ",C68,"|",D68,", capitolo ",C68,"]]")</f>
        <v xml:space="preserve"> - [ ] [[1 Ts 4|Prima Lettera di san Paolo Apostolo ai Tessalonicesi, capitolo 4]]</v>
      </c>
      <c r="I68" s="29">
        <v>5</v>
      </c>
      <c r="J68" t="s">
        <v>422</v>
      </c>
      <c r="K68" s="32">
        <v>4</v>
      </c>
      <c r="L68" t="s">
        <v>789</v>
      </c>
      <c r="M68">
        <v>16</v>
      </c>
      <c r="N68" s="29" t="str">
        <f t="shared" si="2"/>
        <v xml:space="preserve"> - [ ] [[1 Tm 4|Prima Lettera di san Paolo Apostolo a Timoteo, capitolo 4]]</v>
      </c>
      <c r="O68" s="32"/>
    </row>
    <row r="69" spans="1:15" x14ac:dyDescent="0.25">
      <c r="A69" s="33">
        <v>6</v>
      </c>
      <c r="B69" s="37" t="s">
        <v>414</v>
      </c>
      <c r="C69" s="34">
        <v>5</v>
      </c>
      <c r="D69" s="37" t="s">
        <v>779</v>
      </c>
      <c r="E69" s="37">
        <v>28</v>
      </c>
      <c r="F69" s="33" t="str">
        <f t="shared" si="3"/>
        <v xml:space="preserve"> - [ ] [[1 Ts 5|Prima Lettera di san Paolo Apostolo ai Tessalonicesi, capitolo 5]]</v>
      </c>
      <c r="G69" s="34"/>
      <c r="I69" s="29">
        <v>6</v>
      </c>
      <c r="J69" t="s">
        <v>422</v>
      </c>
      <c r="K69" s="32">
        <v>5</v>
      </c>
      <c r="L69" t="s">
        <v>789</v>
      </c>
      <c r="M69">
        <v>25</v>
      </c>
      <c r="N69" s="29" t="str">
        <f t="shared" si="2"/>
        <v xml:space="preserve"> - [ ] [[1 Tm 5|Prima Lettera di san Paolo Apostolo a Timoteo, capitolo 5]]</v>
      </c>
      <c r="O69" s="32"/>
    </row>
    <row r="70" spans="1:15" x14ac:dyDescent="0.25">
      <c r="A70" s="29">
        <v>7</v>
      </c>
      <c r="B70" t="s">
        <v>418</v>
      </c>
      <c r="C70" s="32">
        <v>1</v>
      </c>
      <c r="D70" t="s">
        <v>784</v>
      </c>
      <c r="E70">
        <v>12</v>
      </c>
      <c r="F70" s="29" t="str">
        <f t="shared" si="3"/>
        <v xml:space="preserve"> - [ ] [[2 Ts 1|Seconda Lettera di san Paolo Apostolo ai Tessalonicesi, capitolo 1]]</v>
      </c>
      <c r="I70" s="33">
        <v>7</v>
      </c>
      <c r="J70" s="37" t="s">
        <v>422</v>
      </c>
      <c r="K70" s="34">
        <v>6</v>
      </c>
      <c r="L70" s="37" t="s">
        <v>789</v>
      </c>
      <c r="M70" s="37">
        <v>21</v>
      </c>
      <c r="N70" s="33" t="str">
        <f t="shared" si="2"/>
        <v xml:space="preserve"> - [ ] [[1 Tm 6|Prima Lettera di san Paolo Apostolo a Timoteo, capitolo 6]]</v>
      </c>
      <c r="O70" s="34"/>
    </row>
    <row r="71" spans="1:15" x14ac:dyDescent="0.25">
      <c r="A71" s="29">
        <v>8</v>
      </c>
      <c r="B71" t="s">
        <v>418</v>
      </c>
      <c r="C71" s="32">
        <v>2</v>
      </c>
      <c r="D71" t="s">
        <v>784</v>
      </c>
      <c r="E71">
        <v>17</v>
      </c>
      <c r="F71" s="29" t="str">
        <f t="shared" si="3"/>
        <v xml:space="preserve"> - [ ] [[2 Ts 2|Seconda Lettera di san Paolo Apostolo ai Tessalonicesi, capitolo 2]]</v>
      </c>
      <c r="I71" s="29">
        <v>8</v>
      </c>
      <c r="J71" t="s">
        <v>426</v>
      </c>
      <c r="K71" s="32">
        <v>1</v>
      </c>
      <c r="L71" t="s">
        <v>794</v>
      </c>
      <c r="M71">
        <v>18</v>
      </c>
      <c r="N71" s="29" t="str">
        <f t="shared" si="2"/>
        <v xml:space="preserve"> - [ ] [[2 Tm 1|Seconda Lettera di san Paolo Apostolo a Timoteo, capitolo 1]]</v>
      </c>
      <c r="O71" s="32"/>
    </row>
    <row r="72" spans="1:15" x14ac:dyDescent="0.25">
      <c r="A72" s="33">
        <v>9</v>
      </c>
      <c r="B72" s="37" t="s">
        <v>418</v>
      </c>
      <c r="C72" s="34">
        <v>3</v>
      </c>
      <c r="D72" s="37" t="s">
        <v>784</v>
      </c>
      <c r="E72" s="37">
        <v>18</v>
      </c>
      <c r="F72" s="33" t="str">
        <f t="shared" si="3"/>
        <v xml:space="preserve"> - [ ] [[2 Ts 3|Seconda Lettera di san Paolo Apostolo ai Tessalonicesi, capitolo 3]]</v>
      </c>
      <c r="G72" s="34"/>
      <c r="I72" s="29">
        <v>9</v>
      </c>
      <c r="J72" t="s">
        <v>426</v>
      </c>
      <c r="K72" s="32">
        <v>2</v>
      </c>
      <c r="L72" t="s">
        <v>794</v>
      </c>
      <c r="M72">
        <v>26</v>
      </c>
      <c r="N72" s="29" t="str">
        <f t="shared" si="2"/>
        <v xml:space="preserve"> - [ ] [[2 Tm 2|Seconda Lettera di san Paolo Apostolo a Timoteo, capitolo 2]]</v>
      </c>
      <c r="O72" s="32"/>
    </row>
    <row r="73" spans="1:15" x14ac:dyDescent="0.25">
      <c r="A73" s="29">
        <v>10</v>
      </c>
      <c r="B73" t="s">
        <v>422</v>
      </c>
      <c r="C73" s="32">
        <v>1</v>
      </c>
      <c r="D73" t="s">
        <v>789</v>
      </c>
      <c r="E73">
        <v>20</v>
      </c>
      <c r="F73" s="29" t="str">
        <f t="shared" si="3"/>
        <v xml:space="preserve"> - [ ] [[1 Tm 1|Prima Lettera di san Paolo Apostolo a Timoteo, capitolo 1]]</v>
      </c>
      <c r="I73" s="29">
        <v>10</v>
      </c>
      <c r="J73" t="s">
        <v>426</v>
      </c>
      <c r="K73" s="32">
        <v>3</v>
      </c>
      <c r="L73" t="s">
        <v>794</v>
      </c>
      <c r="M73">
        <v>17</v>
      </c>
      <c r="N73" s="29" t="str">
        <f t="shared" si="2"/>
        <v xml:space="preserve"> - [ ] [[2 Tm 3|Seconda Lettera di san Paolo Apostolo a Timoteo, capitolo 3]]</v>
      </c>
      <c r="O73" s="32"/>
    </row>
    <row r="74" spans="1:15" x14ac:dyDescent="0.25">
      <c r="A74" s="29">
        <v>11</v>
      </c>
      <c r="B74" t="s">
        <v>422</v>
      </c>
      <c r="C74" s="32">
        <v>2</v>
      </c>
      <c r="D74" t="s">
        <v>789</v>
      </c>
      <c r="E74">
        <v>15</v>
      </c>
      <c r="F74" s="29" t="str">
        <f t="shared" si="3"/>
        <v xml:space="preserve"> - [ ] [[1 Tm 2|Prima Lettera di san Paolo Apostolo a Timoteo, capitolo 2]]</v>
      </c>
      <c r="I74" s="33">
        <v>11</v>
      </c>
      <c r="J74" s="37" t="s">
        <v>426</v>
      </c>
      <c r="K74" s="34">
        <v>4</v>
      </c>
      <c r="L74" s="37" t="s">
        <v>794</v>
      </c>
      <c r="M74" s="37">
        <v>22</v>
      </c>
      <c r="N74" s="33" t="str">
        <f t="shared" si="2"/>
        <v xml:space="preserve"> - [ ] [[2 Tm 4|Seconda Lettera di san Paolo Apostolo a Timoteo, capitolo 4]]</v>
      </c>
      <c r="O74" s="34"/>
    </row>
    <row r="75" spans="1:15" x14ac:dyDescent="0.25">
      <c r="A75" s="29">
        <v>12</v>
      </c>
      <c r="B75" t="s">
        <v>422</v>
      </c>
      <c r="C75" s="32">
        <v>3</v>
      </c>
      <c r="D75" t="s">
        <v>789</v>
      </c>
      <c r="E75">
        <v>16</v>
      </c>
      <c r="F75" s="29" t="str">
        <f t="shared" si="3"/>
        <v xml:space="preserve"> - [ ] [[1 Tm 3|Prima Lettera di san Paolo Apostolo a Timoteo, capitolo 3]]</v>
      </c>
      <c r="I75" s="29">
        <v>12</v>
      </c>
      <c r="J75" t="s">
        <v>34</v>
      </c>
      <c r="K75" s="32">
        <v>1</v>
      </c>
      <c r="L75" t="s">
        <v>799</v>
      </c>
      <c r="M75">
        <v>16</v>
      </c>
      <c r="N75" s="29" t="str">
        <f t="shared" si="2"/>
        <v xml:space="preserve"> - [ ] [[Tt 1|Lettera di san Paolo Apostolo a Tito, capitolo 1]]</v>
      </c>
      <c r="O75" s="32"/>
    </row>
    <row r="76" spans="1:15" x14ac:dyDescent="0.25">
      <c r="A76" s="29">
        <v>13</v>
      </c>
      <c r="B76" t="s">
        <v>422</v>
      </c>
      <c r="C76" s="32">
        <v>4</v>
      </c>
      <c r="D76" t="s">
        <v>789</v>
      </c>
      <c r="E76">
        <v>16</v>
      </c>
      <c r="F76" s="29" t="str">
        <f t="shared" si="3"/>
        <v xml:space="preserve"> - [ ] [[1 Tm 4|Prima Lettera di san Paolo Apostolo a Timoteo, capitolo 4]]</v>
      </c>
      <c r="I76" s="29">
        <v>13</v>
      </c>
      <c r="J76" t="s">
        <v>34</v>
      </c>
      <c r="K76" s="32">
        <v>2</v>
      </c>
      <c r="L76" t="s">
        <v>799</v>
      </c>
      <c r="M76">
        <v>15</v>
      </c>
      <c r="N76" s="29" t="str">
        <f t="shared" si="2"/>
        <v xml:space="preserve"> - [ ] [[Tt 2|Lettera di san Paolo Apostolo a Tito, capitolo 2]]</v>
      </c>
      <c r="O76" s="32"/>
    </row>
    <row r="77" spans="1:15" x14ac:dyDescent="0.25">
      <c r="A77" s="29">
        <v>14</v>
      </c>
      <c r="B77" t="s">
        <v>422</v>
      </c>
      <c r="C77" s="32">
        <v>5</v>
      </c>
      <c r="D77" t="s">
        <v>789</v>
      </c>
      <c r="E77">
        <v>25</v>
      </c>
      <c r="F77" s="29" t="str">
        <f t="shared" si="3"/>
        <v xml:space="preserve"> - [ ] [[1 Tm 5|Prima Lettera di san Paolo Apostolo a Timoteo, capitolo 5]]</v>
      </c>
      <c r="I77" s="33">
        <v>14</v>
      </c>
      <c r="J77" s="37" t="s">
        <v>34</v>
      </c>
      <c r="K77" s="34">
        <v>3</v>
      </c>
      <c r="L77" s="37" t="s">
        <v>799</v>
      </c>
      <c r="M77" s="37">
        <v>15</v>
      </c>
      <c r="N77" s="33" t="str">
        <f t="shared" si="2"/>
        <v xml:space="preserve"> - [ ] [[Tt 3|Lettera di san Paolo Apostolo a Tito, capitolo 3]]</v>
      </c>
      <c r="O77" s="34"/>
    </row>
    <row r="78" spans="1:15" x14ac:dyDescent="0.25">
      <c r="A78" s="33">
        <v>15</v>
      </c>
      <c r="B78" s="37" t="s">
        <v>422</v>
      </c>
      <c r="C78" s="34">
        <v>6</v>
      </c>
      <c r="D78" s="37" t="s">
        <v>789</v>
      </c>
      <c r="E78" s="37">
        <v>21</v>
      </c>
      <c r="F78" s="33" t="str">
        <f t="shared" si="3"/>
        <v xml:space="preserve"> - [ ] [[1 Tm 6|Prima Lettera di san Paolo Apostolo a Timoteo, capitolo 6]]</v>
      </c>
      <c r="G78" s="34"/>
      <c r="I78" s="29">
        <v>15</v>
      </c>
      <c r="J78" s="29" t="s">
        <v>149</v>
      </c>
      <c r="K78" s="32">
        <v>1</v>
      </c>
      <c r="L78" s="29" t="s">
        <v>856</v>
      </c>
      <c r="M78" s="29">
        <v>45</v>
      </c>
      <c r="N78" s="29" t="str">
        <f t="shared" si="2"/>
        <v xml:space="preserve"> - [ ] [[Mc 1|Vangelo di san Marco Evangelista, capitolo 1]]</v>
      </c>
      <c r="O78" s="32"/>
    </row>
    <row r="79" spans="1:15" x14ac:dyDescent="0.25">
      <c r="A79" s="29">
        <v>16</v>
      </c>
      <c r="B79" t="s">
        <v>426</v>
      </c>
      <c r="C79" s="32">
        <v>1</v>
      </c>
      <c r="D79" t="s">
        <v>794</v>
      </c>
      <c r="E79">
        <v>18</v>
      </c>
      <c r="F79" s="29" t="str">
        <f t="shared" si="3"/>
        <v xml:space="preserve"> - [ ] [[2 Tm 1|Seconda Lettera di san Paolo Apostolo a Timoteo, capitolo 1]]</v>
      </c>
      <c r="I79" s="29">
        <v>16</v>
      </c>
      <c r="J79" s="29" t="s">
        <v>149</v>
      </c>
      <c r="K79" s="32">
        <v>2</v>
      </c>
      <c r="L79" s="29" t="s">
        <v>856</v>
      </c>
      <c r="M79" s="29">
        <v>28</v>
      </c>
      <c r="N79" s="29" t="str">
        <f t="shared" si="2"/>
        <v xml:space="preserve"> - [ ] [[Mc 2|Vangelo di san Marco Evangelista, capitolo 2]]</v>
      </c>
      <c r="O79" s="32"/>
    </row>
    <row r="80" spans="1:15" x14ac:dyDescent="0.25">
      <c r="A80" s="29">
        <v>17</v>
      </c>
      <c r="B80" t="s">
        <v>426</v>
      </c>
      <c r="C80" s="32">
        <v>2</v>
      </c>
      <c r="D80" t="s">
        <v>794</v>
      </c>
      <c r="E80">
        <v>26</v>
      </c>
      <c r="F80" s="29" t="str">
        <f t="shared" si="3"/>
        <v xml:space="preserve"> - [ ] [[2 Tm 2|Seconda Lettera di san Paolo Apostolo a Timoteo, capitolo 2]]</v>
      </c>
      <c r="I80" s="29">
        <v>17</v>
      </c>
      <c r="J80" s="29" t="s">
        <v>149</v>
      </c>
      <c r="K80" s="32">
        <v>3</v>
      </c>
      <c r="L80" s="29" t="s">
        <v>856</v>
      </c>
      <c r="M80" s="29">
        <v>35</v>
      </c>
      <c r="N80" s="29" t="str">
        <f t="shared" si="2"/>
        <v xml:space="preserve"> - [ ] [[Mc 3|Vangelo di san Marco Evangelista, capitolo 3]]</v>
      </c>
      <c r="O80" s="32"/>
    </row>
    <row r="81" spans="1:15" x14ac:dyDescent="0.25">
      <c r="A81" s="29">
        <v>18</v>
      </c>
      <c r="B81" t="s">
        <v>426</v>
      </c>
      <c r="C81" s="32">
        <v>3</v>
      </c>
      <c r="D81" t="s">
        <v>794</v>
      </c>
      <c r="E81">
        <v>17</v>
      </c>
      <c r="F81" s="29" t="str">
        <f t="shared" si="3"/>
        <v xml:space="preserve"> - [ ] [[2 Tm 3|Seconda Lettera di san Paolo Apostolo a Timoteo, capitolo 3]]</v>
      </c>
      <c r="I81" s="29">
        <v>18</v>
      </c>
      <c r="J81" s="29" t="s">
        <v>149</v>
      </c>
      <c r="K81" s="32">
        <v>4</v>
      </c>
      <c r="L81" s="29" t="s">
        <v>856</v>
      </c>
      <c r="M81" s="29">
        <v>41</v>
      </c>
      <c r="N81" s="29" t="str">
        <f t="shared" si="2"/>
        <v xml:space="preserve"> - [ ] [[Mc 4|Vangelo di san Marco Evangelista, capitolo 4]]</v>
      </c>
      <c r="O81" s="32"/>
    </row>
    <row r="82" spans="1:15" x14ac:dyDescent="0.25">
      <c r="A82" s="33">
        <v>19</v>
      </c>
      <c r="B82" s="37" t="s">
        <v>426</v>
      </c>
      <c r="C82" s="34">
        <v>4</v>
      </c>
      <c r="D82" s="37" t="s">
        <v>794</v>
      </c>
      <c r="E82" s="37">
        <v>22</v>
      </c>
      <c r="F82" s="33" t="str">
        <f t="shared" si="3"/>
        <v xml:space="preserve"> - [ ] [[2 Tm 4|Seconda Lettera di san Paolo Apostolo a Timoteo, capitolo 4]]</v>
      </c>
      <c r="G82" s="34"/>
      <c r="I82" s="29">
        <v>19</v>
      </c>
      <c r="J82" s="29" t="s">
        <v>149</v>
      </c>
      <c r="K82" s="32">
        <v>5</v>
      </c>
      <c r="L82" s="29" t="s">
        <v>856</v>
      </c>
      <c r="M82" s="29">
        <v>43</v>
      </c>
      <c r="N82" s="29" t="str">
        <f t="shared" si="2"/>
        <v xml:space="preserve"> - [ ] [[Mc 5|Vangelo di san Marco Evangelista, capitolo 5]]</v>
      </c>
      <c r="O82" s="32"/>
    </row>
    <row r="83" spans="1:15" x14ac:dyDescent="0.25">
      <c r="A83" s="29">
        <v>20</v>
      </c>
      <c r="B83" t="s">
        <v>34</v>
      </c>
      <c r="C83" s="32">
        <v>1</v>
      </c>
      <c r="D83" t="s">
        <v>799</v>
      </c>
      <c r="E83">
        <v>16</v>
      </c>
      <c r="F83" s="29" t="str">
        <f t="shared" si="3"/>
        <v xml:space="preserve"> - [ ] [[Tt 1|Lettera di san Paolo Apostolo a Tito, capitolo 1]]</v>
      </c>
      <c r="I83" s="29">
        <v>20</v>
      </c>
      <c r="J83" s="29" t="s">
        <v>149</v>
      </c>
      <c r="K83" s="32">
        <v>6</v>
      </c>
      <c r="L83" s="29" t="s">
        <v>856</v>
      </c>
      <c r="M83">
        <v>56</v>
      </c>
      <c r="N83" s="29" t="str">
        <f t="shared" si="2"/>
        <v xml:space="preserve"> - [ ] [[Mc 6|Vangelo di san Marco Evangelista, capitolo 6]]</v>
      </c>
      <c r="O83" s="32"/>
    </row>
    <row r="84" spans="1:15" x14ac:dyDescent="0.25">
      <c r="A84" s="29">
        <v>21</v>
      </c>
      <c r="B84" t="s">
        <v>34</v>
      </c>
      <c r="C84" s="32">
        <v>2</v>
      </c>
      <c r="D84" t="s">
        <v>799</v>
      </c>
      <c r="E84">
        <v>15</v>
      </c>
      <c r="F84" s="29" t="str">
        <f t="shared" si="3"/>
        <v xml:space="preserve"> - [ ] [[Tt 2|Lettera di san Paolo Apostolo a Tito, capitolo 2]]</v>
      </c>
      <c r="I84" s="29">
        <v>21</v>
      </c>
      <c r="J84" s="29" t="s">
        <v>149</v>
      </c>
      <c r="K84" s="32">
        <v>7</v>
      </c>
      <c r="L84" s="29" t="s">
        <v>856</v>
      </c>
      <c r="M84">
        <v>37</v>
      </c>
      <c r="N84" s="29" t="str">
        <f t="shared" si="2"/>
        <v xml:space="preserve"> - [ ] [[Mc 7|Vangelo di san Marco Evangelista, capitolo 7]]</v>
      </c>
      <c r="O84" s="32"/>
    </row>
    <row r="85" spans="1:15" x14ac:dyDescent="0.25">
      <c r="A85" s="33">
        <v>22</v>
      </c>
      <c r="B85" s="37" t="s">
        <v>34</v>
      </c>
      <c r="C85" s="34">
        <v>3</v>
      </c>
      <c r="D85" s="37" t="s">
        <v>799</v>
      </c>
      <c r="E85" s="37">
        <v>15</v>
      </c>
      <c r="F85" s="33" t="str">
        <f t="shared" si="3"/>
        <v xml:space="preserve"> - [ ] [[Tt 3|Lettera di san Paolo Apostolo a Tito, capitolo 3]]</v>
      </c>
      <c r="G85" s="34"/>
      <c r="I85" s="29">
        <v>22</v>
      </c>
      <c r="J85" s="29" t="s">
        <v>149</v>
      </c>
      <c r="K85" s="32">
        <v>8</v>
      </c>
      <c r="L85" s="29" t="s">
        <v>856</v>
      </c>
      <c r="M85">
        <v>38</v>
      </c>
      <c r="N85" s="29" t="str">
        <f t="shared" si="2"/>
        <v xml:space="preserve"> - [ ] [[Mc 8|Vangelo di san Marco Evangelista, capitolo 8]]</v>
      </c>
      <c r="O85" s="32"/>
    </row>
    <row r="86" spans="1:15" x14ac:dyDescent="0.25">
      <c r="A86" s="33">
        <v>23</v>
      </c>
      <c r="B86" s="37" t="s">
        <v>36</v>
      </c>
      <c r="C86" s="34">
        <v>1</v>
      </c>
      <c r="D86" s="37" t="s">
        <v>804</v>
      </c>
      <c r="E86" s="37">
        <v>25</v>
      </c>
      <c r="F86" s="33" t="str">
        <f t="shared" si="3"/>
        <v xml:space="preserve"> - [ ] [[Fm 1|Lettera di san Paolo Apostolo a Filemone, capitolo 1]]</v>
      </c>
      <c r="G86" s="34"/>
      <c r="I86" s="29">
        <v>23</v>
      </c>
      <c r="J86" s="29" t="s">
        <v>149</v>
      </c>
      <c r="K86" s="32">
        <v>9</v>
      </c>
      <c r="L86" s="29" t="s">
        <v>856</v>
      </c>
      <c r="M86">
        <v>50</v>
      </c>
      <c r="N86" s="29" t="str">
        <f t="shared" si="2"/>
        <v xml:space="preserve"> - [ ] [[Mc 9|Vangelo di san Marco Evangelista, capitolo 9]]</v>
      </c>
      <c r="O86" s="32"/>
    </row>
    <row r="87" spans="1:15" x14ac:dyDescent="0.25">
      <c r="A87" s="29">
        <v>24</v>
      </c>
      <c r="B87" t="s">
        <v>150</v>
      </c>
      <c r="C87" s="32">
        <v>1</v>
      </c>
      <c r="D87" t="s">
        <v>857</v>
      </c>
      <c r="E87">
        <v>80</v>
      </c>
      <c r="F87" s="29" t="str">
        <f t="shared" si="3"/>
        <v xml:space="preserve"> - [ ] [[Lc 1|Vangelo di san Luca Evangelista, capitolo 1]]</v>
      </c>
      <c r="I87" s="29">
        <v>24</v>
      </c>
      <c r="J87" s="29" t="s">
        <v>149</v>
      </c>
      <c r="K87" s="32">
        <v>10</v>
      </c>
      <c r="L87" s="29" t="s">
        <v>856</v>
      </c>
      <c r="M87">
        <v>52</v>
      </c>
      <c r="N87" s="29" t="str">
        <f t="shared" si="2"/>
        <v xml:space="preserve"> - [ ] [[Mc 10|Vangelo di san Marco Evangelista, capitolo 10]]</v>
      </c>
      <c r="O87" s="32"/>
    </row>
    <row r="88" spans="1:15" x14ac:dyDescent="0.25">
      <c r="A88" s="29">
        <v>25</v>
      </c>
      <c r="B88" t="s">
        <v>150</v>
      </c>
      <c r="C88" s="32">
        <v>2</v>
      </c>
      <c r="D88" t="s">
        <v>857</v>
      </c>
      <c r="E88">
        <v>52</v>
      </c>
      <c r="F88" s="29" t="str">
        <f t="shared" si="3"/>
        <v xml:space="preserve"> - [ ] [[Lc 2|Vangelo di san Luca Evangelista, capitolo 2]]</v>
      </c>
      <c r="I88" s="29">
        <v>25</v>
      </c>
      <c r="J88" s="29" t="s">
        <v>149</v>
      </c>
      <c r="K88" s="32">
        <v>11</v>
      </c>
      <c r="L88" s="29" t="s">
        <v>856</v>
      </c>
      <c r="M88">
        <v>33</v>
      </c>
      <c r="N88" s="29" t="str">
        <f t="shared" si="2"/>
        <v xml:space="preserve"> - [ ] [[Mc 11|Vangelo di san Marco Evangelista, capitolo 11]]</v>
      </c>
      <c r="O88" s="32"/>
    </row>
    <row r="89" spans="1:15" x14ac:dyDescent="0.25">
      <c r="A89" s="29">
        <v>26</v>
      </c>
      <c r="B89" t="s">
        <v>150</v>
      </c>
      <c r="C89" s="32">
        <v>3</v>
      </c>
      <c r="D89" t="s">
        <v>857</v>
      </c>
      <c r="E89">
        <v>38</v>
      </c>
      <c r="F89" s="29" t="str">
        <f t="shared" si="3"/>
        <v xml:space="preserve"> - [ ] [[Lc 3|Vangelo di san Luca Evangelista, capitolo 3]]</v>
      </c>
      <c r="I89" s="29">
        <v>26</v>
      </c>
      <c r="J89" s="29" t="s">
        <v>149</v>
      </c>
      <c r="K89" s="32">
        <v>12</v>
      </c>
      <c r="L89" s="29" t="s">
        <v>856</v>
      </c>
      <c r="M89">
        <v>44</v>
      </c>
      <c r="N89" s="29" t="str">
        <f t="shared" si="2"/>
        <v xml:space="preserve"> - [ ] [[Mc 12|Vangelo di san Marco Evangelista, capitolo 12]]</v>
      </c>
      <c r="O89" s="32"/>
    </row>
    <row r="90" spans="1:15" x14ac:dyDescent="0.25">
      <c r="A90" s="29">
        <v>27</v>
      </c>
      <c r="B90" t="s">
        <v>150</v>
      </c>
      <c r="C90" s="32">
        <v>4</v>
      </c>
      <c r="D90" t="s">
        <v>857</v>
      </c>
      <c r="E90">
        <v>44</v>
      </c>
      <c r="F90" s="29" t="str">
        <f t="shared" si="3"/>
        <v xml:space="preserve"> - [ ] [[Lc 4|Vangelo di san Luca Evangelista, capitolo 4]]</v>
      </c>
      <c r="I90" s="29">
        <v>27</v>
      </c>
      <c r="J90" s="29" t="s">
        <v>149</v>
      </c>
      <c r="K90" s="32">
        <v>13</v>
      </c>
      <c r="L90" s="29" t="s">
        <v>856</v>
      </c>
      <c r="M90">
        <v>37</v>
      </c>
      <c r="N90" s="29" t="str">
        <f t="shared" si="2"/>
        <v xml:space="preserve"> - [ ] [[Mc 13|Vangelo di san Marco Evangelista, capitolo 13]]</v>
      </c>
      <c r="O90" s="32"/>
    </row>
    <row r="91" spans="1:15" x14ac:dyDescent="0.25">
      <c r="A91" s="29">
        <v>28</v>
      </c>
      <c r="B91" t="s">
        <v>150</v>
      </c>
      <c r="C91" s="32">
        <v>5</v>
      </c>
      <c r="D91" t="s">
        <v>857</v>
      </c>
      <c r="E91">
        <v>39</v>
      </c>
      <c r="F91" s="29" t="str">
        <f t="shared" si="3"/>
        <v xml:space="preserve"> - [ ] [[Lc 5|Vangelo di san Luca Evangelista, capitolo 5]]</v>
      </c>
      <c r="I91" s="29">
        <v>28</v>
      </c>
      <c r="J91" s="29" t="s">
        <v>149</v>
      </c>
      <c r="K91" s="32">
        <v>14</v>
      </c>
      <c r="L91" s="29" t="s">
        <v>856</v>
      </c>
      <c r="M91">
        <v>72</v>
      </c>
      <c r="N91" s="29" t="str">
        <f t="shared" si="2"/>
        <v xml:space="preserve"> - [ ] [[Mc 14|Vangelo di san Marco Evangelista, capitolo 14]]</v>
      </c>
      <c r="O91" s="32"/>
    </row>
    <row r="92" spans="1:15" x14ac:dyDescent="0.25">
      <c r="A92" s="29">
        <v>29</v>
      </c>
      <c r="B92" t="s">
        <v>150</v>
      </c>
      <c r="C92" s="32">
        <v>6</v>
      </c>
      <c r="D92" t="s">
        <v>857</v>
      </c>
      <c r="E92">
        <v>49</v>
      </c>
      <c r="F92" s="29" t="str">
        <f t="shared" si="3"/>
        <v xml:space="preserve"> - [ ] [[Lc 6|Vangelo di san Luca Evangelista, capitolo 6]]</v>
      </c>
      <c r="I92" s="29">
        <v>29</v>
      </c>
      <c r="J92" s="29" t="s">
        <v>149</v>
      </c>
      <c r="K92" s="32">
        <v>15</v>
      </c>
      <c r="L92" s="29" t="s">
        <v>856</v>
      </c>
      <c r="M92">
        <v>47</v>
      </c>
      <c r="N92" s="29" t="str">
        <f t="shared" si="2"/>
        <v xml:space="preserve"> - [ ] [[Mc 15|Vangelo di san Marco Evangelista, capitolo 15]]</v>
      </c>
      <c r="O92" s="32"/>
    </row>
    <row r="93" spans="1:15" x14ac:dyDescent="0.25">
      <c r="A93" s="29">
        <v>30</v>
      </c>
      <c r="B93" t="s">
        <v>150</v>
      </c>
      <c r="C93" s="32">
        <v>7</v>
      </c>
      <c r="D93" t="s">
        <v>857</v>
      </c>
      <c r="E93">
        <v>50</v>
      </c>
      <c r="F93" s="29" t="str">
        <f t="shared" si="3"/>
        <v xml:space="preserve"> - [ ] [[Lc 7|Vangelo di san Luca Evangelista, capitolo 7]]</v>
      </c>
      <c r="I93" s="33">
        <v>30</v>
      </c>
      <c r="J93" s="33" t="s">
        <v>149</v>
      </c>
      <c r="K93" s="34">
        <v>16</v>
      </c>
      <c r="L93" s="33" t="s">
        <v>856</v>
      </c>
      <c r="M93" s="37">
        <v>20</v>
      </c>
      <c r="N93" s="33" t="str">
        <f t="shared" si="2"/>
        <v xml:space="preserve"> - [ ] [[Mc 16|Vangelo di san Marco Evangelista, capitolo 16]]</v>
      </c>
      <c r="O93" s="34"/>
    </row>
    <row r="94" spans="1:15" x14ac:dyDescent="0.25">
      <c r="A94" s="29">
        <v>31</v>
      </c>
      <c r="B94" t="s">
        <v>150</v>
      </c>
      <c r="C94" s="32">
        <v>8</v>
      </c>
      <c r="D94" t="s">
        <v>857</v>
      </c>
      <c r="E94">
        <v>56</v>
      </c>
      <c r="F94" s="29" t="str">
        <f t="shared" si="3"/>
        <v xml:space="preserve"> - [ ] [[Lc 8|Vangelo di san Luca Evangelista, capitolo 8]]</v>
      </c>
      <c r="I94" s="29">
        <v>31</v>
      </c>
      <c r="J94" s="29" t="s">
        <v>18</v>
      </c>
      <c r="K94" s="32">
        <v>1</v>
      </c>
      <c r="L94" t="s">
        <v>762</v>
      </c>
      <c r="M94">
        <v>24</v>
      </c>
      <c r="N94" s="29" t="str">
        <f t="shared" si="2"/>
        <v xml:space="preserve"> - [ ] [[Gal 1|Lettera di san Paolo Apostolo ai Galati, capitolo 1]]</v>
      </c>
      <c r="O94" s="32"/>
    </row>
    <row r="95" spans="1:15" x14ac:dyDescent="0.25">
      <c r="A95" s="30" t="s">
        <v>865</v>
      </c>
      <c r="B95" t="s">
        <v>150</v>
      </c>
      <c r="C95" s="32">
        <v>9</v>
      </c>
      <c r="D95" t="s">
        <v>857</v>
      </c>
      <c r="E95">
        <v>62</v>
      </c>
      <c r="F95" s="29" t="str">
        <f t="shared" si="3"/>
        <v xml:space="preserve"> - [ ] [[Lc 9|Vangelo di san Luca Evangelista, capitolo 9]]</v>
      </c>
      <c r="I95" s="30" t="s">
        <v>865</v>
      </c>
      <c r="J95" s="29" t="s">
        <v>18</v>
      </c>
      <c r="K95" s="32">
        <v>2</v>
      </c>
      <c r="L95" t="s">
        <v>762</v>
      </c>
      <c r="M95">
        <v>21</v>
      </c>
      <c r="N95" s="29" t="str">
        <f t="shared" si="2"/>
        <v xml:space="preserve"> - [ ] [[Gal 2|Lettera di san Paolo Apostolo ai Galati, capitolo 2]]</v>
      </c>
      <c r="O95" s="32"/>
    </row>
    <row r="96" spans="1:15" x14ac:dyDescent="0.25">
      <c r="A96" s="29">
        <v>1</v>
      </c>
      <c r="B96" t="s">
        <v>150</v>
      </c>
      <c r="C96" s="32">
        <v>10</v>
      </c>
      <c r="D96" t="s">
        <v>857</v>
      </c>
      <c r="E96">
        <v>42</v>
      </c>
      <c r="F96" s="29" t="str">
        <f t="shared" si="3"/>
        <v xml:space="preserve"> - [ ] [[Lc 10|Vangelo di san Luca Evangelista, capitolo 10]]</v>
      </c>
      <c r="I96" s="29">
        <v>1</v>
      </c>
      <c r="J96" s="29" t="s">
        <v>18</v>
      </c>
      <c r="K96" s="32">
        <v>3</v>
      </c>
      <c r="L96" t="s">
        <v>762</v>
      </c>
      <c r="M96">
        <v>29</v>
      </c>
      <c r="N96" s="29" t="str">
        <f t="shared" si="2"/>
        <v xml:space="preserve"> - [ ] [[Gal 3|Lettera di san Paolo Apostolo ai Galati, capitolo 3]]</v>
      </c>
      <c r="O96" s="32"/>
    </row>
    <row r="97" spans="1:15" x14ac:dyDescent="0.25">
      <c r="A97" s="29">
        <v>2</v>
      </c>
      <c r="B97" t="s">
        <v>150</v>
      </c>
      <c r="C97" s="32">
        <v>11</v>
      </c>
      <c r="D97" t="s">
        <v>857</v>
      </c>
      <c r="E97">
        <v>54</v>
      </c>
      <c r="F97" s="29" t="str">
        <f t="shared" si="3"/>
        <v xml:space="preserve"> - [ ] [[Lc 11|Vangelo di san Luca Evangelista, capitolo 11]]</v>
      </c>
      <c r="I97" s="29">
        <v>2</v>
      </c>
      <c r="J97" s="29" t="s">
        <v>18</v>
      </c>
      <c r="K97" s="32">
        <v>4</v>
      </c>
      <c r="L97" t="s">
        <v>762</v>
      </c>
      <c r="M97">
        <v>31</v>
      </c>
      <c r="N97" s="29" t="str">
        <f t="shared" si="2"/>
        <v xml:space="preserve"> - [ ] [[Gal 4|Lettera di san Paolo Apostolo ai Galati, capitolo 4]]</v>
      </c>
      <c r="O97" s="32"/>
    </row>
    <row r="98" spans="1:15" x14ac:dyDescent="0.25">
      <c r="A98" s="29">
        <v>3</v>
      </c>
      <c r="B98" t="s">
        <v>150</v>
      </c>
      <c r="C98" s="32">
        <v>12</v>
      </c>
      <c r="D98" t="s">
        <v>857</v>
      </c>
      <c r="E98">
        <v>59</v>
      </c>
      <c r="F98" s="29" t="str">
        <f t="shared" si="3"/>
        <v xml:space="preserve"> - [ ] [[Lc 12|Vangelo di san Luca Evangelista, capitolo 12]]</v>
      </c>
      <c r="I98" s="29">
        <v>3</v>
      </c>
      <c r="J98" s="29" t="s">
        <v>18</v>
      </c>
      <c r="K98" s="32">
        <v>5</v>
      </c>
      <c r="L98" t="s">
        <v>762</v>
      </c>
      <c r="M98">
        <v>26</v>
      </c>
      <c r="N98" s="29" t="str">
        <f t="shared" si="2"/>
        <v xml:space="preserve"> - [ ] [[Gal 5|Lettera di san Paolo Apostolo ai Galati, capitolo 5]]</v>
      </c>
      <c r="O98" s="32"/>
    </row>
    <row r="99" spans="1:15" x14ac:dyDescent="0.25">
      <c r="A99" s="29">
        <v>4</v>
      </c>
      <c r="B99" t="s">
        <v>150</v>
      </c>
      <c r="C99" s="32">
        <v>13</v>
      </c>
      <c r="D99" t="s">
        <v>857</v>
      </c>
      <c r="E99">
        <v>35</v>
      </c>
      <c r="F99" s="29" t="str">
        <f t="shared" si="3"/>
        <v xml:space="preserve"> - [ ] [[Lc 13|Vangelo di san Luca Evangelista, capitolo 13]]</v>
      </c>
      <c r="I99" s="33">
        <v>4</v>
      </c>
      <c r="J99" s="33" t="s">
        <v>18</v>
      </c>
      <c r="K99" s="34">
        <v>6</v>
      </c>
      <c r="L99" s="37" t="s">
        <v>762</v>
      </c>
      <c r="M99" s="37">
        <v>18</v>
      </c>
      <c r="N99" s="33" t="str">
        <f t="shared" si="2"/>
        <v xml:space="preserve"> - [ ] [[Gal 6|Lettera di san Paolo Apostolo ai Galati, capitolo 6]]</v>
      </c>
      <c r="O99" s="34"/>
    </row>
    <row r="100" spans="1:15" x14ac:dyDescent="0.25">
      <c r="A100" s="29">
        <v>5</v>
      </c>
      <c r="B100" t="s">
        <v>150</v>
      </c>
      <c r="C100" s="32">
        <v>14</v>
      </c>
      <c r="D100" t="s">
        <v>857</v>
      </c>
      <c r="E100">
        <v>35</v>
      </c>
      <c r="F100" s="29" t="str">
        <f t="shared" si="3"/>
        <v xml:space="preserve"> - [ ] [[Lc 14|Vangelo di san Luca Evangelista, capitolo 14]]</v>
      </c>
      <c r="I100" s="29">
        <v>5</v>
      </c>
      <c r="J100" s="29" t="s">
        <v>19</v>
      </c>
      <c r="K100" s="32">
        <v>1</v>
      </c>
      <c r="L100" t="s">
        <v>766</v>
      </c>
      <c r="M100">
        <v>23</v>
      </c>
      <c r="N100" s="29" t="str">
        <f t="shared" si="2"/>
        <v xml:space="preserve"> - [ ] [[Ef 1|Lettera di san Paolo Apostolo agli Efesini, capitolo 1]]</v>
      </c>
      <c r="O100" s="32"/>
    </row>
    <row r="101" spans="1:15" x14ac:dyDescent="0.25">
      <c r="A101" s="29">
        <v>6</v>
      </c>
      <c r="B101" t="s">
        <v>150</v>
      </c>
      <c r="C101" s="32">
        <v>15</v>
      </c>
      <c r="D101" t="s">
        <v>857</v>
      </c>
      <c r="E101">
        <v>32</v>
      </c>
      <c r="F101" s="29" t="str">
        <f t="shared" si="3"/>
        <v xml:space="preserve"> - [ ] [[Lc 15|Vangelo di san Luca Evangelista, capitolo 15]]</v>
      </c>
      <c r="I101" s="29">
        <v>6</v>
      </c>
      <c r="J101" s="29" t="s">
        <v>19</v>
      </c>
      <c r="K101" s="32">
        <v>2</v>
      </c>
      <c r="L101" t="s">
        <v>766</v>
      </c>
      <c r="M101">
        <v>22</v>
      </c>
      <c r="N101" s="29" t="str">
        <f t="shared" si="2"/>
        <v xml:space="preserve"> - [ ] [[Ef 2|Lettera di san Paolo Apostolo agli Efesini, capitolo 2]]</v>
      </c>
      <c r="O101" s="32"/>
    </row>
    <row r="102" spans="1:15" x14ac:dyDescent="0.25">
      <c r="A102" s="29">
        <v>7</v>
      </c>
      <c r="B102" t="s">
        <v>150</v>
      </c>
      <c r="C102" s="32">
        <v>16</v>
      </c>
      <c r="D102" t="s">
        <v>857</v>
      </c>
      <c r="E102">
        <v>31</v>
      </c>
      <c r="F102" s="29" t="str">
        <f t="shared" si="3"/>
        <v xml:space="preserve"> - [ ] [[Lc 16|Vangelo di san Luca Evangelista, capitolo 16]]</v>
      </c>
      <c r="I102" s="29">
        <v>7</v>
      </c>
      <c r="J102" s="29" t="s">
        <v>19</v>
      </c>
      <c r="K102" s="32">
        <v>3</v>
      </c>
      <c r="L102" t="s">
        <v>766</v>
      </c>
      <c r="M102">
        <v>21</v>
      </c>
      <c r="N102" s="29" t="str">
        <f t="shared" si="2"/>
        <v xml:space="preserve"> - [ ] [[Ef 3|Lettera di san Paolo Apostolo agli Efesini, capitolo 3]]</v>
      </c>
      <c r="O102" s="32"/>
    </row>
    <row r="103" spans="1:15" x14ac:dyDescent="0.25">
      <c r="A103" s="29">
        <v>8</v>
      </c>
      <c r="B103" t="s">
        <v>150</v>
      </c>
      <c r="C103" s="32">
        <v>17</v>
      </c>
      <c r="D103" t="s">
        <v>857</v>
      </c>
      <c r="E103">
        <v>37</v>
      </c>
      <c r="F103" s="29" t="str">
        <f t="shared" si="3"/>
        <v xml:space="preserve"> - [ ] [[Lc 17|Vangelo di san Luca Evangelista, capitolo 17]]</v>
      </c>
      <c r="I103" s="29">
        <v>8</v>
      </c>
      <c r="J103" s="29" t="s">
        <v>19</v>
      </c>
      <c r="K103" s="32">
        <v>4</v>
      </c>
      <c r="L103" t="s">
        <v>766</v>
      </c>
      <c r="M103">
        <v>32</v>
      </c>
      <c r="N103" s="29" t="str">
        <f t="shared" si="2"/>
        <v xml:space="preserve"> - [ ] [[Ef 4|Lettera di san Paolo Apostolo agli Efesini, capitolo 4]]</v>
      </c>
      <c r="O103" s="32"/>
    </row>
    <row r="104" spans="1:15" x14ac:dyDescent="0.25">
      <c r="A104" s="29">
        <v>9</v>
      </c>
      <c r="B104" t="s">
        <v>150</v>
      </c>
      <c r="C104" s="32">
        <v>18</v>
      </c>
      <c r="D104" t="s">
        <v>857</v>
      </c>
      <c r="E104">
        <v>43</v>
      </c>
      <c r="F104" s="29" t="str">
        <f t="shared" si="3"/>
        <v xml:space="preserve"> - [ ] [[Lc 18|Vangelo di san Luca Evangelista, capitolo 18]]</v>
      </c>
      <c r="I104" s="29">
        <v>9</v>
      </c>
      <c r="J104" s="29" t="s">
        <v>19</v>
      </c>
      <c r="K104" s="32">
        <v>5</v>
      </c>
      <c r="L104" t="s">
        <v>766</v>
      </c>
      <c r="M104">
        <v>33</v>
      </c>
      <c r="N104" s="29" t="str">
        <f t="shared" si="2"/>
        <v xml:space="preserve"> - [ ] [[Ef 5|Lettera di san Paolo Apostolo agli Efesini, capitolo 5]]</v>
      </c>
      <c r="O104" s="32"/>
    </row>
    <row r="105" spans="1:15" x14ac:dyDescent="0.25">
      <c r="A105" s="29">
        <v>10</v>
      </c>
      <c r="B105" t="s">
        <v>150</v>
      </c>
      <c r="C105" s="32">
        <v>19</v>
      </c>
      <c r="D105" t="s">
        <v>857</v>
      </c>
      <c r="E105">
        <v>48</v>
      </c>
      <c r="F105" s="29" t="str">
        <f t="shared" si="3"/>
        <v xml:space="preserve"> - [ ] [[Lc 19|Vangelo di san Luca Evangelista, capitolo 19]]</v>
      </c>
      <c r="I105" s="33">
        <v>10</v>
      </c>
      <c r="J105" s="33" t="s">
        <v>19</v>
      </c>
      <c r="K105" s="34">
        <v>6</v>
      </c>
      <c r="L105" s="37" t="s">
        <v>766</v>
      </c>
      <c r="M105" s="37">
        <v>24</v>
      </c>
      <c r="N105" s="33" t="str">
        <f t="shared" si="2"/>
        <v xml:space="preserve"> - [ ] [[Ef 6|Lettera di san Paolo Apostolo agli Efesini, capitolo 6]]</v>
      </c>
      <c r="O105" s="34"/>
    </row>
    <row r="106" spans="1:15" x14ac:dyDescent="0.25">
      <c r="A106" s="29">
        <v>11</v>
      </c>
      <c r="B106" t="s">
        <v>150</v>
      </c>
      <c r="C106" s="32">
        <v>20</v>
      </c>
      <c r="D106" t="s">
        <v>857</v>
      </c>
      <c r="E106">
        <v>47</v>
      </c>
      <c r="F106" s="29" t="str">
        <f t="shared" si="3"/>
        <v xml:space="preserve"> - [ ] [[Lc 20|Vangelo di san Luca Evangelista, capitolo 20]]</v>
      </c>
      <c r="I106" s="29">
        <v>11</v>
      </c>
      <c r="J106" s="29" t="s">
        <v>22</v>
      </c>
      <c r="K106" s="32">
        <v>1</v>
      </c>
      <c r="L106" t="s">
        <v>770</v>
      </c>
      <c r="M106">
        <v>30</v>
      </c>
      <c r="N106" s="29" t="str">
        <f t="shared" si="2"/>
        <v xml:space="preserve"> - [ ] [[Fil 1|Lettera di san Paolo Apostolo ai Filippesi, capitolo 1]]</v>
      </c>
      <c r="O106" s="32"/>
    </row>
    <row r="107" spans="1:15" x14ac:dyDescent="0.25">
      <c r="A107" s="29">
        <v>12</v>
      </c>
      <c r="B107" t="s">
        <v>150</v>
      </c>
      <c r="C107" s="32">
        <v>21</v>
      </c>
      <c r="D107" t="s">
        <v>857</v>
      </c>
      <c r="E107">
        <v>38</v>
      </c>
      <c r="F107" s="29" t="str">
        <f t="shared" si="3"/>
        <v xml:space="preserve"> - [ ] [[Lc 21|Vangelo di san Luca Evangelista, capitolo 21]]</v>
      </c>
      <c r="I107" s="29">
        <v>12</v>
      </c>
      <c r="J107" s="29" t="s">
        <v>22</v>
      </c>
      <c r="K107" s="32">
        <v>2</v>
      </c>
      <c r="L107" t="s">
        <v>770</v>
      </c>
      <c r="M107">
        <v>30</v>
      </c>
      <c r="N107" s="29" t="str">
        <f t="shared" si="2"/>
        <v xml:space="preserve"> - [ ] [[Fil 2|Lettera di san Paolo Apostolo ai Filippesi, capitolo 2]]</v>
      </c>
      <c r="O107" s="32"/>
    </row>
    <row r="108" spans="1:15" x14ac:dyDescent="0.25">
      <c r="A108" s="29">
        <v>13</v>
      </c>
      <c r="B108" t="s">
        <v>150</v>
      </c>
      <c r="C108" s="32">
        <v>22</v>
      </c>
      <c r="D108" t="s">
        <v>857</v>
      </c>
      <c r="E108">
        <v>71</v>
      </c>
      <c r="F108" s="29" t="str">
        <f t="shared" si="3"/>
        <v xml:space="preserve"> - [ ] [[Lc 22|Vangelo di san Luca Evangelista, capitolo 22]]</v>
      </c>
      <c r="I108" s="29">
        <v>13</v>
      </c>
      <c r="J108" s="29" t="s">
        <v>22</v>
      </c>
      <c r="K108" s="32">
        <v>3</v>
      </c>
      <c r="L108" t="s">
        <v>770</v>
      </c>
      <c r="M108">
        <v>21</v>
      </c>
      <c r="N108" s="29" t="str">
        <f t="shared" si="2"/>
        <v xml:space="preserve"> - [ ] [[Fil 3|Lettera di san Paolo Apostolo ai Filippesi, capitolo 3]]</v>
      </c>
      <c r="O108" s="32"/>
    </row>
    <row r="109" spans="1:15" x14ac:dyDescent="0.25">
      <c r="A109" s="29">
        <v>14</v>
      </c>
      <c r="B109" t="s">
        <v>150</v>
      </c>
      <c r="C109" s="32">
        <v>23</v>
      </c>
      <c r="D109" t="s">
        <v>857</v>
      </c>
      <c r="E109">
        <v>56</v>
      </c>
      <c r="F109" s="29" t="str">
        <f t="shared" si="3"/>
        <v xml:space="preserve"> - [ ] [[Lc 23|Vangelo di san Luca Evangelista, capitolo 23]]</v>
      </c>
      <c r="I109" s="33">
        <v>14</v>
      </c>
      <c r="J109" s="33" t="s">
        <v>22</v>
      </c>
      <c r="K109" s="34">
        <v>4</v>
      </c>
      <c r="L109" s="37" t="s">
        <v>770</v>
      </c>
      <c r="M109" s="37">
        <v>23</v>
      </c>
      <c r="N109" s="33" t="str">
        <f t="shared" si="2"/>
        <v xml:space="preserve"> - [ ] [[Fil 4|Lettera di san Paolo Apostolo ai Filippesi, capitolo 4]]</v>
      </c>
      <c r="O109" s="34"/>
    </row>
    <row r="110" spans="1:15" x14ac:dyDescent="0.25">
      <c r="A110" s="33">
        <v>15</v>
      </c>
      <c r="B110" s="37" t="s">
        <v>150</v>
      </c>
      <c r="C110" s="34">
        <v>24</v>
      </c>
      <c r="D110" s="37" t="s">
        <v>857</v>
      </c>
      <c r="E110" s="37">
        <v>53</v>
      </c>
      <c r="F110" s="33" t="str">
        <f t="shared" si="3"/>
        <v xml:space="preserve"> - [ ] [[Lc 24|Vangelo di san Luca Evangelista, capitolo 24]]</v>
      </c>
      <c r="G110" s="34"/>
      <c r="I110" s="29">
        <v>15</v>
      </c>
      <c r="J110" s="29" t="s">
        <v>23</v>
      </c>
      <c r="K110" s="32">
        <v>1</v>
      </c>
      <c r="L110" t="s">
        <v>775</v>
      </c>
      <c r="M110">
        <v>29</v>
      </c>
      <c r="N110" s="29" t="str">
        <f t="shared" si="2"/>
        <v xml:space="preserve"> - [ ] [[Col 1|Lettera di san Paolo Apostolo ai Colossesi, capitolo 1]]</v>
      </c>
      <c r="O110" s="32"/>
    </row>
    <row r="111" spans="1:15" x14ac:dyDescent="0.25">
      <c r="A111" s="29">
        <v>16</v>
      </c>
      <c r="B111" t="s">
        <v>6</v>
      </c>
      <c r="C111" s="32">
        <v>1</v>
      </c>
      <c r="D111" t="s">
        <v>10</v>
      </c>
      <c r="E111">
        <v>25</v>
      </c>
      <c r="F111" s="29" t="str">
        <f t="shared" si="3"/>
        <v xml:space="preserve"> - [ ] [[At 1|Atti degli Apostoli, capitolo 1]]</v>
      </c>
      <c r="I111" s="29">
        <v>16</v>
      </c>
      <c r="J111" s="29" t="s">
        <v>23</v>
      </c>
      <c r="K111" s="32">
        <v>2</v>
      </c>
      <c r="L111" t="s">
        <v>775</v>
      </c>
      <c r="M111">
        <v>23</v>
      </c>
      <c r="N111" s="29" t="str">
        <f t="shared" si="2"/>
        <v xml:space="preserve"> - [ ] [[Col 2|Lettera di san Paolo Apostolo ai Colossesi, capitolo 2]]</v>
      </c>
      <c r="O111" s="32"/>
    </row>
    <row r="112" spans="1:15" x14ac:dyDescent="0.25">
      <c r="A112" s="29">
        <v>17</v>
      </c>
      <c r="B112" t="s">
        <v>6</v>
      </c>
      <c r="C112" s="32">
        <v>2</v>
      </c>
      <c r="D112" t="s">
        <v>10</v>
      </c>
      <c r="E112">
        <v>47</v>
      </c>
      <c r="F112" s="29" t="str">
        <f t="shared" si="3"/>
        <v xml:space="preserve"> - [ ] [[At 2|Atti degli Apostoli, capitolo 2]]</v>
      </c>
      <c r="I112" s="29">
        <v>17</v>
      </c>
      <c r="J112" s="29" t="s">
        <v>23</v>
      </c>
      <c r="K112" s="32">
        <v>3</v>
      </c>
      <c r="L112" t="s">
        <v>775</v>
      </c>
      <c r="M112">
        <v>25</v>
      </c>
      <c r="N112" s="29" t="str">
        <f t="shared" si="2"/>
        <v xml:space="preserve"> - [ ] [[Col 3|Lettera di san Paolo Apostolo ai Colossesi, capitolo 3]]</v>
      </c>
      <c r="O112" s="32"/>
    </row>
    <row r="113" spans="1:15" x14ac:dyDescent="0.25">
      <c r="A113" s="29">
        <v>18</v>
      </c>
      <c r="B113" t="s">
        <v>6</v>
      </c>
      <c r="C113" s="32">
        <v>3</v>
      </c>
      <c r="D113" t="s">
        <v>10</v>
      </c>
      <c r="E113">
        <v>26</v>
      </c>
      <c r="F113" s="29" t="str">
        <f t="shared" si="3"/>
        <v xml:space="preserve"> - [ ] [[At 3|Atti degli Apostoli, capitolo 3]]</v>
      </c>
      <c r="I113" s="29">
        <v>18</v>
      </c>
      <c r="J113" s="29" t="s">
        <v>23</v>
      </c>
      <c r="K113" s="32">
        <v>4</v>
      </c>
      <c r="L113" t="s">
        <v>775</v>
      </c>
      <c r="M113">
        <v>18</v>
      </c>
      <c r="N113" s="29" t="str">
        <f t="shared" si="2"/>
        <v xml:space="preserve"> - [ ] [[Col 4|Lettera di san Paolo Apostolo ai Colossesi, capitolo 4]]</v>
      </c>
      <c r="O113" s="32"/>
    </row>
    <row r="114" spans="1:15" x14ac:dyDescent="0.25">
      <c r="A114" s="29">
        <v>19</v>
      </c>
      <c r="B114" t="s">
        <v>6</v>
      </c>
      <c r="C114" s="32">
        <v>4</v>
      </c>
      <c r="D114" t="s">
        <v>10</v>
      </c>
      <c r="E114">
        <v>37</v>
      </c>
      <c r="F114" s="29" t="str">
        <f t="shared" si="3"/>
        <v xml:space="preserve"> - [ ] [[At 4|Atti degli Apostoli, capitolo 4]]</v>
      </c>
      <c r="I114" s="29">
        <v>19</v>
      </c>
      <c r="J114" t="s">
        <v>414</v>
      </c>
      <c r="K114" s="32">
        <v>1</v>
      </c>
      <c r="L114" t="s">
        <v>779</v>
      </c>
      <c r="M114">
        <v>10</v>
      </c>
      <c r="N114" s="29" t="str">
        <f t="shared" si="2"/>
        <v xml:space="preserve"> - [ ] [[1 Ts 1|Prima Lettera di san Paolo Apostolo ai Tessalonicesi, capitolo 1]]</v>
      </c>
      <c r="O114" s="32"/>
    </row>
    <row r="115" spans="1:15" x14ac:dyDescent="0.25">
      <c r="A115" s="29">
        <v>20</v>
      </c>
      <c r="B115" t="s">
        <v>6</v>
      </c>
      <c r="C115" s="32">
        <v>5</v>
      </c>
      <c r="D115" t="s">
        <v>10</v>
      </c>
      <c r="E115">
        <v>42</v>
      </c>
      <c r="F115" s="29" t="str">
        <f t="shared" si="3"/>
        <v xml:space="preserve"> - [ ] [[At 5|Atti degli Apostoli, capitolo 5]]</v>
      </c>
      <c r="I115" s="29">
        <v>20</v>
      </c>
      <c r="J115" t="s">
        <v>414</v>
      </c>
      <c r="K115" s="32">
        <v>2</v>
      </c>
      <c r="L115" t="s">
        <v>779</v>
      </c>
      <c r="M115">
        <v>20</v>
      </c>
      <c r="N115" s="29" t="str">
        <f t="shared" si="2"/>
        <v xml:space="preserve"> - [ ] [[1 Ts 2|Prima Lettera di san Paolo Apostolo ai Tessalonicesi, capitolo 2]]</v>
      </c>
      <c r="O115" s="32"/>
    </row>
    <row r="116" spans="1:15" x14ac:dyDescent="0.25">
      <c r="A116" s="29">
        <v>21</v>
      </c>
      <c r="B116" t="s">
        <v>6</v>
      </c>
      <c r="C116" s="32">
        <v>6</v>
      </c>
      <c r="D116" t="s">
        <v>10</v>
      </c>
      <c r="E116">
        <v>15</v>
      </c>
      <c r="F116" s="29" t="str">
        <f t="shared" si="3"/>
        <v xml:space="preserve"> - [ ] [[At 6|Atti degli Apostoli, capitolo 6]]</v>
      </c>
      <c r="I116" s="29">
        <v>21</v>
      </c>
      <c r="J116" t="s">
        <v>414</v>
      </c>
      <c r="K116" s="32">
        <v>3</v>
      </c>
      <c r="L116" t="s">
        <v>779</v>
      </c>
      <c r="M116">
        <v>13</v>
      </c>
      <c r="N116" s="29" t="str">
        <f t="shared" si="2"/>
        <v xml:space="preserve"> - [ ] [[1 Ts 3|Prima Lettera di san Paolo Apostolo ai Tessalonicesi, capitolo 3]]</v>
      </c>
      <c r="O116" s="32"/>
    </row>
    <row r="117" spans="1:15" x14ac:dyDescent="0.25">
      <c r="A117" s="29">
        <v>22</v>
      </c>
      <c r="B117" t="s">
        <v>6</v>
      </c>
      <c r="C117" s="32">
        <v>7</v>
      </c>
      <c r="D117" t="s">
        <v>10</v>
      </c>
      <c r="E117">
        <v>60</v>
      </c>
      <c r="F117" s="29" t="str">
        <f t="shared" si="3"/>
        <v xml:space="preserve"> - [ ] [[At 7|Atti degli Apostoli, capitolo 7]]</v>
      </c>
      <c r="I117" s="29">
        <v>22</v>
      </c>
      <c r="J117" t="s">
        <v>414</v>
      </c>
      <c r="K117" s="32">
        <v>4</v>
      </c>
      <c r="L117" t="s">
        <v>779</v>
      </c>
      <c r="M117">
        <v>18</v>
      </c>
      <c r="N117" s="29" t="str">
        <f t="shared" si="2"/>
        <v xml:space="preserve"> - [ ] [[1 Ts 4|Prima Lettera di san Paolo Apostolo ai Tessalonicesi, capitolo 4]]</v>
      </c>
      <c r="O117" s="32"/>
    </row>
    <row r="118" spans="1:15" x14ac:dyDescent="0.25">
      <c r="A118" s="29">
        <v>23</v>
      </c>
      <c r="B118" t="s">
        <v>6</v>
      </c>
      <c r="C118" s="32">
        <v>8</v>
      </c>
      <c r="D118" t="s">
        <v>10</v>
      </c>
      <c r="E118">
        <v>40</v>
      </c>
      <c r="F118" s="29" t="str">
        <f t="shared" si="3"/>
        <v xml:space="preserve"> - [ ] [[At 8|Atti degli Apostoli, capitolo 8]]</v>
      </c>
      <c r="I118" s="33">
        <v>23</v>
      </c>
      <c r="J118" s="37" t="s">
        <v>414</v>
      </c>
      <c r="K118" s="34">
        <v>5</v>
      </c>
      <c r="L118" s="37" t="s">
        <v>779</v>
      </c>
      <c r="M118" s="37">
        <v>28</v>
      </c>
      <c r="N118" s="33" t="str">
        <f t="shared" si="2"/>
        <v xml:space="preserve"> - [ ] [[1 Ts 5|Prima Lettera di san Paolo Apostolo ai Tessalonicesi, capitolo 5]]</v>
      </c>
      <c r="O118" s="34"/>
    </row>
    <row r="119" spans="1:15" x14ac:dyDescent="0.25">
      <c r="A119" s="29">
        <v>24</v>
      </c>
      <c r="B119" t="s">
        <v>6</v>
      </c>
      <c r="C119" s="32">
        <v>9</v>
      </c>
      <c r="D119" t="s">
        <v>10</v>
      </c>
      <c r="E119">
        <v>43</v>
      </c>
      <c r="F119" s="29" t="str">
        <f t="shared" si="3"/>
        <v xml:space="preserve"> - [ ] [[At 9|Atti degli Apostoli, capitolo 9]]</v>
      </c>
      <c r="I119" s="29">
        <v>24</v>
      </c>
      <c r="J119" t="s">
        <v>418</v>
      </c>
      <c r="K119" s="32">
        <v>1</v>
      </c>
      <c r="L119" t="s">
        <v>784</v>
      </c>
      <c r="M119">
        <v>12</v>
      </c>
      <c r="N119" s="29" t="str">
        <f t="shared" si="2"/>
        <v xml:space="preserve"> - [ ] [[2 Ts 1|Seconda Lettera di san Paolo Apostolo ai Tessalonicesi, capitolo 1]]</v>
      </c>
      <c r="O119" s="32"/>
    </row>
    <row r="120" spans="1:15" x14ac:dyDescent="0.25">
      <c r="A120" s="29">
        <v>25</v>
      </c>
      <c r="B120" t="s">
        <v>6</v>
      </c>
      <c r="C120" s="32">
        <v>10</v>
      </c>
      <c r="D120" t="s">
        <v>10</v>
      </c>
      <c r="E120">
        <v>48</v>
      </c>
      <c r="F120" s="29" t="str">
        <f t="shared" si="3"/>
        <v xml:space="preserve"> - [ ] [[At 10|Atti degli Apostoli, capitolo 10]]</v>
      </c>
      <c r="I120" s="29">
        <v>25</v>
      </c>
      <c r="J120" t="s">
        <v>418</v>
      </c>
      <c r="K120" s="32">
        <v>2</v>
      </c>
      <c r="L120" t="s">
        <v>784</v>
      </c>
      <c r="M120">
        <v>17</v>
      </c>
      <c r="N120" s="29" t="str">
        <f t="shared" si="2"/>
        <v xml:space="preserve"> - [ ] [[2 Ts 2|Seconda Lettera di san Paolo Apostolo ai Tessalonicesi, capitolo 2]]</v>
      </c>
      <c r="O120" s="32"/>
    </row>
    <row r="121" spans="1:15" x14ac:dyDescent="0.25">
      <c r="A121" s="29">
        <v>26</v>
      </c>
      <c r="B121" t="s">
        <v>6</v>
      </c>
      <c r="C121" s="32">
        <v>11</v>
      </c>
      <c r="D121" t="s">
        <v>10</v>
      </c>
      <c r="E121">
        <v>30</v>
      </c>
      <c r="F121" s="29" t="str">
        <f t="shared" si="3"/>
        <v xml:space="preserve"> - [ ] [[At 11|Atti degli Apostoli, capitolo 11]]</v>
      </c>
      <c r="I121" s="33">
        <v>26</v>
      </c>
      <c r="J121" s="37" t="s">
        <v>418</v>
      </c>
      <c r="K121" s="34">
        <v>3</v>
      </c>
      <c r="L121" s="37" t="s">
        <v>784</v>
      </c>
      <c r="M121" s="37">
        <v>18</v>
      </c>
      <c r="N121" s="33" t="str">
        <f t="shared" si="2"/>
        <v xml:space="preserve"> - [ ] [[2 Ts 3|Seconda Lettera di san Paolo Apostolo ai Tessalonicesi, capitolo 3]]</v>
      </c>
      <c r="O121" s="34"/>
    </row>
    <row r="122" spans="1:15" x14ac:dyDescent="0.25">
      <c r="A122" s="29">
        <v>27</v>
      </c>
      <c r="B122" t="s">
        <v>6</v>
      </c>
      <c r="C122" s="32">
        <v>12</v>
      </c>
      <c r="D122" t="s">
        <v>10</v>
      </c>
      <c r="E122">
        <v>25</v>
      </c>
      <c r="F122" s="29" t="str">
        <f t="shared" si="3"/>
        <v xml:space="preserve"> - [ ] [[At 12|Atti degli Apostoli, capitolo 12]]</v>
      </c>
      <c r="I122" s="33">
        <v>27</v>
      </c>
      <c r="J122" s="37" t="s">
        <v>36</v>
      </c>
      <c r="K122" s="34">
        <v>1</v>
      </c>
      <c r="L122" s="37" t="s">
        <v>804</v>
      </c>
      <c r="M122" s="37">
        <v>25</v>
      </c>
      <c r="N122" s="33" t="str">
        <f t="shared" ref="N122:N144" si="4">_xlfn.CONCAT(" - [ ] [[",J122," ",K122,"|",L122,", capitolo ",K122,"]]")</f>
        <v xml:space="preserve"> - [ ] [[Fm 1|Lettera di san Paolo Apostolo a Filemone, capitolo 1]]</v>
      </c>
      <c r="O122" s="34"/>
    </row>
    <row r="123" spans="1:15" x14ac:dyDescent="0.25">
      <c r="A123" s="29">
        <v>28</v>
      </c>
      <c r="B123" t="s">
        <v>6</v>
      </c>
      <c r="C123" s="32">
        <v>13</v>
      </c>
      <c r="D123" t="s">
        <v>10</v>
      </c>
      <c r="E123">
        <v>52</v>
      </c>
      <c r="F123" s="29" t="str">
        <f t="shared" si="3"/>
        <v xml:space="preserve"> - [ ] [[At 13|Atti degli Apostoli, capitolo 13]]</v>
      </c>
      <c r="I123" s="33">
        <v>28</v>
      </c>
      <c r="J123" s="37" t="s">
        <v>53</v>
      </c>
      <c r="K123" s="34">
        <v>1</v>
      </c>
      <c r="L123" s="37" t="s">
        <v>845</v>
      </c>
      <c r="M123" s="37">
        <v>25</v>
      </c>
      <c r="N123" s="33" t="str">
        <f t="shared" si="4"/>
        <v xml:space="preserve"> - [ ] [[Gd 1|Lettera di san Giuda Apostolo, capitolo 1]]</v>
      </c>
      <c r="O123" s="34"/>
    </row>
    <row r="124" spans="1:15" x14ac:dyDescent="0.25">
      <c r="A124" s="29">
        <v>29</v>
      </c>
      <c r="B124" t="s">
        <v>6</v>
      </c>
      <c r="C124" s="32">
        <v>14</v>
      </c>
      <c r="D124" t="s">
        <v>10</v>
      </c>
      <c r="E124">
        <v>28</v>
      </c>
      <c r="F124" s="29" t="str">
        <f t="shared" si="3"/>
        <v xml:space="preserve"> - [ ] [[At 14|Atti degli Apostoli, capitolo 14]]</v>
      </c>
      <c r="I124" s="29">
        <v>29</v>
      </c>
      <c r="J124" s="29" t="s">
        <v>151</v>
      </c>
      <c r="K124" s="32">
        <v>1</v>
      </c>
      <c r="L124" s="29" t="s">
        <v>858</v>
      </c>
      <c r="M124" s="29">
        <v>51</v>
      </c>
      <c r="N124" s="29" t="str">
        <f t="shared" si="4"/>
        <v xml:space="preserve"> - [ ] [[Gv 1|Vangelo di san Giovanni Apostolo ed Evangelista, capitolo 1]]</v>
      </c>
      <c r="O124" s="32"/>
    </row>
    <row r="125" spans="1:15" x14ac:dyDescent="0.25">
      <c r="A125" s="29">
        <v>30</v>
      </c>
      <c r="B125" t="s">
        <v>6</v>
      </c>
      <c r="C125" s="32">
        <v>15</v>
      </c>
      <c r="D125" t="s">
        <v>10</v>
      </c>
      <c r="E125">
        <v>41</v>
      </c>
      <c r="F125" s="29" t="str">
        <f t="shared" si="3"/>
        <v xml:space="preserve"> - [ ] [[At 15|Atti degli Apostoli, capitolo 15]]</v>
      </c>
      <c r="I125" s="29">
        <v>30</v>
      </c>
      <c r="J125" s="29" t="s">
        <v>151</v>
      </c>
      <c r="K125" s="32">
        <v>2</v>
      </c>
      <c r="L125" s="29" t="s">
        <v>858</v>
      </c>
      <c r="M125" s="29">
        <v>25</v>
      </c>
      <c r="N125" s="29" t="str">
        <f t="shared" si="4"/>
        <v xml:space="preserve"> - [ ] [[Gv 2|Vangelo di san Giovanni Apostolo ed Evangelista, capitolo 2]]</v>
      </c>
      <c r="O125" s="32"/>
    </row>
    <row r="126" spans="1:15" x14ac:dyDescent="0.25">
      <c r="A126" s="30" t="s">
        <v>866</v>
      </c>
      <c r="B126" t="s">
        <v>6</v>
      </c>
      <c r="C126" s="32">
        <v>16</v>
      </c>
      <c r="D126" t="s">
        <v>10</v>
      </c>
      <c r="E126">
        <v>40</v>
      </c>
      <c r="F126" s="29" t="str">
        <f t="shared" si="3"/>
        <v xml:space="preserve"> - [ ] [[At 16|Atti degli Apostoli, capitolo 16]]</v>
      </c>
      <c r="I126" s="30" t="s">
        <v>866</v>
      </c>
      <c r="J126" s="29" t="s">
        <v>151</v>
      </c>
      <c r="K126" s="32">
        <v>3</v>
      </c>
      <c r="L126" s="29" t="s">
        <v>858</v>
      </c>
      <c r="M126" s="29">
        <v>36</v>
      </c>
      <c r="N126" s="29" t="str">
        <f t="shared" si="4"/>
        <v xml:space="preserve"> - [ ] [[Gv 3|Vangelo di san Giovanni Apostolo ed Evangelista, capitolo 3]]</v>
      </c>
      <c r="O126" s="32"/>
    </row>
    <row r="127" spans="1:15" x14ac:dyDescent="0.25">
      <c r="A127" s="29">
        <v>1</v>
      </c>
      <c r="B127" t="s">
        <v>6</v>
      </c>
      <c r="C127" s="32">
        <v>17</v>
      </c>
      <c r="D127" t="s">
        <v>10</v>
      </c>
      <c r="E127">
        <v>34</v>
      </c>
      <c r="F127" s="29" t="str">
        <f t="shared" si="3"/>
        <v xml:space="preserve"> - [ ] [[At 17|Atti degli Apostoli, capitolo 17]]</v>
      </c>
      <c r="I127" s="29">
        <v>1</v>
      </c>
      <c r="J127" s="29" t="s">
        <v>151</v>
      </c>
      <c r="K127" s="32">
        <v>4</v>
      </c>
      <c r="L127" s="29" t="s">
        <v>858</v>
      </c>
      <c r="M127" s="29">
        <v>54</v>
      </c>
      <c r="N127" s="29" t="str">
        <f t="shared" si="4"/>
        <v xml:space="preserve"> - [ ] [[Gv 4|Vangelo di san Giovanni Apostolo ed Evangelista, capitolo 4]]</v>
      </c>
      <c r="O127" s="32"/>
    </row>
    <row r="128" spans="1:15" x14ac:dyDescent="0.25">
      <c r="A128" s="29">
        <v>2</v>
      </c>
      <c r="B128" t="s">
        <v>6</v>
      </c>
      <c r="C128" s="32">
        <v>18</v>
      </c>
      <c r="D128" t="s">
        <v>10</v>
      </c>
      <c r="E128">
        <v>28</v>
      </c>
      <c r="F128" s="29" t="str">
        <f t="shared" si="3"/>
        <v xml:space="preserve"> - [ ] [[At 18|Atti degli Apostoli, capitolo 18]]</v>
      </c>
      <c r="I128" s="29">
        <v>2</v>
      </c>
      <c r="J128" s="29" t="s">
        <v>151</v>
      </c>
      <c r="K128" s="32">
        <v>5</v>
      </c>
      <c r="L128" s="29" t="s">
        <v>858</v>
      </c>
      <c r="M128" s="29">
        <v>47</v>
      </c>
      <c r="N128" s="29" t="str">
        <f t="shared" si="4"/>
        <v xml:space="preserve"> - [ ] [[Gv 5|Vangelo di san Giovanni Apostolo ed Evangelista, capitolo 5]]</v>
      </c>
      <c r="O128" s="32"/>
    </row>
    <row r="129" spans="1:15" x14ac:dyDescent="0.25">
      <c r="A129" s="29">
        <v>3</v>
      </c>
      <c r="B129" t="s">
        <v>6</v>
      </c>
      <c r="C129" s="32">
        <v>19</v>
      </c>
      <c r="D129" t="s">
        <v>10</v>
      </c>
      <c r="E129">
        <v>40</v>
      </c>
      <c r="F129" s="29" t="str">
        <f t="shared" si="3"/>
        <v xml:space="preserve"> - [ ] [[At 19|Atti degli Apostoli, capitolo 19]]</v>
      </c>
      <c r="I129" s="29">
        <v>3</v>
      </c>
      <c r="J129" s="29" t="s">
        <v>151</v>
      </c>
      <c r="K129" s="32">
        <v>6</v>
      </c>
      <c r="L129" s="29" t="s">
        <v>858</v>
      </c>
      <c r="M129" s="29">
        <v>71</v>
      </c>
      <c r="N129" s="29" t="str">
        <f t="shared" si="4"/>
        <v xml:space="preserve"> - [ ] [[Gv 6|Vangelo di san Giovanni Apostolo ed Evangelista, capitolo 6]]</v>
      </c>
      <c r="O129" s="32"/>
    </row>
    <row r="130" spans="1:15" x14ac:dyDescent="0.25">
      <c r="A130" s="29">
        <v>4</v>
      </c>
      <c r="B130" t="s">
        <v>6</v>
      </c>
      <c r="C130" s="32">
        <v>20</v>
      </c>
      <c r="D130" t="s">
        <v>10</v>
      </c>
      <c r="E130">
        <v>38</v>
      </c>
      <c r="F130" s="29" t="str">
        <f t="shared" si="3"/>
        <v xml:space="preserve"> - [ ] [[At 20|Atti degli Apostoli, capitolo 20]]</v>
      </c>
      <c r="I130" s="29">
        <v>4</v>
      </c>
      <c r="J130" s="29" t="s">
        <v>151</v>
      </c>
      <c r="K130" s="32">
        <v>7</v>
      </c>
      <c r="L130" s="29" t="s">
        <v>858</v>
      </c>
      <c r="M130" s="29">
        <v>53</v>
      </c>
      <c r="N130" s="29" t="str">
        <f t="shared" si="4"/>
        <v xml:space="preserve"> - [ ] [[Gv 7|Vangelo di san Giovanni Apostolo ed Evangelista, capitolo 7]]</v>
      </c>
      <c r="O130" s="32"/>
    </row>
    <row r="131" spans="1:15" x14ac:dyDescent="0.25">
      <c r="A131" s="29">
        <v>5</v>
      </c>
      <c r="B131" t="s">
        <v>6</v>
      </c>
      <c r="C131" s="32">
        <v>21</v>
      </c>
      <c r="D131" t="s">
        <v>10</v>
      </c>
      <c r="E131">
        <v>40</v>
      </c>
      <c r="F131" s="29" t="str">
        <f t="shared" si="3"/>
        <v xml:space="preserve"> - [ ] [[At 21|Atti degli Apostoli, capitolo 21]]</v>
      </c>
      <c r="I131" s="29">
        <v>5</v>
      </c>
      <c r="J131" s="29" t="s">
        <v>151</v>
      </c>
      <c r="K131" s="32">
        <v>8</v>
      </c>
      <c r="L131" s="29" t="s">
        <v>858</v>
      </c>
      <c r="M131" s="29">
        <v>59</v>
      </c>
      <c r="N131" s="29" t="str">
        <f t="shared" si="4"/>
        <v xml:space="preserve"> - [ ] [[Gv 8|Vangelo di san Giovanni Apostolo ed Evangelista, capitolo 8]]</v>
      </c>
      <c r="O131" s="32"/>
    </row>
    <row r="132" spans="1:15" x14ac:dyDescent="0.25">
      <c r="A132" s="29">
        <v>6</v>
      </c>
      <c r="B132" t="s">
        <v>6</v>
      </c>
      <c r="C132" s="32">
        <v>22</v>
      </c>
      <c r="D132" t="s">
        <v>10</v>
      </c>
      <c r="E132">
        <v>30</v>
      </c>
      <c r="F132" s="29" t="str">
        <f t="shared" ref="F132:F195" si="5">_xlfn.CONCAT(" - [ ] [[",B132," ",C132,"|",D132,", capitolo ",C132,"]]")</f>
        <v xml:space="preserve"> - [ ] [[At 22|Atti degli Apostoli, capitolo 22]]</v>
      </c>
      <c r="I132" s="29">
        <v>6</v>
      </c>
      <c r="J132" s="29" t="s">
        <v>151</v>
      </c>
      <c r="K132" s="32">
        <v>9</v>
      </c>
      <c r="L132" s="29" t="s">
        <v>858</v>
      </c>
      <c r="M132" s="29">
        <v>41</v>
      </c>
      <c r="N132" s="29" t="str">
        <f t="shared" si="4"/>
        <v xml:space="preserve"> - [ ] [[Gv 9|Vangelo di san Giovanni Apostolo ed Evangelista, capitolo 9]]</v>
      </c>
      <c r="O132" s="32"/>
    </row>
    <row r="133" spans="1:15" x14ac:dyDescent="0.25">
      <c r="A133" s="29">
        <v>7</v>
      </c>
      <c r="B133" t="s">
        <v>6</v>
      </c>
      <c r="C133" s="32">
        <v>23</v>
      </c>
      <c r="D133" t="s">
        <v>10</v>
      </c>
      <c r="E133">
        <v>35</v>
      </c>
      <c r="F133" s="29" t="str">
        <f t="shared" si="5"/>
        <v xml:space="preserve"> - [ ] [[At 23|Atti degli Apostoli, capitolo 23]]</v>
      </c>
      <c r="I133" s="29">
        <v>7</v>
      </c>
      <c r="J133" s="29" t="s">
        <v>151</v>
      </c>
      <c r="K133" s="32">
        <v>10</v>
      </c>
      <c r="L133" s="29" t="s">
        <v>858</v>
      </c>
      <c r="M133" s="29">
        <v>42</v>
      </c>
      <c r="N133" s="29" t="str">
        <f t="shared" si="4"/>
        <v xml:space="preserve"> - [ ] [[Gv 10|Vangelo di san Giovanni Apostolo ed Evangelista, capitolo 10]]</v>
      </c>
      <c r="O133" s="32"/>
    </row>
    <row r="134" spans="1:15" x14ac:dyDescent="0.25">
      <c r="A134" s="29">
        <v>8</v>
      </c>
      <c r="B134" t="s">
        <v>6</v>
      </c>
      <c r="C134" s="32">
        <v>24</v>
      </c>
      <c r="D134" t="s">
        <v>10</v>
      </c>
      <c r="E134">
        <v>27</v>
      </c>
      <c r="F134" s="29" t="str">
        <f t="shared" si="5"/>
        <v xml:space="preserve"> - [ ] [[At 24|Atti degli Apostoli, capitolo 24]]</v>
      </c>
      <c r="I134" s="29">
        <v>8</v>
      </c>
      <c r="J134" s="29" t="s">
        <v>151</v>
      </c>
      <c r="K134" s="32">
        <v>11</v>
      </c>
      <c r="L134" s="29" t="s">
        <v>858</v>
      </c>
      <c r="M134" s="29">
        <v>57</v>
      </c>
      <c r="N134" s="29" t="str">
        <f t="shared" si="4"/>
        <v xml:space="preserve"> - [ ] [[Gv 11|Vangelo di san Giovanni Apostolo ed Evangelista, capitolo 11]]</v>
      </c>
      <c r="O134" s="32"/>
    </row>
    <row r="135" spans="1:15" x14ac:dyDescent="0.25">
      <c r="A135" s="29">
        <v>9</v>
      </c>
      <c r="B135" t="s">
        <v>6</v>
      </c>
      <c r="C135" s="32">
        <v>25</v>
      </c>
      <c r="D135" t="s">
        <v>10</v>
      </c>
      <c r="E135">
        <v>27</v>
      </c>
      <c r="F135" s="29" t="str">
        <f t="shared" si="5"/>
        <v xml:space="preserve"> - [ ] [[At 25|Atti degli Apostoli, capitolo 25]]</v>
      </c>
      <c r="I135" s="29">
        <v>9</v>
      </c>
      <c r="J135" s="29" t="s">
        <v>151</v>
      </c>
      <c r="K135" s="32">
        <v>12</v>
      </c>
      <c r="L135" s="29" t="s">
        <v>858</v>
      </c>
      <c r="M135" s="29">
        <v>50</v>
      </c>
      <c r="N135" s="29" t="str">
        <f t="shared" si="4"/>
        <v xml:space="preserve"> - [ ] [[Gv 12|Vangelo di san Giovanni Apostolo ed Evangelista, capitolo 12]]</v>
      </c>
      <c r="O135" s="32"/>
    </row>
    <row r="136" spans="1:15" x14ac:dyDescent="0.25">
      <c r="A136" s="29">
        <v>10</v>
      </c>
      <c r="B136" t="s">
        <v>6</v>
      </c>
      <c r="C136" s="32">
        <v>26</v>
      </c>
      <c r="D136" t="s">
        <v>10</v>
      </c>
      <c r="E136">
        <v>32</v>
      </c>
      <c r="F136" s="29" t="str">
        <f t="shared" si="5"/>
        <v xml:space="preserve"> - [ ] [[At 26|Atti degli Apostoli, capitolo 26]]</v>
      </c>
      <c r="I136" s="29">
        <v>10</v>
      </c>
      <c r="J136" s="29" t="s">
        <v>151</v>
      </c>
      <c r="K136" s="32">
        <v>13</v>
      </c>
      <c r="L136" s="29" t="s">
        <v>858</v>
      </c>
      <c r="M136" s="29">
        <v>38</v>
      </c>
      <c r="N136" s="29" t="str">
        <f t="shared" si="4"/>
        <v xml:space="preserve"> - [ ] [[Gv 13|Vangelo di san Giovanni Apostolo ed Evangelista, capitolo 13]]</v>
      </c>
      <c r="O136" s="32"/>
    </row>
    <row r="137" spans="1:15" x14ac:dyDescent="0.25">
      <c r="A137" s="29">
        <v>11</v>
      </c>
      <c r="B137" t="s">
        <v>6</v>
      </c>
      <c r="C137" s="32">
        <v>27</v>
      </c>
      <c r="D137" t="s">
        <v>10</v>
      </c>
      <c r="E137">
        <v>44</v>
      </c>
      <c r="F137" s="29" t="str">
        <f t="shared" si="5"/>
        <v xml:space="preserve"> - [ ] [[At 27|Atti degli Apostoli, capitolo 27]]</v>
      </c>
      <c r="I137" s="29">
        <v>11</v>
      </c>
      <c r="J137" s="29" t="s">
        <v>151</v>
      </c>
      <c r="K137" s="32">
        <v>14</v>
      </c>
      <c r="L137" s="29" t="s">
        <v>858</v>
      </c>
      <c r="M137" s="29">
        <v>31</v>
      </c>
      <c r="N137" s="29" t="str">
        <f t="shared" si="4"/>
        <v xml:space="preserve"> - [ ] [[Gv 14|Vangelo di san Giovanni Apostolo ed Evangelista, capitolo 14]]</v>
      </c>
      <c r="O137" s="32"/>
    </row>
    <row r="138" spans="1:15" x14ac:dyDescent="0.25">
      <c r="A138" s="33">
        <v>12</v>
      </c>
      <c r="B138" s="37" t="s">
        <v>6</v>
      </c>
      <c r="C138" s="34">
        <v>28</v>
      </c>
      <c r="D138" s="37" t="s">
        <v>10</v>
      </c>
      <c r="E138" s="37">
        <v>31</v>
      </c>
      <c r="F138" s="33" t="str">
        <f t="shared" si="5"/>
        <v xml:space="preserve"> - [ ] [[At 28|Atti degli Apostoli, capitolo 28]]</v>
      </c>
      <c r="G138" s="34"/>
      <c r="I138" s="29">
        <v>12</v>
      </c>
      <c r="J138" s="29" t="s">
        <v>151</v>
      </c>
      <c r="K138" s="32">
        <v>15</v>
      </c>
      <c r="L138" s="29" t="s">
        <v>858</v>
      </c>
      <c r="M138" s="29">
        <v>27</v>
      </c>
      <c r="N138" s="29" t="str">
        <f t="shared" si="4"/>
        <v xml:space="preserve"> - [ ] [[Gv 15|Vangelo di san Giovanni Apostolo ed Evangelista, capitolo 15]]</v>
      </c>
      <c r="O138" s="32"/>
    </row>
    <row r="139" spans="1:15" x14ac:dyDescent="0.25">
      <c r="A139" s="29">
        <v>13</v>
      </c>
      <c r="B139" t="s">
        <v>12</v>
      </c>
      <c r="C139" s="32">
        <v>1</v>
      </c>
      <c r="D139" t="s">
        <v>749</v>
      </c>
      <c r="E139">
        <v>32</v>
      </c>
      <c r="F139" s="29" t="str">
        <f t="shared" si="5"/>
        <v xml:space="preserve"> - [ ] [[Rm 1|Lettera di san Paolo Apostolo ai Romani, capitolo 1]]</v>
      </c>
      <c r="I139" s="29">
        <v>13</v>
      </c>
      <c r="J139" s="29" t="s">
        <v>151</v>
      </c>
      <c r="K139" s="32">
        <v>16</v>
      </c>
      <c r="L139" s="29" t="s">
        <v>858</v>
      </c>
      <c r="M139" s="29">
        <v>33</v>
      </c>
      <c r="N139" s="29" t="str">
        <f t="shared" si="4"/>
        <v xml:space="preserve"> - [ ] [[Gv 16|Vangelo di san Giovanni Apostolo ed Evangelista, capitolo 16]]</v>
      </c>
      <c r="O139" s="32"/>
    </row>
    <row r="140" spans="1:15" x14ac:dyDescent="0.25">
      <c r="A140" s="29">
        <v>14</v>
      </c>
      <c r="B140" t="s">
        <v>12</v>
      </c>
      <c r="C140" s="32">
        <v>2</v>
      </c>
      <c r="D140" t="s">
        <v>749</v>
      </c>
      <c r="E140">
        <v>29</v>
      </c>
      <c r="F140" s="29" t="str">
        <f t="shared" si="5"/>
        <v xml:space="preserve"> - [ ] [[Rm 2|Lettera di san Paolo Apostolo ai Romani, capitolo 2]]</v>
      </c>
      <c r="I140" s="29">
        <v>14</v>
      </c>
      <c r="J140" s="29" t="s">
        <v>151</v>
      </c>
      <c r="K140" s="32">
        <v>17</v>
      </c>
      <c r="L140" s="29" t="s">
        <v>858</v>
      </c>
      <c r="M140" s="29">
        <v>26</v>
      </c>
      <c r="N140" s="29" t="str">
        <f t="shared" si="4"/>
        <v xml:space="preserve"> - [ ] [[Gv 17|Vangelo di san Giovanni Apostolo ed Evangelista, capitolo 17]]</v>
      </c>
      <c r="O140" s="32"/>
    </row>
    <row r="141" spans="1:15" x14ac:dyDescent="0.25">
      <c r="A141" s="29">
        <v>15</v>
      </c>
      <c r="B141" t="s">
        <v>12</v>
      </c>
      <c r="C141" s="32">
        <v>3</v>
      </c>
      <c r="D141" t="s">
        <v>749</v>
      </c>
      <c r="E141">
        <v>31</v>
      </c>
      <c r="F141" s="29" t="str">
        <f t="shared" si="5"/>
        <v xml:space="preserve"> - [ ] [[Rm 3|Lettera di san Paolo Apostolo ai Romani, capitolo 3]]</v>
      </c>
      <c r="I141" s="29">
        <v>15</v>
      </c>
      <c r="J141" s="29" t="s">
        <v>151</v>
      </c>
      <c r="K141" s="32">
        <v>18</v>
      </c>
      <c r="L141" s="29" t="s">
        <v>858</v>
      </c>
      <c r="M141" s="29">
        <v>40</v>
      </c>
      <c r="N141" s="29" t="str">
        <f t="shared" si="4"/>
        <v xml:space="preserve"> - [ ] [[Gv 18|Vangelo di san Giovanni Apostolo ed Evangelista, capitolo 18]]</v>
      </c>
      <c r="O141" s="32"/>
    </row>
    <row r="142" spans="1:15" x14ac:dyDescent="0.25">
      <c r="A142" s="29">
        <v>16</v>
      </c>
      <c r="B142" t="s">
        <v>12</v>
      </c>
      <c r="C142" s="32">
        <v>4</v>
      </c>
      <c r="D142" t="s">
        <v>749</v>
      </c>
      <c r="E142">
        <v>25</v>
      </c>
      <c r="F142" s="29" t="str">
        <f t="shared" si="5"/>
        <v xml:space="preserve"> - [ ] [[Rm 4|Lettera di san Paolo Apostolo ai Romani, capitolo 4]]</v>
      </c>
      <c r="I142" s="29">
        <v>16</v>
      </c>
      <c r="J142" s="29" t="s">
        <v>151</v>
      </c>
      <c r="K142" s="32">
        <v>19</v>
      </c>
      <c r="L142" s="29" t="s">
        <v>858</v>
      </c>
      <c r="M142" s="29">
        <v>42</v>
      </c>
      <c r="N142" s="29" t="str">
        <f t="shared" si="4"/>
        <v xml:space="preserve"> - [ ] [[Gv 19|Vangelo di san Giovanni Apostolo ed Evangelista, capitolo 19]]</v>
      </c>
      <c r="O142" s="32"/>
    </row>
    <row r="143" spans="1:15" x14ac:dyDescent="0.25">
      <c r="A143" s="29">
        <v>17</v>
      </c>
      <c r="B143" t="s">
        <v>12</v>
      </c>
      <c r="C143" s="32">
        <v>5</v>
      </c>
      <c r="D143" t="s">
        <v>749</v>
      </c>
      <c r="E143">
        <v>21</v>
      </c>
      <c r="F143" s="29" t="str">
        <f t="shared" si="5"/>
        <v xml:space="preserve"> - [ ] [[Rm 5|Lettera di san Paolo Apostolo ai Romani, capitolo 5]]</v>
      </c>
      <c r="I143" s="29">
        <v>17</v>
      </c>
      <c r="J143" s="29" t="s">
        <v>151</v>
      </c>
      <c r="K143" s="32">
        <v>20</v>
      </c>
      <c r="L143" s="29" t="s">
        <v>858</v>
      </c>
      <c r="M143" s="29">
        <v>31</v>
      </c>
      <c r="N143" s="29" t="str">
        <f t="shared" si="4"/>
        <v xml:space="preserve"> - [ ] [[Gv 20|Vangelo di san Giovanni Apostolo ed Evangelista, capitolo 20]]</v>
      </c>
      <c r="O143" s="32"/>
    </row>
    <row r="144" spans="1:15" x14ac:dyDescent="0.25">
      <c r="A144" s="29">
        <v>18</v>
      </c>
      <c r="B144" t="s">
        <v>12</v>
      </c>
      <c r="C144" s="32">
        <v>6</v>
      </c>
      <c r="D144" t="s">
        <v>749</v>
      </c>
      <c r="E144">
        <v>23</v>
      </c>
      <c r="F144" s="29" t="str">
        <f t="shared" si="5"/>
        <v xml:space="preserve"> - [ ] [[Rm 6|Lettera di san Paolo Apostolo ai Romani, capitolo 6]]</v>
      </c>
      <c r="I144" s="33">
        <v>18</v>
      </c>
      <c r="J144" s="33" t="s">
        <v>151</v>
      </c>
      <c r="K144" s="34">
        <v>21</v>
      </c>
      <c r="L144" s="33" t="s">
        <v>858</v>
      </c>
      <c r="M144" s="33">
        <v>25</v>
      </c>
      <c r="N144" s="33" t="str">
        <f t="shared" si="4"/>
        <v xml:space="preserve"> - [ ] [[Gv 21|Vangelo di san Giovanni Apostolo ed Evangelista, capitolo 21]]</v>
      </c>
      <c r="O144" s="34"/>
    </row>
    <row r="145" spans="1:15" x14ac:dyDescent="0.25">
      <c r="A145" s="29">
        <v>19</v>
      </c>
      <c r="B145" t="s">
        <v>12</v>
      </c>
      <c r="C145" s="32">
        <v>7</v>
      </c>
      <c r="D145" t="s">
        <v>749</v>
      </c>
      <c r="E145">
        <v>25</v>
      </c>
      <c r="F145" s="29" t="str">
        <f t="shared" si="5"/>
        <v xml:space="preserve"> - [ ] [[Rm 7|Lettera di san Paolo Apostolo ai Romani, capitolo 7]]</v>
      </c>
      <c r="I145" s="29">
        <v>19</v>
      </c>
      <c r="J145" s="29" t="s">
        <v>449</v>
      </c>
      <c r="K145" s="32">
        <v>1</v>
      </c>
      <c r="L145" s="29" t="s">
        <v>830</v>
      </c>
      <c r="M145" s="29">
        <v>10</v>
      </c>
      <c r="N145" s="29" t="str">
        <f>_xlfn.CONCAT(" - [ ] [[",J145," ",K145,"|",L145,", capitolo ",K145,"]]")</f>
        <v xml:space="preserve"> - [ ] [[1 Gv 1|Prima lettera di san Giovanni Apostolo ed Evangelista, capitolo 1]]</v>
      </c>
      <c r="O145" s="32"/>
    </row>
    <row r="146" spans="1:15" x14ac:dyDescent="0.25">
      <c r="A146" s="29">
        <v>20</v>
      </c>
      <c r="B146" t="s">
        <v>12</v>
      </c>
      <c r="C146" s="32">
        <v>8</v>
      </c>
      <c r="D146" t="s">
        <v>749</v>
      </c>
      <c r="E146">
        <v>39</v>
      </c>
      <c r="F146" s="29" t="str">
        <f t="shared" si="5"/>
        <v xml:space="preserve"> - [ ] [[Rm 8|Lettera di san Paolo Apostolo ai Romani, capitolo 8]]</v>
      </c>
      <c r="I146" s="29">
        <v>20</v>
      </c>
      <c r="J146" s="29" t="s">
        <v>449</v>
      </c>
      <c r="K146" s="32">
        <v>2</v>
      </c>
      <c r="L146" s="29" t="s">
        <v>830</v>
      </c>
      <c r="M146" s="29">
        <v>29</v>
      </c>
      <c r="N146" s="29" t="str">
        <f t="shared" ref="N146" si="6">_xlfn.CONCAT(" - [ ] [[",J146," ",K146,"|",L146,", capitolo ",K146,"]]")</f>
        <v xml:space="preserve"> - [ ] [[1 Gv 2|Prima lettera di san Giovanni Apostolo ed Evangelista, capitolo 2]]</v>
      </c>
      <c r="O146" s="32"/>
    </row>
    <row r="147" spans="1:15" x14ac:dyDescent="0.25">
      <c r="A147" s="29">
        <v>21</v>
      </c>
      <c r="B147" t="s">
        <v>12</v>
      </c>
      <c r="C147" s="32">
        <v>9</v>
      </c>
      <c r="D147" t="s">
        <v>749</v>
      </c>
      <c r="E147">
        <v>33</v>
      </c>
      <c r="F147" s="29" t="str">
        <f t="shared" si="5"/>
        <v xml:space="preserve"> - [ ] [[Rm 9|Lettera di san Paolo Apostolo ai Romani, capitolo 9]]</v>
      </c>
      <c r="I147" s="29">
        <v>21</v>
      </c>
      <c r="J147" s="29" t="s">
        <v>449</v>
      </c>
      <c r="K147" s="32">
        <v>3</v>
      </c>
      <c r="L147" s="29" t="s">
        <v>830</v>
      </c>
      <c r="M147" s="29">
        <v>24</v>
      </c>
      <c r="N147" s="29" t="str">
        <f t="shared" ref="N147" si="7">_xlfn.CONCAT(" - [ ] [[",J147," ",K147,"|",L147,", capitolo ",K147,"]]")</f>
        <v xml:space="preserve"> - [ ] [[1 Gv 3|Prima lettera di san Giovanni Apostolo ed Evangelista, capitolo 3]]</v>
      </c>
      <c r="O147" s="32"/>
    </row>
    <row r="148" spans="1:15" x14ac:dyDescent="0.25">
      <c r="A148" s="29">
        <v>22</v>
      </c>
      <c r="B148" t="s">
        <v>12</v>
      </c>
      <c r="C148" s="32">
        <v>10</v>
      </c>
      <c r="D148" t="s">
        <v>749</v>
      </c>
      <c r="E148">
        <v>21</v>
      </c>
      <c r="F148" s="29" t="str">
        <f t="shared" si="5"/>
        <v xml:space="preserve"> - [ ] [[Rm 10|Lettera di san Paolo Apostolo ai Romani, capitolo 10]]</v>
      </c>
      <c r="I148" s="29">
        <v>22</v>
      </c>
      <c r="J148" s="29" t="s">
        <v>449</v>
      </c>
      <c r="K148" s="32">
        <v>4</v>
      </c>
      <c r="L148" s="29" t="s">
        <v>830</v>
      </c>
      <c r="M148" s="29">
        <v>21</v>
      </c>
      <c r="N148" s="29" t="str">
        <f t="shared" ref="N148" si="8">_xlfn.CONCAT(" - [ ] [[",J148," ",K148,"|",L148,", capitolo ",K148,"]]")</f>
        <v xml:space="preserve"> - [ ] [[1 Gv 4|Prima lettera di san Giovanni Apostolo ed Evangelista, capitolo 4]]</v>
      </c>
      <c r="O148" s="32"/>
    </row>
    <row r="149" spans="1:15" x14ac:dyDescent="0.25">
      <c r="A149" s="29">
        <v>23</v>
      </c>
      <c r="B149" t="s">
        <v>12</v>
      </c>
      <c r="C149" s="32">
        <v>11</v>
      </c>
      <c r="D149" t="s">
        <v>749</v>
      </c>
      <c r="E149">
        <v>36</v>
      </c>
      <c r="F149" s="29" t="str">
        <f t="shared" si="5"/>
        <v xml:space="preserve"> - [ ] [[Rm 11|Lettera di san Paolo Apostolo ai Romani, capitolo 11]]</v>
      </c>
      <c r="I149" s="33">
        <v>23</v>
      </c>
      <c r="J149" s="33" t="s">
        <v>449</v>
      </c>
      <c r="K149" s="34">
        <v>5</v>
      </c>
      <c r="L149" s="33" t="s">
        <v>830</v>
      </c>
      <c r="M149" s="33">
        <v>21</v>
      </c>
      <c r="N149" s="33" t="str">
        <f t="shared" ref="N149" si="9">_xlfn.CONCAT(" - [ ] [[",J149," ",K149,"|",L149,", capitolo ",K149,"]]")</f>
        <v xml:space="preserve"> - [ ] [[1 Gv 5|Prima lettera di san Giovanni Apostolo ed Evangelista, capitolo 5]]</v>
      </c>
      <c r="O149" s="34"/>
    </row>
    <row r="150" spans="1:15" x14ac:dyDescent="0.25">
      <c r="A150" s="29">
        <v>24</v>
      </c>
      <c r="B150" t="s">
        <v>12</v>
      </c>
      <c r="C150" s="32">
        <v>12</v>
      </c>
      <c r="D150" t="s">
        <v>749</v>
      </c>
      <c r="E150">
        <v>21</v>
      </c>
      <c r="F150" s="29" t="str">
        <f t="shared" si="5"/>
        <v xml:space="preserve"> - [ ] [[Rm 12|Lettera di san Paolo Apostolo ai Romani, capitolo 12]]</v>
      </c>
      <c r="I150" s="33">
        <v>24</v>
      </c>
      <c r="J150" s="37" t="s">
        <v>453</v>
      </c>
      <c r="K150" s="34">
        <v>1</v>
      </c>
      <c r="L150" s="37" t="s">
        <v>835</v>
      </c>
      <c r="M150" s="37">
        <v>13</v>
      </c>
      <c r="N150" s="33" t="str">
        <f t="shared" ref="N150" si="10">_xlfn.CONCAT(" - [ ] [[",J150," ",K150,"|",L150,", capitolo ",K150,"]]")</f>
        <v xml:space="preserve"> - [ ] [[2 Gv 1|Seconda lettera di san Giovanni Apostolo ed Evangelista, capitolo 1]]</v>
      </c>
      <c r="O150" s="34"/>
    </row>
    <row r="151" spans="1:15" x14ac:dyDescent="0.25">
      <c r="A151" s="29">
        <v>25</v>
      </c>
      <c r="B151" t="s">
        <v>12</v>
      </c>
      <c r="C151" s="32">
        <v>13</v>
      </c>
      <c r="D151" t="s">
        <v>749</v>
      </c>
      <c r="E151">
        <v>14</v>
      </c>
      <c r="F151" s="29" t="str">
        <f t="shared" si="5"/>
        <v xml:space="preserve"> - [ ] [[Rm 13|Lettera di san Paolo Apostolo ai Romani, capitolo 13]]</v>
      </c>
      <c r="I151" s="33">
        <v>25</v>
      </c>
      <c r="J151" s="37" t="s">
        <v>457</v>
      </c>
      <c r="K151" s="34">
        <v>1</v>
      </c>
      <c r="L151" s="37" t="s">
        <v>840</v>
      </c>
      <c r="M151" s="37">
        <v>14</v>
      </c>
      <c r="N151" s="33" t="str">
        <f t="shared" ref="N151" si="11">_xlfn.CONCAT(" - [ ] [[",J151," ",K151,"|",L151,", capitolo ",K151,"]]")</f>
        <v xml:space="preserve"> - [ ] [[3 Gv 1|Terza lettera di san Giovanni Apostolo ed Evangelista, capitolo 1]]</v>
      </c>
      <c r="O151" s="34"/>
    </row>
    <row r="152" spans="1:15" x14ac:dyDescent="0.25">
      <c r="A152" s="29">
        <v>26</v>
      </c>
      <c r="B152" t="s">
        <v>12</v>
      </c>
      <c r="C152" s="32">
        <v>14</v>
      </c>
      <c r="D152" t="s">
        <v>749</v>
      </c>
      <c r="E152">
        <v>23</v>
      </c>
      <c r="F152" s="29" t="str">
        <f t="shared" si="5"/>
        <v xml:space="preserve"> - [ ] [[Rm 14|Lettera di san Paolo Apostolo ai Romani, capitolo 14]]</v>
      </c>
      <c r="I152" s="29">
        <v>26</v>
      </c>
      <c r="J152" t="s">
        <v>12</v>
      </c>
      <c r="K152" s="32">
        <v>1</v>
      </c>
      <c r="L152" t="s">
        <v>749</v>
      </c>
      <c r="M152">
        <v>32</v>
      </c>
      <c r="N152" s="29" t="str">
        <f t="shared" ref="N152" si="12">_xlfn.CONCAT(" - [ ] [[",J152," ",K152,"|",L152,", capitolo ",K152,"]]")</f>
        <v xml:space="preserve"> - [ ] [[Rm 1|Lettera di san Paolo Apostolo ai Romani, capitolo 1]]</v>
      </c>
      <c r="O152" s="32"/>
    </row>
    <row r="153" spans="1:15" x14ac:dyDescent="0.25">
      <c r="A153" s="29">
        <v>27</v>
      </c>
      <c r="B153" t="s">
        <v>12</v>
      </c>
      <c r="C153" s="32">
        <v>15</v>
      </c>
      <c r="D153" t="s">
        <v>749</v>
      </c>
      <c r="E153">
        <v>32</v>
      </c>
      <c r="F153" s="29" t="str">
        <f t="shared" si="5"/>
        <v xml:space="preserve"> - [ ] [[Rm 15|Lettera di san Paolo Apostolo ai Romani, capitolo 15]]</v>
      </c>
      <c r="I153" s="29">
        <v>27</v>
      </c>
      <c r="J153" t="s">
        <v>12</v>
      </c>
      <c r="K153" s="32">
        <v>2</v>
      </c>
      <c r="L153" t="s">
        <v>749</v>
      </c>
      <c r="M153">
        <v>29</v>
      </c>
      <c r="N153" s="29" t="str">
        <f t="shared" ref="N153" si="13">_xlfn.CONCAT(" - [ ] [[",J153," ",K153,"|",L153,", capitolo ",K153,"]]")</f>
        <v xml:space="preserve"> - [ ] [[Rm 2|Lettera di san Paolo Apostolo ai Romani, capitolo 2]]</v>
      </c>
      <c r="O153" s="32"/>
    </row>
    <row r="154" spans="1:15" x14ac:dyDescent="0.25">
      <c r="A154" s="33">
        <v>28</v>
      </c>
      <c r="B154" s="37" t="s">
        <v>12</v>
      </c>
      <c r="C154" s="34">
        <v>16</v>
      </c>
      <c r="D154" s="37" t="s">
        <v>749</v>
      </c>
      <c r="E154" s="37">
        <v>27</v>
      </c>
      <c r="F154" s="33" t="str">
        <f t="shared" si="5"/>
        <v xml:space="preserve"> - [ ] [[Rm 16|Lettera di san Paolo Apostolo ai Romani, capitolo 16]]</v>
      </c>
      <c r="G154" s="34"/>
      <c r="I154" s="29">
        <v>28</v>
      </c>
      <c r="J154" t="s">
        <v>12</v>
      </c>
      <c r="K154" s="32">
        <v>3</v>
      </c>
      <c r="L154" t="s">
        <v>749</v>
      </c>
      <c r="M154">
        <v>31</v>
      </c>
      <c r="N154" s="29" t="str">
        <f t="shared" ref="N154" si="14">_xlfn.CONCAT(" - [ ] [[",J154," ",K154,"|",L154,", capitolo ",K154,"]]")</f>
        <v xml:space="preserve"> - [ ] [[Rm 3|Lettera di san Paolo Apostolo ai Romani, capitolo 3]]</v>
      </c>
      <c r="O154" s="32"/>
    </row>
    <row r="155" spans="1:15" x14ac:dyDescent="0.25">
      <c r="A155" s="29">
        <v>29</v>
      </c>
      <c r="B155" t="s">
        <v>396</v>
      </c>
      <c r="C155" s="32">
        <v>1</v>
      </c>
      <c r="D155" t="s">
        <v>754</v>
      </c>
      <c r="E155">
        <v>31</v>
      </c>
      <c r="F155" s="29" t="str">
        <f t="shared" si="5"/>
        <v xml:space="preserve"> - [ ] [[1 Cor 1|Prima lettera di san Paolo Apostolo ai Corinzi, capitolo 1]]</v>
      </c>
      <c r="I155" s="29">
        <v>29</v>
      </c>
      <c r="J155" t="s">
        <v>12</v>
      </c>
      <c r="K155" s="32">
        <v>4</v>
      </c>
      <c r="L155" t="s">
        <v>749</v>
      </c>
      <c r="M155">
        <v>25</v>
      </c>
      <c r="N155" s="29" t="str">
        <f t="shared" ref="N155" si="15">_xlfn.CONCAT(" - [ ] [[",J155," ",K155,"|",L155,", capitolo ",K155,"]]")</f>
        <v xml:space="preserve"> - [ ] [[Rm 4|Lettera di san Paolo Apostolo ai Romani, capitolo 4]]</v>
      </c>
      <c r="O155" s="32"/>
    </row>
    <row r="156" spans="1:15" x14ac:dyDescent="0.25">
      <c r="A156" s="29">
        <v>30</v>
      </c>
      <c r="B156" t="s">
        <v>396</v>
      </c>
      <c r="C156" s="32">
        <v>2</v>
      </c>
      <c r="D156" t="s">
        <v>754</v>
      </c>
      <c r="E156">
        <v>16</v>
      </c>
      <c r="F156" s="29" t="str">
        <f t="shared" si="5"/>
        <v xml:space="preserve"> - [ ] [[1 Cor 2|Prima lettera di san Paolo Apostolo ai Corinzi, capitolo 2]]</v>
      </c>
      <c r="I156" s="29">
        <v>30</v>
      </c>
      <c r="J156" t="s">
        <v>12</v>
      </c>
      <c r="K156" s="32">
        <v>5</v>
      </c>
      <c r="L156" t="s">
        <v>749</v>
      </c>
      <c r="M156">
        <v>21</v>
      </c>
      <c r="N156" s="29" t="str">
        <f t="shared" ref="N156" si="16">_xlfn.CONCAT(" - [ ] [[",J156," ",K156,"|",L156,", capitolo ",K156,"]]")</f>
        <v xml:space="preserve"> - [ ] [[Rm 5|Lettera di san Paolo Apostolo ai Romani, capitolo 5]]</v>
      </c>
      <c r="O156" s="32"/>
    </row>
    <row r="157" spans="1:15" x14ac:dyDescent="0.25">
      <c r="A157" s="29">
        <v>31</v>
      </c>
      <c r="B157" t="s">
        <v>396</v>
      </c>
      <c r="C157" s="32">
        <v>3</v>
      </c>
      <c r="D157" t="s">
        <v>754</v>
      </c>
      <c r="E157">
        <v>23</v>
      </c>
      <c r="F157" s="29" t="str">
        <f t="shared" si="5"/>
        <v xml:space="preserve"> - [ ] [[1 Cor 3|Prima lettera di san Paolo Apostolo ai Corinzi, capitolo 3]]</v>
      </c>
      <c r="I157" s="29">
        <v>31</v>
      </c>
      <c r="J157" t="s">
        <v>12</v>
      </c>
      <c r="K157" s="32">
        <v>6</v>
      </c>
      <c r="L157" t="s">
        <v>749</v>
      </c>
      <c r="M157">
        <v>23</v>
      </c>
      <c r="N157" s="29" t="str">
        <f t="shared" ref="N157" si="17">_xlfn.CONCAT(" - [ ] [[",J157," ",K157,"|",L157,", capitolo ",K157,"]]")</f>
        <v xml:space="preserve"> - [ ] [[Rm 6|Lettera di san Paolo Apostolo ai Romani, capitolo 6]]</v>
      </c>
      <c r="O157" s="32"/>
    </row>
    <row r="158" spans="1:15" x14ac:dyDescent="0.25">
      <c r="A158" s="30" t="s">
        <v>867</v>
      </c>
      <c r="B158" t="s">
        <v>396</v>
      </c>
      <c r="C158" s="32">
        <v>4</v>
      </c>
      <c r="D158" t="s">
        <v>754</v>
      </c>
      <c r="E158">
        <v>21</v>
      </c>
      <c r="F158" s="29" t="str">
        <f t="shared" si="5"/>
        <v xml:space="preserve"> - [ ] [[1 Cor 4|Prima lettera di san Paolo Apostolo ai Corinzi, capitolo 4]]</v>
      </c>
      <c r="I158" s="30" t="s">
        <v>867</v>
      </c>
      <c r="J158" t="s">
        <v>12</v>
      </c>
      <c r="K158" s="32">
        <v>7</v>
      </c>
      <c r="L158" t="s">
        <v>749</v>
      </c>
      <c r="M158">
        <v>25</v>
      </c>
      <c r="N158" s="29" t="str">
        <f t="shared" ref="N158" si="18">_xlfn.CONCAT(" - [ ] [[",J158," ",K158,"|",L158,", capitolo ",K158,"]]")</f>
        <v xml:space="preserve"> - [ ] [[Rm 7|Lettera di san Paolo Apostolo ai Romani, capitolo 7]]</v>
      </c>
      <c r="O158" s="32"/>
    </row>
    <row r="159" spans="1:15" x14ac:dyDescent="0.25">
      <c r="A159" s="29">
        <v>1</v>
      </c>
      <c r="B159" t="s">
        <v>396</v>
      </c>
      <c r="C159" s="32">
        <v>5</v>
      </c>
      <c r="D159" t="s">
        <v>754</v>
      </c>
      <c r="E159">
        <v>13</v>
      </c>
      <c r="F159" s="29" t="str">
        <f t="shared" si="5"/>
        <v xml:space="preserve"> - [ ] [[1 Cor 5|Prima lettera di san Paolo Apostolo ai Corinzi, capitolo 5]]</v>
      </c>
      <c r="I159" s="29">
        <v>1</v>
      </c>
      <c r="J159" t="s">
        <v>12</v>
      </c>
      <c r="K159" s="32">
        <v>8</v>
      </c>
      <c r="L159" t="s">
        <v>749</v>
      </c>
      <c r="M159">
        <v>39</v>
      </c>
      <c r="N159" s="29" t="str">
        <f t="shared" ref="N159" si="19">_xlfn.CONCAT(" - [ ] [[",J159," ",K159,"|",L159,", capitolo ",K159,"]]")</f>
        <v xml:space="preserve"> - [ ] [[Rm 8|Lettera di san Paolo Apostolo ai Romani, capitolo 8]]</v>
      </c>
      <c r="O159" s="32"/>
    </row>
    <row r="160" spans="1:15" x14ac:dyDescent="0.25">
      <c r="A160" s="29">
        <v>2</v>
      </c>
      <c r="B160" t="s">
        <v>396</v>
      </c>
      <c r="C160" s="32">
        <v>6</v>
      </c>
      <c r="D160" t="s">
        <v>754</v>
      </c>
      <c r="E160">
        <v>20</v>
      </c>
      <c r="F160" s="29" t="str">
        <f t="shared" si="5"/>
        <v xml:space="preserve"> - [ ] [[1 Cor 6|Prima lettera di san Paolo Apostolo ai Corinzi, capitolo 6]]</v>
      </c>
      <c r="I160" s="29">
        <v>2</v>
      </c>
      <c r="J160" t="s">
        <v>12</v>
      </c>
      <c r="K160" s="32">
        <v>9</v>
      </c>
      <c r="L160" t="s">
        <v>749</v>
      </c>
      <c r="M160">
        <v>33</v>
      </c>
      <c r="N160" s="29" t="str">
        <f t="shared" ref="N160" si="20">_xlfn.CONCAT(" - [ ] [[",J160," ",K160,"|",L160,", capitolo ",K160,"]]")</f>
        <v xml:space="preserve"> - [ ] [[Rm 9|Lettera di san Paolo Apostolo ai Romani, capitolo 9]]</v>
      </c>
      <c r="O160" s="32"/>
    </row>
    <row r="161" spans="1:15" x14ac:dyDescent="0.25">
      <c r="A161" s="29">
        <v>3</v>
      </c>
      <c r="B161" t="s">
        <v>396</v>
      </c>
      <c r="C161" s="32">
        <v>7</v>
      </c>
      <c r="D161" t="s">
        <v>754</v>
      </c>
      <c r="E161">
        <v>40</v>
      </c>
      <c r="F161" s="29" t="str">
        <f t="shared" si="5"/>
        <v xml:space="preserve"> - [ ] [[1 Cor 7|Prima lettera di san Paolo Apostolo ai Corinzi, capitolo 7]]</v>
      </c>
      <c r="I161" s="29">
        <v>3</v>
      </c>
      <c r="J161" t="s">
        <v>12</v>
      </c>
      <c r="K161" s="32">
        <v>10</v>
      </c>
      <c r="L161" t="s">
        <v>749</v>
      </c>
      <c r="M161">
        <v>21</v>
      </c>
      <c r="N161" s="29" t="str">
        <f t="shared" ref="N161" si="21">_xlfn.CONCAT(" - [ ] [[",J161," ",K161,"|",L161,", capitolo ",K161,"]]")</f>
        <v xml:space="preserve"> - [ ] [[Rm 10|Lettera di san Paolo Apostolo ai Romani, capitolo 10]]</v>
      </c>
      <c r="O161" s="32"/>
    </row>
    <row r="162" spans="1:15" x14ac:dyDescent="0.25">
      <c r="A162" s="29">
        <v>4</v>
      </c>
      <c r="B162" t="s">
        <v>396</v>
      </c>
      <c r="C162" s="32">
        <v>8</v>
      </c>
      <c r="D162" t="s">
        <v>754</v>
      </c>
      <c r="E162">
        <v>13</v>
      </c>
      <c r="F162" s="29" t="str">
        <f t="shared" si="5"/>
        <v xml:space="preserve"> - [ ] [[1 Cor 8|Prima lettera di san Paolo Apostolo ai Corinzi, capitolo 8]]</v>
      </c>
      <c r="I162" s="29">
        <v>4</v>
      </c>
      <c r="J162" t="s">
        <v>12</v>
      </c>
      <c r="K162" s="32">
        <v>11</v>
      </c>
      <c r="L162" t="s">
        <v>749</v>
      </c>
      <c r="M162">
        <v>36</v>
      </c>
      <c r="N162" s="29" t="str">
        <f t="shared" ref="N162" si="22">_xlfn.CONCAT(" - [ ] [[",J162," ",K162,"|",L162,", capitolo ",K162,"]]")</f>
        <v xml:space="preserve"> - [ ] [[Rm 11|Lettera di san Paolo Apostolo ai Romani, capitolo 11]]</v>
      </c>
      <c r="O162" s="32"/>
    </row>
    <row r="163" spans="1:15" x14ac:dyDescent="0.25">
      <c r="A163" s="29">
        <v>5</v>
      </c>
      <c r="B163" t="s">
        <v>396</v>
      </c>
      <c r="C163" s="32">
        <v>9</v>
      </c>
      <c r="D163" t="s">
        <v>754</v>
      </c>
      <c r="E163">
        <v>27</v>
      </c>
      <c r="F163" s="29" t="str">
        <f t="shared" si="5"/>
        <v xml:space="preserve"> - [ ] [[1 Cor 9|Prima lettera di san Paolo Apostolo ai Corinzi, capitolo 9]]</v>
      </c>
      <c r="I163" s="29">
        <v>5</v>
      </c>
      <c r="J163" t="s">
        <v>12</v>
      </c>
      <c r="K163" s="32">
        <v>12</v>
      </c>
      <c r="L163" t="s">
        <v>749</v>
      </c>
      <c r="M163">
        <v>21</v>
      </c>
      <c r="N163" s="29" t="str">
        <f t="shared" ref="N163" si="23">_xlfn.CONCAT(" - [ ] [[",J163," ",K163,"|",L163,", capitolo ",K163,"]]")</f>
        <v xml:space="preserve"> - [ ] [[Rm 12|Lettera di san Paolo Apostolo ai Romani, capitolo 12]]</v>
      </c>
      <c r="O163" s="32"/>
    </row>
    <row r="164" spans="1:15" x14ac:dyDescent="0.25">
      <c r="A164" s="29">
        <v>6</v>
      </c>
      <c r="B164" t="s">
        <v>396</v>
      </c>
      <c r="C164" s="32">
        <v>10</v>
      </c>
      <c r="D164" t="s">
        <v>754</v>
      </c>
      <c r="E164">
        <v>33</v>
      </c>
      <c r="F164" s="29" t="str">
        <f t="shared" si="5"/>
        <v xml:space="preserve"> - [ ] [[1 Cor 10|Prima lettera di san Paolo Apostolo ai Corinzi, capitolo 10]]</v>
      </c>
      <c r="I164" s="29">
        <v>6</v>
      </c>
      <c r="J164" t="s">
        <v>12</v>
      </c>
      <c r="K164" s="32">
        <v>13</v>
      </c>
      <c r="L164" t="s">
        <v>749</v>
      </c>
      <c r="M164">
        <v>14</v>
      </c>
      <c r="N164" s="29" t="str">
        <f t="shared" ref="N164" si="24">_xlfn.CONCAT(" - [ ] [[",J164," ",K164,"|",L164,", capitolo ",K164,"]]")</f>
        <v xml:space="preserve"> - [ ] [[Rm 13|Lettera di san Paolo Apostolo ai Romani, capitolo 13]]</v>
      </c>
      <c r="O164" s="32"/>
    </row>
    <row r="165" spans="1:15" x14ac:dyDescent="0.25">
      <c r="A165" s="29">
        <v>7</v>
      </c>
      <c r="B165" t="s">
        <v>396</v>
      </c>
      <c r="C165" s="32">
        <v>11</v>
      </c>
      <c r="D165" t="s">
        <v>754</v>
      </c>
      <c r="E165">
        <v>34</v>
      </c>
      <c r="F165" s="29" t="str">
        <f t="shared" si="5"/>
        <v xml:space="preserve"> - [ ] [[1 Cor 11|Prima lettera di san Paolo Apostolo ai Corinzi, capitolo 11]]</v>
      </c>
      <c r="I165" s="29">
        <v>7</v>
      </c>
      <c r="J165" t="s">
        <v>12</v>
      </c>
      <c r="K165" s="32">
        <v>14</v>
      </c>
      <c r="L165" t="s">
        <v>749</v>
      </c>
      <c r="M165">
        <v>23</v>
      </c>
      <c r="N165" s="29" t="str">
        <f t="shared" ref="N165" si="25">_xlfn.CONCAT(" - [ ] [[",J165," ",K165,"|",L165,", capitolo ",K165,"]]")</f>
        <v xml:space="preserve"> - [ ] [[Rm 14|Lettera di san Paolo Apostolo ai Romani, capitolo 14]]</v>
      </c>
      <c r="O165" s="32"/>
    </row>
    <row r="166" spans="1:15" x14ac:dyDescent="0.25">
      <c r="A166" s="29">
        <v>8</v>
      </c>
      <c r="B166" t="s">
        <v>396</v>
      </c>
      <c r="C166" s="32">
        <v>12</v>
      </c>
      <c r="D166" t="s">
        <v>754</v>
      </c>
      <c r="E166">
        <v>31</v>
      </c>
      <c r="F166" s="29" t="str">
        <f t="shared" si="5"/>
        <v xml:space="preserve"> - [ ] [[1 Cor 12|Prima lettera di san Paolo Apostolo ai Corinzi, capitolo 12]]</v>
      </c>
      <c r="I166" s="29">
        <v>8</v>
      </c>
      <c r="J166" t="s">
        <v>12</v>
      </c>
      <c r="K166" s="32">
        <v>15</v>
      </c>
      <c r="L166" t="s">
        <v>749</v>
      </c>
      <c r="M166">
        <v>32</v>
      </c>
      <c r="N166" s="29" t="str">
        <f t="shared" ref="N166" si="26">_xlfn.CONCAT(" - [ ] [[",J166," ",K166,"|",L166,", capitolo ",K166,"]]")</f>
        <v xml:space="preserve"> - [ ] [[Rm 15|Lettera di san Paolo Apostolo ai Romani, capitolo 15]]</v>
      </c>
      <c r="O166" s="32"/>
    </row>
    <row r="167" spans="1:15" x14ac:dyDescent="0.25">
      <c r="A167" s="29">
        <v>9</v>
      </c>
      <c r="B167" t="s">
        <v>396</v>
      </c>
      <c r="C167" s="32">
        <v>13</v>
      </c>
      <c r="D167" t="s">
        <v>754</v>
      </c>
      <c r="E167">
        <v>13</v>
      </c>
      <c r="F167" s="29" t="str">
        <f t="shared" si="5"/>
        <v xml:space="preserve"> - [ ] [[1 Cor 13|Prima lettera di san Paolo Apostolo ai Corinzi, capitolo 13]]</v>
      </c>
      <c r="I167" s="33">
        <v>9</v>
      </c>
      <c r="J167" s="37" t="s">
        <v>12</v>
      </c>
      <c r="K167" s="34">
        <v>16</v>
      </c>
      <c r="L167" s="37" t="s">
        <v>749</v>
      </c>
      <c r="M167" s="37">
        <v>27</v>
      </c>
      <c r="N167" s="33" t="str">
        <f t="shared" ref="N167" si="27">_xlfn.CONCAT(" - [ ] [[",J167," ",K167,"|",L167,", capitolo ",K167,"]]")</f>
        <v xml:space="preserve"> - [ ] [[Rm 16|Lettera di san Paolo Apostolo ai Romani, capitolo 16]]</v>
      </c>
      <c r="O167" s="34"/>
    </row>
    <row r="168" spans="1:15" x14ac:dyDescent="0.25">
      <c r="A168" s="29">
        <v>10</v>
      </c>
      <c r="B168" t="s">
        <v>396</v>
      </c>
      <c r="C168" s="32">
        <v>14</v>
      </c>
      <c r="D168" t="s">
        <v>754</v>
      </c>
      <c r="E168">
        <v>40</v>
      </c>
      <c r="F168" s="29" t="str">
        <f t="shared" si="5"/>
        <v xml:space="preserve"> - [ ] [[1 Cor 14|Prima lettera di san Paolo Apostolo ai Corinzi, capitolo 14]]</v>
      </c>
      <c r="I168" s="29">
        <v>10</v>
      </c>
      <c r="J168" t="s">
        <v>396</v>
      </c>
      <c r="K168" s="32">
        <v>1</v>
      </c>
      <c r="L168" t="s">
        <v>754</v>
      </c>
      <c r="M168">
        <v>31</v>
      </c>
      <c r="N168" s="29" t="str">
        <f t="shared" ref="N168" si="28">_xlfn.CONCAT(" - [ ] [[",J168," ",K168,"|",L168,", capitolo ",K168,"]]")</f>
        <v xml:space="preserve"> - [ ] [[1 Cor 1|Prima lettera di san Paolo Apostolo ai Corinzi, capitolo 1]]</v>
      </c>
      <c r="O168" s="32"/>
    </row>
    <row r="169" spans="1:15" x14ac:dyDescent="0.25">
      <c r="A169" s="29">
        <v>11</v>
      </c>
      <c r="B169" t="s">
        <v>396</v>
      </c>
      <c r="C169" s="32">
        <v>15</v>
      </c>
      <c r="D169" t="s">
        <v>754</v>
      </c>
      <c r="E169">
        <v>58</v>
      </c>
      <c r="F169" s="29" t="str">
        <f t="shared" si="5"/>
        <v xml:space="preserve"> - [ ] [[1 Cor 15|Prima lettera di san Paolo Apostolo ai Corinzi, capitolo 15]]</v>
      </c>
      <c r="I169" s="29">
        <v>11</v>
      </c>
      <c r="J169" t="s">
        <v>396</v>
      </c>
      <c r="K169" s="32">
        <v>2</v>
      </c>
      <c r="L169" t="s">
        <v>754</v>
      </c>
      <c r="M169">
        <v>16</v>
      </c>
      <c r="N169" s="29" t="str">
        <f t="shared" ref="N169" si="29">_xlfn.CONCAT(" - [ ] [[",J169," ",K169,"|",L169,", capitolo ",K169,"]]")</f>
        <v xml:space="preserve"> - [ ] [[1 Cor 2|Prima lettera di san Paolo Apostolo ai Corinzi, capitolo 2]]</v>
      </c>
      <c r="O169" s="32"/>
    </row>
    <row r="170" spans="1:15" x14ac:dyDescent="0.25">
      <c r="A170" s="33">
        <v>12</v>
      </c>
      <c r="B170" s="37" t="s">
        <v>396</v>
      </c>
      <c r="C170" s="34">
        <v>16</v>
      </c>
      <c r="D170" s="37" t="s">
        <v>754</v>
      </c>
      <c r="E170" s="37">
        <v>23</v>
      </c>
      <c r="F170" s="33" t="str">
        <f t="shared" si="5"/>
        <v xml:space="preserve"> - [ ] [[1 Cor 16|Prima lettera di san Paolo Apostolo ai Corinzi, capitolo 16]]</v>
      </c>
      <c r="G170" s="34"/>
      <c r="I170" s="29">
        <v>12</v>
      </c>
      <c r="J170" t="s">
        <v>396</v>
      </c>
      <c r="K170" s="32">
        <v>3</v>
      </c>
      <c r="L170" t="s">
        <v>754</v>
      </c>
      <c r="M170">
        <v>23</v>
      </c>
      <c r="N170" s="29" t="str">
        <f t="shared" ref="N170" si="30">_xlfn.CONCAT(" - [ ] [[",J170," ",K170,"|",L170,", capitolo ",K170,"]]")</f>
        <v xml:space="preserve"> - [ ] [[1 Cor 3|Prima lettera di san Paolo Apostolo ai Corinzi, capitolo 3]]</v>
      </c>
      <c r="O170" s="32"/>
    </row>
    <row r="171" spans="1:15" x14ac:dyDescent="0.25">
      <c r="A171" s="29">
        <v>13</v>
      </c>
      <c r="B171" t="s">
        <v>400</v>
      </c>
      <c r="C171" s="32">
        <v>1</v>
      </c>
      <c r="D171" t="s">
        <v>758</v>
      </c>
      <c r="E171">
        <v>24</v>
      </c>
      <c r="F171" s="29" t="str">
        <f t="shared" si="5"/>
        <v xml:space="preserve"> - [ ] [[2 Cor 1|Seconda lettera di san Paolo Apostolo ai Corinzi, capitolo 1]]</v>
      </c>
      <c r="I171" s="29">
        <v>13</v>
      </c>
      <c r="J171" t="s">
        <v>396</v>
      </c>
      <c r="K171" s="32">
        <v>4</v>
      </c>
      <c r="L171" t="s">
        <v>754</v>
      </c>
      <c r="M171">
        <v>21</v>
      </c>
      <c r="N171" s="29" t="str">
        <f t="shared" ref="N171" si="31">_xlfn.CONCAT(" - [ ] [[",J171," ",K171,"|",L171,", capitolo ",K171,"]]")</f>
        <v xml:space="preserve"> - [ ] [[1 Cor 4|Prima lettera di san Paolo Apostolo ai Corinzi, capitolo 4]]</v>
      </c>
      <c r="O171" s="32"/>
    </row>
    <row r="172" spans="1:15" x14ac:dyDescent="0.25">
      <c r="A172" s="29">
        <v>14</v>
      </c>
      <c r="B172" t="s">
        <v>400</v>
      </c>
      <c r="C172" s="32">
        <v>2</v>
      </c>
      <c r="D172" t="s">
        <v>758</v>
      </c>
      <c r="E172">
        <v>17</v>
      </c>
      <c r="F172" s="29" t="str">
        <f t="shared" si="5"/>
        <v xml:space="preserve"> - [ ] [[2 Cor 2|Seconda lettera di san Paolo Apostolo ai Corinzi, capitolo 2]]</v>
      </c>
      <c r="I172" s="29">
        <v>14</v>
      </c>
      <c r="J172" t="s">
        <v>396</v>
      </c>
      <c r="K172" s="32">
        <v>5</v>
      </c>
      <c r="L172" t="s">
        <v>754</v>
      </c>
      <c r="M172">
        <v>13</v>
      </c>
      <c r="N172" s="29" t="str">
        <f t="shared" ref="N172" si="32">_xlfn.CONCAT(" - [ ] [[",J172," ",K172,"|",L172,", capitolo ",K172,"]]")</f>
        <v xml:space="preserve"> - [ ] [[1 Cor 5|Prima lettera di san Paolo Apostolo ai Corinzi, capitolo 5]]</v>
      </c>
      <c r="O172" s="32"/>
    </row>
    <row r="173" spans="1:15" x14ac:dyDescent="0.25">
      <c r="A173" s="29">
        <v>15</v>
      </c>
      <c r="B173" t="s">
        <v>400</v>
      </c>
      <c r="C173" s="32">
        <v>3</v>
      </c>
      <c r="D173" t="s">
        <v>758</v>
      </c>
      <c r="E173">
        <v>18</v>
      </c>
      <c r="F173" s="29" t="str">
        <f t="shared" si="5"/>
        <v xml:space="preserve"> - [ ] [[2 Cor 3|Seconda lettera di san Paolo Apostolo ai Corinzi, capitolo 3]]</v>
      </c>
      <c r="I173" s="29">
        <v>15</v>
      </c>
      <c r="J173" t="s">
        <v>396</v>
      </c>
      <c r="K173" s="32">
        <v>6</v>
      </c>
      <c r="L173" t="s">
        <v>754</v>
      </c>
      <c r="M173">
        <v>20</v>
      </c>
      <c r="N173" s="29" t="str">
        <f t="shared" ref="N173" si="33">_xlfn.CONCAT(" - [ ] [[",J173," ",K173,"|",L173,", capitolo ",K173,"]]")</f>
        <v xml:space="preserve"> - [ ] [[1 Cor 6|Prima lettera di san Paolo Apostolo ai Corinzi, capitolo 6]]</v>
      </c>
      <c r="O173" s="32"/>
    </row>
    <row r="174" spans="1:15" x14ac:dyDescent="0.25">
      <c r="A174" s="29">
        <v>16</v>
      </c>
      <c r="B174" t="s">
        <v>400</v>
      </c>
      <c r="C174" s="32">
        <v>4</v>
      </c>
      <c r="D174" t="s">
        <v>758</v>
      </c>
      <c r="E174">
        <v>18</v>
      </c>
      <c r="F174" s="29" t="str">
        <f t="shared" si="5"/>
        <v xml:space="preserve"> - [ ] [[2 Cor 4|Seconda lettera di san Paolo Apostolo ai Corinzi, capitolo 4]]</v>
      </c>
      <c r="I174" s="29">
        <v>16</v>
      </c>
      <c r="J174" t="s">
        <v>396</v>
      </c>
      <c r="K174" s="32">
        <v>7</v>
      </c>
      <c r="L174" t="s">
        <v>754</v>
      </c>
      <c r="M174">
        <v>40</v>
      </c>
      <c r="N174" s="29" t="str">
        <f t="shared" ref="N174" si="34">_xlfn.CONCAT(" - [ ] [[",J174," ",K174,"|",L174,", capitolo ",K174,"]]")</f>
        <v xml:space="preserve"> - [ ] [[1 Cor 7|Prima lettera di san Paolo Apostolo ai Corinzi, capitolo 7]]</v>
      </c>
      <c r="O174" s="32"/>
    </row>
    <row r="175" spans="1:15" x14ac:dyDescent="0.25">
      <c r="A175" s="29">
        <v>17</v>
      </c>
      <c r="B175" t="s">
        <v>400</v>
      </c>
      <c r="C175" s="32">
        <v>5</v>
      </c>
      <c r="D175" t="s">
        <v>758</v>
      </c>
      <c r="E175">
        <v>21</v>
      </c>
      <c r="F175" s="29" t="str">
        <f t="shared" si="5"/>
        <v xml:space="preserve"> - [ ] [[2 Cor 5|Seconda lettera di san Paolo Apostolo ai Corinzi, capitolo 5]]</v>
      </c>
      <c r="I175" s="29">
        <v>17</v>
      </c>
      <c r="J175" t="s">
        <v>396</v>
      </c>
      <c r="K175" s="32">
        <v>8</v>
      </c>
      <c r="L175" t="s">
        <v>754</v>
      </c>
      <c r="M175">
        <v>13</v>
      </c>
      <c r="N175" s="29" t="str">
        <f t="shared" ref="N175" si="35">_xlfn.CONCAT(" - [ ] [[",J175," ",K175,"|",L175,", capitolo ",K175,"]]")</f>
        <v xml:space="preserve"> - [ ] [[1 Cor 8|Prima lettera di san Paolo Apostolo ai Corinzi, capitolo 8]]</v>
      </c>
      <c r="O175" s="32"/>
    </row>
    <row r="176" spans="1:15" x14ac:dyDescent="0.25">
      <c r="A176" s="29">
        <v>18</v>
      </c>
      <c r="B176" t="s">
        <v>400</v>
      </c>
      <c r="C176" s="32">
        <v>6</v>
      </c>
      <c r="D176" t="s">
        <v>758</v>
      </c>
      <c r="E176">
        <v>18</v>
      </c>
      <c r="F176" s="29" t="str">
        <f t="shared" si="5"/>
        <v xml:space="preserve"> - [ ] [[2 Cor 6|Seconda lettera di san Paolo Apostolo ai Corinzi, capitolo 6]]</v>
      </c>
      <c r="I176" s="29">
        <v>18</v>
      </c>
      <c r="J176" t="s">
        <v>396</v>
      </c>
      <c r="K176" s="32">
        <v>9</v>
      </c>
      <c r="L176" t="s">
        <v>754</v>
      </c>
      <c r="M176">
        <v>27</v>
      </c>
      <c r="N176" s="29" t="str">
        <f t="shared" ref="N176" si="36">_xlfn.CONCAT(" - [ ] [[",J176," ",K176,"|",L176,", capitolo ",K176,"]]")</f>
        <v xml:space="preserve"> - [ ] [[1 Cor 9|Prima lettera di san Paolo Apostolo ai Corinzi, capitolo 9]]</v>
      </c>
      <c r="O176" s="32"/>
    </row>
    <row r="177" spans="1:15" x14ac:dyDescent="0.25">
      <c r="A177" s="29">
        <v>19</v>
      </c>
      <c r="B177" t="s">
        <v>400</v>
      </c>
      <c r="C177" s="32">
        <v>7</v>
      </c>
      <c r="D177" t="s">
        <v>758</v>
      </c>
      <c r="E177">
        <v>16</v>
      </c>
      <c r="F177" s="29" t="str">
        <f t="shared" si="5"/>
        <v xml:space="preserve"> - [ ] [[2 Cor 7|Seconda lettera di san Paolo Apostolo ai Corinzi, capitolo 7]]</v>
      </c>
      <c r="I177" s="29">
        <v>19</v>
      </c>
      <c r="J177" t="s">
        <v>396</v>
      </c>
      <c r="K177" s="32">
        <v>10</v>
      </c>
      <c r="L177" t="s">
        <v>754</v>
      </c>
      <c r="M177">
        <v>33</v>
      </c>
      <c r="N177" s="29" t="str">
        <f t="shared" ref="N177" si="37">_xlfn.CONCAT(" - [ ] [[",J177," ",K177,"|",L177,", capitolo ",K177,"]]")</f>
        <v xml:space="preserve"> - [ ] [[1 Cor 10|Prima lettera di san Paolo Apostolo ai Corinzi, capitolo 10]]</v>
      </c>
      <c r="O177" s="32"/>
    </row>
    <row r="178" spans="1:15" x14ac:dyDescent="0.25">
      <c r="A178" s="29">
        <v>20</v>
      </c>
      <c r="B178" t="s">
        <v>400</v>
      </c>
      <c r="C178" s="32">
        <v>8</v>
      </c>
      <c r="D178" t="s">
        <v>758</v>
      </c>
      <c r="E178">
        <v>24</v>
      </c>
      <c r="F178" s="29" t="str">
        <f t="shared" si="5"/>
        <v xml:space="preserve"> - [ ] [[2 Cor 8|Seconda lettera di san Paolo Apostolo ai Corinzi, capitolo 8]]</v>
      </c>
      <c r="I178" s="29">
        <v>20</v>
      </c>
      <c r="J178" t="s">
        <v>396</v>
      </c>
      <c r="K178" s="32">
        <v>11</v>
      </c>
      <c r="L178" t="s">
        <v>754</v>
      </c>
      <c r="M178">
        <v>34</v>
      </c>
      <c r="N178" s="29" t="str">
        <f t="shared" ref="N178" si="38">_xlfn.CONCAT(" - [ ] [[",J178," ",K178,"|",L178,", capitolo ",K178,"]]")</f>
        <v xml:space="preserve"> - [ ] [[1 Cor 11|Prima lettera di san Paolo Apostolo ai Corinzi, capitolo 11]]</v>
      </c>
      <c r="O178" s="32"/>
    </row>
    <row r="179" spans="1:15" x14ac:dyDescent="0.25">
      <c r="A179" s="29">
        <v>21</v>
      </c>
      <c r="B179" t="s">
        <v>400</v>
      </c>
      <c r="C179" s="32">
        <v>9</v>
      </c>
      <c r="D179" t="s">
        <v>758</v>
      </c>
      <c r="E179">
        <v>15</v>
      </c>
      <c r="F179" s="29" t="str">
        <f t="shared" si="5"/>
        <v xml:space="preserve"> - [ ] [[2 Cor 9|Seconda lettera di san Paolo Apostolo ai Corinzi, capitolo 9]]</v>
      </c>
      <c r="I179" s="29">
        <v>21</v>
      </c>
      <c r="J179" t="s">
        <v>396</v>
      </c>
      <c r="K179" s="32">
        <v>12</v>
      </c>
      <c r="L179" t="s">
        <v>754</v>
      </c>
      <c r="M179">
        <v>31</v>
      </c>
      <c r="N179" s="29" t="str">
        <f t="shared" ref="N179" si="39">_xlfn.CONCAT(" - [ ] [[",J179," ",K179,"|",L179,", capitolo ",K179,"]]")</f>
        <v xml:space="preserve"> - [ ] [[1 Cor 12|Prima lettera di san Paolo Apostolo ai Corinzi, capitolo 12]]</v>
      </c>
      <c r="O179" s="32"/>
    </row>
    <row r="180" spans="1:15" x14ac:dyDescent="0.25">
      <c r="A180" s="29">
        <v>22</v>
      </c>
      <c r="B180" t="s">
        <v>400</v>
      </c>
      <c r="C180" s="32">
        <v>10</v>
      </c>
      <c r="D180" t="s">
        <v>758</v>
      </c>
      <c r="E180">
        <v>18</v>
      </c>
      <c r="F180" s="29" t="str">
        <f t="shared" si="5"/>
        <v xml:space="preserve"> - [ ] [[2 Cor 10|Seconda lettera di san Paolo Apostolo ai Corinzi, capitolo 10]]</v>
      </c>
      <c r="I180" s="29">
        <v>22</v>
      </c>
      <c r="J180" t="s">
        <v>396</v>
      </c>
      <c r="K180" s="32">
        <v>13</v>
      </c>
      <c r="L180" t="s">
        <v>754</v>
      </c>
      <c r="M180">
        <v>13</v>
      </c>
      <c r="N180" s="29" t="str">
        <f t="shared" ref="N180" si="40">_xlfn.CONCAT(" - [ ] [[",J180," ",K180,"|",L180,", capitolo ",K180,"]]")</f>
        <v xml:space="preserve"> - [ ] [[1 Cor 13|Prima lettera di san Paolo Apostolo ai Corinzi, capitolo 13]]</v>
      </c>
      <c r="O180" s="32"/>
    </row>
    <row r="181" spans="1:15" x14ac:dyDescent="0.25">
      <c r="A181" s="29">
        <v>23</v>
      </c>
      <c r="B181" t="s">
        <v>400</v>
      </c>
      <c r="C181" s="32">
        <v>11</v>
      </c>
      <c r="D181" t="s">
        <v>758</v>
      </c>
      <c r="E181">
        <v>33</v>
      </c>
      <c r="F181" s="29" t="str">
        <f t="shared" si="5"/>
        <v xml:space="preserve"> - [ ] [[2 Cor 11|Seconda lettera di san Paolo Apostolo ai Corinzi, capitolo 11]]</v>
      </c>
      <c r="I181" s="29">
        <v>23</v>
      </c>
      <c r="J181" t="s">
        <v>396</v>
      </c>
      <c r="K181" s="32">
        <v>14</v>
      </c>
      <c r="L181" t="s">
        <v>754</v>
      </c>
      <c r="M181">
        <v>40</v>
      </c>
      <c r="N181" s="29" t="str">
        <f t="shared" ref="N181" si="41">_xlfn.CONCAT(" - [ ] [[",J181," ",K181,"|",L181,", capitolo ",K181,"]]")</f>
        <v xml:space="preserve"> - [ ] [[1 Cor 14|Prima lettera di san Paolo Apostolo ai Corinzi, capitolo 14]]</v>
      </c>
      <c r="O181" s="32"/>
    </row>
    <row r="182" spans="1:15" x14ac:dyDescent="0.25">
      <c r="A182" s="29">
        <v>24</v>
      </c>
      <c r="B182" t="s">
        <v>400</v>
      </c>
      <c r="C182" s="32">
        <v>12</v>
      </c>
      <c r="D182" t="s">
        <v>758</v>
      </c>
      <c r="E182">
        <v>21</v>
      </c>
      <c r="F182" s="29" t="str">
        <f t="shared" si="5"/>
        <v xml:space="preserve"> - [ ] [[2 Cor 12|Seconda lettera di san Paolo Apostolo ai Corinzi, capitolo 12]]</v>
      </c>
      <c r="I182" s="29">
        <v>24</v>
      </c>
      <c r="J182" t="s">
        <v>396</v>
      </c>
      <c r="K182" s="32">
        <v>15</v>
      </c>
      <c r="L182" t="s">
        <v>754</v>
      </c>
      <c r="M182">
        <v>58</v>
      </c>
      <c r="N182" s="29" t="str">
        <f t="shared" ref="N182" si="42">_xlfn.CONCAT(" - [ ] [[",J182," ",K182,"|",L182,", capitolo ",K182,"]]")</f>
        <v xml:space="preserve"> - [ ] [[1 Cor 15|Prima lettera di san Paolo Apostolo ai Corinzi, capitolo 15]]</v>
      </c>
      <c r="O182" s="32"/>
    </row>
    <row r="183" spans="1:15" x14ac:dyDescent="0.25">
      <c r="A183" s="33">
        <v>25</v>
      </c>
      <c r="B183" s="37" t="s">
        <v>400</v>
      </c>
      <c r="C183" s="34">
        <v>13</v>
      </c>
      <c r="D183" s="37" t="s">
        <v>758</v>
      </c>
      <c r="E183" s="37">
        <v>13</v>
      </c>
      <c r="F183" s="33" t="str">
        <f t="shared" si="5"/>
        <v xml:space="preserve"> - [ ] [[2 Cor 13|Seconda lettera di san Paolo Apostolo ai Corinzi, capitolo 13]]</v>
      </c>
      <c r="G183" s="34"/>
      <c r="I183" s="33">
        <v>25</v>
      </c>
      <c r="J183" s="37" t="s">
        <v>396</v>
      </c>
      <c r="K183" s="34">
        <v>16</v>
      </c>
      <c r="L183" s="37" t="s">
        <v>754</v>
      </c>
      <c r="M183" s="37">
        <v>23</v>
      </c>
      <c r="N183" s="33" t="str">
        <f t="shared" ref="N183" si="43">_xlfn.CONCAT(" - [ ] [[",J183," ",K183,"|",L183,", capitolo ",K183,"]]")</f>
        <v xml:space="preserve"> - [ ] [[1 Cor 16|Prima lettera di san Paolo Apostolo ai Corinzi, capitolo 16]]</v>
      </c>
      <c r="O183" s="34"/>
    </row>
    <row r="184" spans="1:15" x14ac:dyDescent="0.25">
      <c r="A184" s="29">
        <v>26</v>
      </c>
      <c r="B184" t="s">
        <v>37</v>
      </c>
      <c r="C184" s="32">
        <v>1</v>
      </c>
      <c r="D184" t="s">
        <v>435</v>
      </c>
      <c r="E184">
        <v>14</v>
      </c>
      <c r="F184" s="29" t="str">
        <f t="shared" si="5"/>
        <v xml:space="preserve"> - [ ] [[Eb 1|Lettera agli Ebrei, capitolo 1]]</v>
      </c>
      <c r="I184" s="29">
        <v>26</v>
      </c>
      <c r="J184" t="s">
        <v>400</v>
      </c>
      <c r="K184" s="32">
        <v>1</v>
      </c>
      <c r="L184" t="s">
        <v>758</v>
      </c>
      <c r="M184">
        <v>24</v>
      </c>
      <c r="N184" s="29" t="str">
        <f t="shared" ref="N184" si="44">_xlfn.CONCAT(" - [ ] [[",J184," ",K184,"|",L184,", capitolo ",K184,"]]")</f>
        <v xml:space="preserve"> - [ ] [[2 Cor 1|Seconda lettera di san Paolo Apostolo ai Corinzi, capitolo 1]]</v>
      </c>
      <c r="O184" s="32"/>
    </row>
    <row r="185" spans="1:15" x14ac:dyDescent="0.25">
      <c r="A185" s="29">
        <v>27</v>
      </c>
      <c r="B185" t="s">
        <v>37</v>
      </c>
      <c r="C185" s="32">
        <v>2</v>
      </c>
      <c r="D185" t="s">
        <v>435</v>
      </c>
      <c r="E185">
        <v>18</v>
      </c>
      <c r="F185" s="29" t="str">
        <f t="shared" si="5"/>
        <v xml:space="preserve"> - [ ] [[Eb 2|Lettera agli Ebrei, capitolo 2]]</v>
      </c>
      <c r="I185" s="29">
        <v>27</v>
      </c>
      <c r="J185" t="s">
        <v>400</v>
      </c>
      <c r="K185" s="32">
        <v>2</v>
      </c>
      <c r="L185" t="s">
        <v>758</v>
      </c>
      <c r="M185">
        <v>17</v>
      </c>
      <c r="N185" s="29" t="str">
        <f t="shared" ref="N185" si="45">_xlfn.CONCAT(" - [ ] [[",J185," ",K185,"|",L185,", capitolo ",K185,"]]")</f>
        <v xml:space="preserve"> - [ ] [[2 Cor 2|Seconda lettera di san Paolo Apostolo ai Corinzi, capitolo 2]]</v>
      </c>
      <c r="O185" s="32"/>
    </row>
    <row r="186" spans="1:15" x14ac:dyDescent="0.25">
      <c r="A186" s="29">
        <v>28</v>
      </c>
      <c r="B186" t="s">
        <v>37</v>
      </c>
      <c r="C186" s="32">
        <v>3</v>
      </c>
      <c r="D186" t="s">
        <v>435</v>
      </c>
      <c r="E186">
        <v>19</v>
      </c>
      <c r="F186" s="29" t="str">
        <f t="shared" si="5"/>
        <v xml:space="preserve"> - [ ] [[Eb 3|Lettera agli Ebrei, capitolo 3]]</v>
      </c>
      <c r="I186" s="29">
        <v>28</v>
      </c>
      <c r="J186" t="s">
        <v>400</v>
      </c>
      <c r="K186" s="32">
        <v>3</v>
      </c>
      <c r="L186" t="s">
        <v>758</v>
      </c>
      <c r="M186">
        <v>18</v>
      </c>
      <c r="N186" s="29" t="str">
        <f t="shared" ref="N186" si="46">_xlfn.CONCAT(" - [ ] [[",J186," ",K186,"|",L186,", capitolo ",K186,"]]")</f>
        <v xml:space="preserve"> - [ ] [[2 Cor 3|Seconda lettera di san Paolo Apostolo ai Corinzi, capitolo 3]]</v>
      </c>
      <c r="O186" s="32"/>
    </row>
    <row r="187" spans="1:15" x14ac:dyDescent="0.25">
      <c r="A187" s="29">
        <v>29</v>
      </c>
      <c r="B187" t="s">
        <v>37</v>
      </c>
      <c r="C187" s="32">
        <v>4</v>
      </c>
      <c r="D187" t="s">
        <v>435</v>
      </c>
      <c r="E187">
        <v>16</v>
      </c>
      <c r="F187" s="29" t="str">
        <f t="shared" si="5"/>
        <v xml:space="preserve"> - [ ] [[Eb 4|Lettera agli Ebrei, capitolo 4]]</v>
      </c>
      <c r="I187" s="29">
        <v>29</v>
      </c>
      <c r="J187" t="s">
        <v>400</v>
      </c>
      <c r="K187" s="32">
        <v>4</v>
      </c>
      <c r="L187" t="s">
        <v>758</v>
      </c>
      <c r="M187">
        <v>18</v>
      </c>
      <c r="N187" s="29" t="str">
        <f t="shared" ref="N187" si="47">_xlfn.CONCAT(" - [ ] [[",J187," ",K187,"|",L187,", capitolo ",K187,"]]")</f>
        <v xml:space="preserve"> - [ ] [[2 Cor 4|Seconda lettera di san Paolo Apostolo ai Corinzi, capitolo 4]]</v>
      </c>
      <c r="O187" s="32"/>
    </row>
    <row r="188" spans="1:15" x14ac:dyDescent="0.25">
      <c r="A188" s="29">
        <v>30</v>
      </c>
      <c r="B188" t="s">
        <v>37</v>
      </c>
      <c r="C188" s="32">
        <v>5</v>
      </c>
      <c r="D188" t="s">
        <v>435</v>
      </c>
      <c r="E188">
        <v>14</v>
      </c>
      <c r="F188" s="29" t="str">
        <f t="shared" si="5"/>
        <v xml:space="preserve"> - [ ] [[Eb 5|Lettera agli Ebrei, capitolo 5]]</v>
      </c>
      <c r="I188" s="29">
        <v>30</v>
      </c>
      <c r="J188" t="s">
        <v>400</v>
      </c>
      <c r="K188" s="32">
        <v>5</v>
      </c>
      <c r="L188" t="s">
        <v>758</v>
      </c>
      <c r="M188">
        <v>21</v>
      </c>
      <c r="N188" s="29" t="str">
        <f t="shared" ref="N188" si="48">_xlfn.CONCAT(" - [ ] [[",J188," ",K188,"|",L188,", capitolo ",K188,"]]")</f>
        <v xml:space="preserve"> - [ ] [[2 Cor 5|Seconda lettera di san Paolo Apostolo ai Corinzi, capitolo 5]]</v>
      </c>
      <c r="O188" s="32"/>
    </row>
    <row r="189" spans="1:15" x14ac:dyDescent="0.25">
      <c r="A189" s="30" t="s">
        <v>868</v>
      </c>
      <c r="B189" t="s">
        <v>37</v>
      </c>
      <c r="C189" s="32">
        <v>6</v>
      </c>
      <c r="D189" t="s">
        <v>435</v>
      </c>
      <c r="E189">
        <v>20</v>
      </c>
      <c r="F189" s="29" t="str">
        <f t="shared" si="5"/>
        <v xml:space="preserve"> - [ ] [[Eb 6|Lettera agli Ebrei, capitolo 6]]</v>
      </c>
      <c r="I189" s="30" t="s">
        <v>868</v>
      </c>
      <c r="J189" t="s">
        <v>400</v>
      </c>
      <c r="K189" s="32">
        <v>6</v>
      </c>
      <c r="L189" t="s">
        <v>758</v>
      </c>
      <c r="M189">
        <v>18</v>
      </c>
      <c r="N189" s="29" t="str">
        <f t="shared" ref="N189" si="49">_xlfn.CONCAT(" - [ ] [[",J189," ",K189,"|",L189,", capitolo ",K189,"]]")</f>
        <v xml:space="preserve"> - [ ] [[2 Cor 6|Seconda lettera di san Paolo Apostolo ai Corinzi, capitolo 6]]</v>
      </c>
      <c r="O189" s="32"/>
    </row>
    <row r="190" spans="1:15" x14ac:dyDescent="0.25">
      <c r="A190" s="29">
        <v>1</v>
      </c>
      <c r="B190" t="s">
        <v>37</v>
      </c>
      <c r="C190" s="32">
        <v>7</v>
      </c>
      <c r="D190" t="s">
        <v>435</v>
      </c>
      <c r="E190">
        <v>28</v>
      </c>
      <c r="F190" s="29" t="str">
        <f t="shared" si="5"/>
        <v xml:space="preserve"> - [ ] [[Eb 7|Lettera agli Ebrei, capitolo 7]]</v>
      </c>
      <c r="I190" s="29">
        <v>1</v>
      </c>
      <c r="J190" t="s">
        <v>400</v>
      </c>
      <c r="K190" s="32">
        <v>7</v>
      </c>
      <c r="L190" t="s">
        <v>758</v>
      </c>
      <c r="M190">
        <v>16</v>
      </c>
      <c r="N190" s="29" t="str">
        <f t="shared" ref="N190" si="50">_xlfn.CONCAT(" - [ ] [[",J190," ",K190,"|",L190,", capitolo ",K190,"]]")</f>
        <v xml:space="preserve"> - [ ] [[2 Cor 7|Seconda lettera di san Paolo Apostolo ai Corinzi, capitolo 7]]</v>
      </c>
      <c r="O190" s="32"/>
    </row>
    <row r="191" spans="1:15" x14ac:dyDescent="0.25">
      <c r="A191" s="29">
        <v>2</v>
      </c>
      <c r="B191" t="s">
        <v>37</v>
      </c>
      <c r="C191" s="32">
        <v>8</v>
      </c>
      <c r="D191" t="s">
        <v>435</v>
      </c>
      <c r="E191">
        <v>13</v>
      </c>
      <c r="F191" s="29" t="str">
        <f t="shared" si="5"/>
        <v xml:space="preserve"> - [ ] [[Eb 8|Lettera agli Ebrei, capitolo 8]]</v>
      </c>
      <c r="I191" s="29">
        <v>2</v>
      </c>
      <c r="J191" t="s">
        <v>400</v>
      </c>
      <c r="K191" s="32">
        <v>8</v>
      </c>
      <c r="L191" t="s">
        <v>758</v>
      </c>
      <c r="M191">
        <v>24</v>
      </c>
      <c r="N191" s="29" t="str">
        <f t="shared" ref="N191" si="51">_xlfn.CONCAT(" - [ ] [[",J191," ",K191,"|",L191,", capitolo ",K191,"]]")</f>
        <v xml:space="preserve"> - [ ] [[2 Cor 8|Seconda lettera di san Paolo Apostolo ai Corinzi, capitolo 8]]</v>
      </c>
      <c r="O191" s="32"/>
    </row>
    <row r="192" spans="1:15" x14ac:dyDescent="0.25">
      <c r="A192" s="29">
        <v>3</v>
      </c>
      <c r="B192" t="s">
        <v>37</v>
      </c>
      <c r="C192" s="32">
        <v>9</v>
      </c>
      <c r="D192" t="s">
        <v>435</v>
      </c>
      <c r="E192">
        <v>28</v>
      </c>
      <c r="F192" s="29" t="str">
        <f t="shared" si="5"/>
        <v xml:space="preserve"> - [ ] [[Eb 9|Lettera agli Ebrei, capitolo 9]]</v>
      </c>
      <c r="I192" s="29">
        <v>3</v>
      </c>
      <c r="J192" t="s">
        <v>400</v>
      </c>
      <c r="K192" s="32">
        <v>9</v>
      </c>
      <c r="L192" t="s">
        <v>758</v>
      </c>
      <c r="M192">
        <v>15</v>
      </c>
      <c r="N192" s="29" t="str">
        <f t="shared" ref="N192" si="52">_xlfn.CONCAT(" - [ ] [[",J192," ",K192,"|",L192,", capitolo ",K192,"]]")</f>
        <v xml:space="preserve"> - [ ] [[2 Cor 9|Seconda lettera di san Paolo Apostolo ai Corinzi, capitolo 9]]</v>
      </c>
      <c r="O192" s="32"/>
    </row>
    <row r="193" spans="1:15" x14ac:dyDescent="0.25">
      <c r="A193" s="29">
        <v>4</v>
      </c>
      <c r="B193" t="s">
        <v>37</v>
      </c>
      <c r="C193" s="32">
        <v>10</v>
      </c>
      <c r="D193" t="s">
        <v>435</v>
      </c>
      <c r="E193">
        <v>39</v>
      </c>
      <c r="F193" s="29" t="str">
        <f t="shared" si="5"/>
        <v xml:space="preserve"> - [ ] [[Eb 10|Lettera agli Ebrei, capitolo 10]]</v>
      </c>
      <c r="I193" s="29">
        <v>4</v>
      </c>
      <c r="J193" t="s">
        <v>400</v>
      </c>
      <c r="K193" s="32">
        <v>10</v>
      </c>
      <c r="L193" t="s">
        <v>758</v>
      </c>
      <c r="M193">
        <v>18</v>
      </c>
      <c r="N193" s="29" t="str">
        <f t="shared" ref="N193" si="53">_xlfn.CONCAT(" - [ ] [[",J193," ",K193,"|",L193,", capitolo ",K193,"]]")</f>
        <v xml:space="preserve"> - [ ] [[2 Cor 10|Seconda lettera di san Paolo Apostolo ai Corinzi, capitolo 10]]</v>
      </c>
      <c r="O193" s="32"/>
    </row>
    <row r="194" spans="1:15" x14ac:dyDescent="0.25">
      <c r="A194" s="29">
        <v>5</v>
      </c>
      <c r="B194" t="s">
        <v>37</v>
      </c>
      <c r="C194" s="32">
        <v>11</v>
      </c>
      <c r="D194" t="s">
        <v>435</v>
      </c>
      <c r="E194">
        <v>40</v>
      </c>
      <c r="F194" s="29" t="str">
        <f t="shared" si="5"/>
        <v xml:space="preserve"> - [ ] [[Eb 11|Lettera agli Ebrei, capitolo 11]]</v>
      </c>
      <c r="I194" s="29">
        <v>5</v>
      </c>
      <c r="J194" t="s">
        <v>400</v>
      </c>
      <c r="K194" s="32">
        <v>11</v>
      </c>
      <c r="L194" t="s">
        <v>758</v>
      </c>
      <c r="M194">
        <v>33</v>
      </c>
      <c r="N194" s="29" t="str">
        <f t="shared" ref="N194" si="54">_xlfn.CONCAT(" - [ ] [[",J194," ",K194,"|",L194,", capitolo ",K194,"]]")</f>
        <v xml:space="preserve"> - [ ] [[2 Cor 11|Seconda lettera di san Paolo Apostolo ai Corinzi, capitolo 11]]</v>
      </c>
      <c r="O194" s="32"/>
    </row>
    <row r="195" spans="1:15" x14ac:dyDescent="0.25">
      <c r="A195" s="29">
        <v>6</v>
      </c>
      <c r="B195" t="s">
        <v>37</v>
      </c>
      <c r="C195" s="32">
        <v>12</v>
      </c>
      <c r="D195" t="s">
        <v>435</v>
      </c>
      <c r="E195">
        <v>29</v>
      </c>
      <c r="F195" s="29" t="str">
        <f t="shared" si="5"/>
        <v xml:space="preserve"> - [ ] [[Eb 12|Lettera agli Ebrei, capitolo 12]]</v>
      </c>
      <c r="I195" s="29">
        <v>6</v>
      </c>
      <c r="J195" t="s">
        <v>400</v>
      </c>
      <c r="K195" s="32">
        <v>12</v>
      </c>
      <c r="L195" t="s">
        <v>758</v>
      </c>
      <c r="M195">
        <v>21</v>
      </c>
      <c r="N195" s="29" t="str">
        <f t="shared" ref="N195" si="55">_xlfn.CONCAT(" - [ ] [[",J195," ",K195,"|",L195,", capitolo ",K195,"]]")</f>
        <v xml:space="preserve"> - [ ] [[2 Cor 12|Seconda lettera di san Paolo Apostolo ai Corinzi, capitolo 12]]</v>
      </c>
      <c r="O195" s="32"/>
    </row>
    <row r="196" spans="1:15" x14ac:dyDescent="0.25">
      <c r="A196" s="33">
        <v>7</v>
      </c>
      <c r="B196" s="37" t="s">
        <v>37</v>
      </c>
      <c r="C196" s="34">
        <v>13</v>
      </c>
      <c r="D196" s="37" t="s">
        <v>435</v>
      </c>
      <c r="E196" s="37">
        <v>24</v>
      </c>
      <c r="F196" s="33" t="str">
        <f t="shared" ref="F196:F259" si="56">_xlfn.CONCAT(" - [ ] [[",B196," ",C196,"|",D196,", capitolo ",C196,"]]")</f>
        <v xml:space="preserve"> - [ ] [[Eb 13|Lettera agli Ebrei, capitolo 13]]</v>
      </c>
      <c r="G196" s="34"/>
      <c r="I196" s="33">
        <v>7</v>
      </c>
      <c r="J196" s="37" t="s">
        <v>400</v>
      </c>
      <c r="K196" s="34">
        <v>13</v>
      </c>
      <c r="L196" s="37" t="s">
        <v>758</v>
      </c>
      <c r="M196" s="37">
        <v>13</v>
      </c>
      <c r="N196" s="33" t="str">
        <f t="shared" ref="N196" si="57">_xlfn.CONCAT(" - [ ] [[",J196," ",K196,"|",L196,", capitolo ",K196,"]]")</f>
        <v xml:space="preserve"> - [ ] [[2 Cor 13|Seconda lettera di san Paolo Apostolo ai Corinzi, capitolo 13]]</v>
      </c>
      <c r="O196" s="34"/>
    </row>
    <row r="197" spans="1:15" x14ac:dyDescent="0.25">
      <c r="A197" s="29">
        <v>8</v>
      </c>
      <c r="B197" t="s">
        <v>148</v>
      </c>
      <c r="C197" s="32">
        <v>1</v>
      </c>
      <c r="D197" t="s">
        <v>855</v>
      </c>
      <c r="E197">
        <v>25</v>
      </c>
      <c r="F197" s="29" t="str">
        <f t="shared" si="56"/>
        <v xml:space="preserve"> - [ ] [[Mt 1|Vangelo di san Matteo Apostolo ed Evangelista, capitolo 1]]</v>
      </c>
      <c r="I197" s="29">
        <v>8</v>
      </c>
      <c r="J197" t="s">
        <v>37</v>
      </c>
      <c r="K197" s="32">
        <v>1</v>
      </c>
      <c r="L197" t="s">
        <v>435</v>
      </c>
      <c r="M197">
        <v>14</v>
      </c>
      <c r="N197" s="29" t="str">
        <f t="shared" ref="N197" si="58">_xlfn.CONCAT(" - [ ] [[",J197," ",K197,"|",L197,", capitolo ",K197,"]]")</f>
        <v xml:space="preserve"> - [ ] [[Eb 1|Lettera agli Ebrei, capitolo 1]]</v>
      </c>
      <c r="O197" s="32"/>
    </row>
    <row r="198" spans="1:15" x14ac:dyDescent="0.25">
      <c r="A198" s="29">
        <v>9</v>
      </c>
      <c r="B198" t="s">
        <v>148</v>
      </c>
      <c r="C198" s="32">
        <v>2</v>
      </c>
      <c r="D198" t="s">
        <v>855</v>
      </c>
      <c r="E198">
        <v>23</v>
      </c>
      <c r="F198" s="29" t="str">
        <f t="shared" si="56"/>
        <v xml:space="preserve"> - [ ] [[Mt 2|Vangelo di san Matteo Apostolo ed Evangelista, capitolo 2]]</v>
      </c>
      <c r="I198" s="29">
        <v>9</v>
      </c>
      <c r="J198" t="s">
        <v>37</v>
      </c>
      <c r="K198" s="32">
        <v>2</v>
      </c>
      <c r="L198" t="s">
        <v>435</v>
      </c>
      <c r="M198">
        <v>18</v>
      </c>
      <c r="N198" s="29" t="str">
        <f t="shared" ref="N198" si="59">_xlfn.CONCAT(" - [ ] [[",J198," ",K198,"|",L198,", capitolo ",K198,"]]")</f>
        <v xml:space="preserve"> - [ ] [[Eb 2|Lettera agli Ebrei, capitolo 2]]</v>
      </c>
      <c r="O198" s="32"/>
    </row>
    <row r="199" spans="1:15" x14ac:dyDescent="0.25">
      <c r="A199" s="29">
        <v>10</v>
      </c>
      <c r="B199" t="s">
        <v>148</v>
      </c>
      <c r="C199" s="32">
        <v>3</v>
      </c>
      <c r="D199" t="s">
        <v>855</v>
      </c>
      <c r="E199">
        <v>17</v>
      </c>
      <c r="F199" s="29" t="str">
        <f t="shared" si="56"/>
        <v xml:space="preserve"> - [ ] [[Mt 3|Vangelo di san Matteo Apostolo ed Evangelista, capitolo 3]]</v>
      </c>
      <c r="I199" s="29">
        <v>10</v>
      </c>
      <c r="J199" t="s">
        <v>37</v>
      </c>
      <c r="K199" s="32">
        <v>3</v>
      </c>
      <c r="L199" t="s">
        <v>435</v>
      </c>
      <c r="M199">
        <v>19</v>
      </c>
      <c r="N199" s="29" t="str">
        <f t="shared" ref="N199:N262" si="60">_xlfn.CONCAT(" - [ ] [[",J199," ",K199,"|",L199,", capitolo ",K199,"]]")</f>
        <v xml:space="preserve"> - [ ] [[Eb 3|Lettera agli Ebrei, capitolo 3]]</v>
      </c>
      <c r="O199" s="32"/>
    </row>
    <row r="200" spans="1:15" x14ac:dyDescent="0.25">
      <c r="A200" s="29">
        <v>11</v>
      </c>
      <c r="B200" t="s">
        <v>148</v>
      </c>
      <c r="C200" s="32">
        <v>4</v>
      </c>
      <c r="D200" t="s">
        <v>855</v>
      </c>
      <c r="E200">
        <v>25</v>
      </c>
      <c r="F200" s="29" t="str">
        <f t="shared" si="56"/>
        <v xml:space="preserve"> - [ ] [[Mt 4|Vangelo di san Matteo Apostolo ed Evangelista, capitolo 4]]</v>
      </c>
      <c r="I200" s="29">
        <v>11</v>
      </c>
      <c r="J200" t="s">
        <v>37</v>
      </c>
      <c r="K200" s="32">
        <v>4</v>
      </c>
      <c r="L200" t="s">
        <v>435</v>
      </c>
      <c r="M200">
        <v>16</v>
      </c>
      <c r="N200" s="29" t="str">
        <f t="shared" si="60"/>
        <v xml:space="preserve"> - [ ] [[Eb 4|Lettera agli Ebrei, capitolo 4]]</v>
      </c>
      <c r="O200" s="32"/>
    </row>
    <row r="201" spans="1:15" x14ac:dyDescent="0.25">
      <c r="A201" s="29">
        <v>12</v>
      </c>
      <c r="B201" t="s">
        <v>148</v>
      </c>
      <c r="C201" s="32">
        <v>5</v>
      </c>
      <c r="D201" t="s">
        <v>855</v>
      </c>
      <c r="E201">
        <v>48</v>
      </c>
      <c r="F201" s="29" t="str">
        <f t="shared" si="56"/>
        <v xml:space="preserve"> - [ ] [[Mt 5|Vangelo di san Matteo Apostolo ed Evangelista, capitolo 5]]</v>
      </c>
      <c r="I201" s="29">
        <v>12</v>
      </c>
      <c r="J201" t="s">
        <v>37</v>
      </c>
      <c r="K201" s="32">
        <v>5</v>
      </c>
      <c r="L201" t="s">
        <v>435</v>
      </c>
      <c r="M201">
        <v>14</v>
      </c>
      <c r="N201" s="29" t="str">
        <f t="shared" si="60"/>
        <v xml:space="preserve"> - [ ] [[Eb 5|Lettera agli Ebrei, capitolo 5]]</v>
      </c>
      <c r="O201" s="32"/>
    </row>
    <row r="202" spans="1:15" x14ac:dyDescent="0.25">
      <c r="A202" s="29">
        <v>13</v>
      </c>
      <c r="B202" t="s">
        <v>148</v>
      </c>
      <c r="C202" s="32">
        <v>6</v>
      </c>
      <c r="D202" t="s">
        <v>855</v>
      </c>
      <c r="E202">
        <v>34</v>
      </c>
      <c r="F202" s="29" t="str">
        <f t="shared" si="56"/>
        <v xml:space="preserve"> - [ ] [[Mt 6|Vangelo di san Matteo Apostolo ed Evangelista, capitolo 6]]</v>
      </c>
      <c r="I202" s="29">
        <v>13</v>
      </c>
      <c r="J202" t="s">
        <v>37</v>
      </c>
      <c r="K202" s="32">
        <v>6</v>
      </c>
      <c r="L202" t="s">
        <v>435</v>
      </c>
      <c r="M202">
        <v>20</v>
      </c>
      <c r="N202" s="29" t="str">
        <f t="shared" si="60"/>
        <v xml:space="preserve"> - [ ] [[Eb 6|Lettera agli Ebrei, capitolo 6]]</v>
      </c>
      <c r="O202" s="32"/>
    </row>
    <row r="203" spans="1:15" x14ac:dyDescent="0.25">
      <c r="A203" s="29">
        <v>14</v>
      </c>
      <c r="B203" t="s">
        <v>148</v>
      </c>
      <c r="C203" s="32">
        <v>7</v>
      </c>
      <c r="D203" t="s">
        <v>855</v>
      </c>
      <c r="E203">
        <v>29</v>
      </c>
      <c r="F203" s="29" t="str">
        <f t="shared" si="56"/>
        <v xml:space="preserve"> - [ ] [[Mt 7|Vangelo di san Matteo Apostolo ed Evangelista, capitolo 7]]</v>
      </c>
      <c r="I203" s="29">
        <v>14</v>
      </c>
      <c r="J203" t="s">
        <v>37</v>
      </c>
      <c r="K203" s="32">
        <v>7</v>
      </c>
      <c r="L203" t="s">
        <v>435</v>
      </c>
      <c r="M203">
        <v>28</v>
      </c>
      <c r="N203" s="29" t="str">
        <f t="shared" si="60"/>
        <v xml:space="preserve"> - [ ] [[Eb 7|Lettera agli Ebrei, capitolo 7]]</v>
      </c>
      <c r="O203" s="32"/>
    </row>
    <row r="204" spans="1:15" x14ac:dyDescent="0.25">
      <c r="A204" s="29">
        <v>15</v>
      </c>
      <c r="B204" t="s">
        <v>148</v>
      </c>
      <c r="C204" s="32">
        <v>8</v>
      </c>
      <c r="D204" t="s">
        <v>855</v>
      </c>
      <c r="E204">
        <v>34</v>
      </c>
      <c r="F204" s="29" t="str">
        <f t="shared" si="56"/>
        <v xml:space="preserve"> - [ ] [[Mt 8|Vangelo di san Matteo Apostolo ed Evangelista, capitolo 8]]</v>
      </c>
      <c r="I204" s="29">
        <v>15</v>
      </c>
      <c r="J204" t="s">
        <v>37</v>
      </c>
      <c r="K204" s="32">
        <v>8</v>
      </c>
      <c r="L204" t="s">
        <v>435</v>
      </c>
      <c r="M204">
        <v>13</v>
      </c>
      <c r="N204" s="29" t="str">
        <f t="shared" si="60"/>
        <v xml:space="preserve"> - [ ] [[Eb 8|Lettera agli Ebrei, capitolo 8]]</v>
      </c>
      <c r="O204" s="32"/>
    </row>
    <row r="205" spans="1:15" x14ac:dyDescent="0.25">
      <c r="A205" s="29">
        <v>16</v>
      </c>
      <c r="B205" t="s">
        <v>148</v>
      </c>
      <c r="C205" s="32">
        <v>9</v>
      </c>
      <c r="D205" t="s">
        <v>855</v>
      </c>
      <c r="E205">
        <v>38</v>
      </c>
      <c r="F205" s="29" t="str">
        <f t="shared" si="56"/>
        <v xml:space="preserve"> - [ ] [[Mt 9|Vangelo di san Matteo Apostolo ed Evangelista, capitolo 9]]</v>
      </c>
      <c r="I205" s="29">
        <v>16</v>
      </c>
      <c r="J205" t="s">
        <v>37</v>
      </c>
      <c r="K205" s="32">
        <v>9</v>
      </c>
      <c r="L205" t="s">
        <v>435</v>
      </c>
      <c r="M205">
        <v>28</v>
      </c>
      <c r="N205" s="29" t="str">
        <f t="shared" si="60"/>
        <v xml:space="preserve"> - [ ] [[Eb 9|Lettera agli Ebrei, capitolo 9]]</v>
      </c>
      <c r="O205" s="32"/>
    </row>
    <row r="206" spans="1:15" x14ac:dyDescent="0.25">
      <c r="A206" s="29">
        <v>17</v>
      </c>
      <c r="B206" t="s">
        <v>148</v>
      </c>
      <c r="C206" s="32">
        <v>10</v>
      </c>
      <c r="D206" t="s">
        <v>855</v>
      </c>
      <c r="E206">
        <v>42</v>
      </c>
      <c r="F206" s="29" t="str">
        <f t="shared" si="56"/>
        <v xml:space="preserve"> - [ ] [[Mt 10|Vangelo di san Matteo Apostolo ed Evangelista, capitolo 10]]</v>
      </c>
      <c r="I206" s="29">
        <v>17</v>
      </c>
      <c r="J206" t="s">
        <v>37</v>
      </c>
      <c r="K206" s="32">
        <v>10</v>
      </c>
      <c r="L206" t="s">
        <v>435</v>
      </c>
      <c r="M206">
        <v>39</v>
      </c>
      <c r="N206" s="29" t="str">
        <f t="shared" si="60"/>
        <v xml:space="preserve"> - [ ] [[Eb 10|Lettera agli Ebrei, capitolo 10]]</v>
      </c>
      <c r="O206" s="32"/>
    </row>
    <row r="207" spans="1:15" x14ac:dyDescent="0.25">
      <c r="A207" s="29">
        <v>18</v>
      </c>
      <c r="B207" t="s">
        <v>148</v>
      </c>
      <c r="C207" s="32">
        <v>11</v>
      </c>
      <c r="D207" t="s">
        <v>855</v>
      </c>
      <c r="E207">
        <v>30</v>
      </c>
      <c r="F207" s="29" t="str">
        <f t="shared" si="56"/>
        <v xml:space="preserve"> - [ ] [[Mt 11|Vangelo di san Matteo Apostolo ed Evangelista, capitolo 11]]</v>
      </c>
      <c r="I207" s="29">
        <v>18</v>
      </c>
      <c r="J207" t="s">
        <v>37</v>
      </c>
      <c r="K207" s="32">
        <v>11</v>
      </c>
      <c r="L207" t="s">
        <v>435</v>
      </c>
      <c r="M207">
        <v>40</v>
      </c>
      <c r="N207" s="29" t="str">
        <f t="shared" si="60"/>
        <v xml:space="preserve"> - [ ] [[Eb 11|Lettera agli Ebrei, capitolo 11]]</v>
      </c>
      <c r="O207" s="32"/>
    </row>
    <row r="208" spans="1:15" x14ac:dyDescent="0.25">
      <c r="A208" s="29">
        <v>19</v>
      </c>
      <c r="B208" t="s">
        <v>148</v>
      </c>
      <c r="C208" s="32">
        <v>12</v>
      </c>
      <c r="D208" t="s">
        <v>855</v>
      </c>
      <c r="E208">
        <v>50</v>
      </c>
      <c r="F208" s="29" t="str">
        <f t="shared" si="56"/>
        <v xml:space="preserve"> - [ ] [[Mt 12|Vangelo di san Matteo Apostolo ed Evangelista, capitolo 12]]</v>
      </c>
      <c r="I208" s="29">
        <v>19</v>
      </c>
      <c r="J208" t="s">
        <v>37</v>
      </c>
      <c r="K208" s="32">
        <v>12</v>
      </c>
      <c r="L208" t="s">
        <v>435</v>
      </c>
      <c r="M208">
        <v>29</v>
      </c>
      <c r="N208" s="29" t="str">
        <f t="shared" si="60"/>
        <v xml:space="preserve"> - [ ] [[Eb 12|Lettera agli Ebrei, capitolo 12]]</v>
      </c>
      <c r="O208" s="32"/>
    </row>
    <row r="209" spans="1:15" x14ac:dyDescent="0.25">
      <c r="A209" s="29">
        <v>20</v>
      </c>
      <c r="B209" t="s">
        <v>148</v>
      </c>
      <c r="C209" s="32">
        <v>13</v>
      </c>
      <c r="D209" t="s">
        <v>855</v>
      </c>
      <c r="E209">
        <v>58</v>
      </c>
      <c r="F209" s="29" t="str">
        <f t="shared" si="56"/>
        <v xml:space="preserve"> - [ ] [[Mt 13|Vangelo di san Matteo Apostolo ed Evangelista, capitolo 13]]</v>
      </c>
      <c r="I209" s="33">
        <v>20</v>
      </c>
      <c r="J209" s="37" t="s">
        <v>37</v>
      </c>
      <c r="K209" s="34">
        <v>13</v>
      </c>
      <c r="L209" s="37" t="s">
        <v>435</v>
      </c>
      <c r="M209" s="37">
        <v>24</v>
      </c>
      <c r="N209" s="33" t="str">
        <f t="shared" si="60"/>
        <v xml:space="preserve"> - [ ] [[Eb 13|Lettera agli Ebrei, capitolo 13]]</v>
      </c>
      <c r="O209" s="34"/>
    </row>
    <row r="210" spans="1:15" x14ac:dyDescent="0.25">
      <c r="A210" s="29">
        <v>21</v>
      </c>
      <c r="B210" t="s">
        <v>148</v>
      </c>
      <c r="C210" s="32">
        <v>14</v>
      </c>
      <c r="D210" t="s">
        <v>855</v>
      </c>
      <c r="E210">
        <v>36</v>
      </c>
      <c r="F210" s="29" t="str">
        <f t="shared" si="56"/>
        <v xml:space="preserve"> - [ ] [[Mt 14|Vangelo di san Matteo Apostolo ed Evangelista, capitolo 14]]</v>
      </c>
      <c r="I210" s="29">
        <v>21</v>
      </c>
      <c r="J210" t="s">
        <v>148</v>
      </c>
      <c r="K210" s="32">
        <v>1</v>
      </c>
      <c r="L210" t="s">
        <v>855</v>
      </c>
      <c r="M210">
        <v>25</v>
      </c>
      <c r="N210" s="29" t="str">
        <f t="shared" si="60"/>
        <v xml:space="preserve"> - [ ] [[Mt 1|Vangelo di san Matteo Apostolo ed Evangelista, capitolo 1]]</v>
      </c>
      <c r="O210" s="32"/>
    </row>
    <row r="211" spans="1:15" x14ac:dyDescent="0.25">
      <c r="A211" s="29">
        <v>22</v>
      </c>
      <c r="B211" t="s">
        <v>148</v>
      </c>
      <c r="C211" s="32">
        <v>15</v>
      </c>
      <c r="D211" t="s">
        <v>855</v>
      </c>
      <c r="E211">
        <v>39</v>
      </c>
      <c r="F211" s="29" t="str">
        <f t="shared" si="56"/>
        <v xml:space="preserve"> - [ ] [[Mt 15|Vangelo di san Matteo Apostolo ed Evangelista, capitolo 15]]</v>
      </c>
      <c r="I211" s="29">
        <v>22</v>
      </c>
      <c r="J211" t="s">
        <v>148</v>
      </c>
      <c r="K211" s="32">
        <v>2</v>
      </c>
      <c r="L211" t="s">
        <v>855</v>
      </c>
      <c r="M211">
        <v>23</v>
      </c>
      <c r="N211" s="29" t="str">
        <f t="shared" si="60"/>
        <v xml:space="preserve"> - [ ] [[Mt 2|Vangelo di san Matteo Apostolo ed Evangelista, capitolo 2]]</v>
      </c>
      <c r="O211" s="32"/>
    </row>
    <row r="212" spans="1:15" x14ac:dyDescent="0.25">
      <c r="A212" s="29">
        <v>23</v>
      </c>
      <c r="B212" t="s">
        <v>148</v>
      </c>
      <c r="C212" s="32">
        <v>16</v>
      </c>
      <c r="D212" t="s">
        <v>855</v>
      </c>
      <c r="E212">
        <v>28</v>
      </c>
      <c r="F212" s="29" t="str">
        <f t="shared" si="56"/>
        <v xml:space="preserve"> - [ ] [[Mt 16|Vangelo di san Matteo Apostolo ed Evangelista, capitolo 16]]</v>
      </c>
      <c r="I212" s="29">
        <v>23</v>
      </c>
      <c r="J212" t="s">
        <v>148</v>
      </c>
      <c r="K212" s="32">
        <v>3</v>
      </c>
      <c r="L212" t="s">
        <v>855</v>
      </c>
      <c r="M212">
        <v>17</v>
      </c>
      <c r="N212" s="29" t="str">
        <f t="shared" si="60"/>
        <v xml:space="preserve"> - [ ] [[Mt 3|Vangelo di san Matteo Apostolo ed Evangelista, capitolo 3]]</v>
      </c>
      <c r="O212" s="32"/>
    </row>
    <row r="213" spans="1:15" x14ac:dyDescent="0.25">
      <c r="A213" s="29">
        <v>24</v>
      </c>
      <c r="B213" t="s">
        <v>148</v>
      </c>
      <c r="C213" s="32">
        <v>17</v>
      </c>
      <c r="D213" t="s">
        <v>855</v>
      </c>
      <c r="E213">
        <v>27</v>
      </c>
      <c r="F213" s="29" t="str">
        <f t="shared" si="56"/>
        <v xml:space="preserve"> - [ ] [[Mt 17|Vangelo di san Matteo Apostolo ed Evangelista, capitolo 17]]</v>
      </c>
      <c r="I213" s="29">
        <v>24</v>
      </c>
      <c r="J213" t="s">
        <v>148</v>
      </c>
      <c r="K213" s="32">
        <v>4</v>
      </c>
      <c r="L213" t="s">
        <v>855</v>
      </c>
      <c r="M213">
        <v>25</v>
      </c>
      <c r="N213" s="29" t="str">
        <f t="shared" si="60"/>
        <v xml:space="preserve"> - [ ] [[Mt 4|Vangelo di san Matteo Apostolo ed Evangelista, capitolo 4]]</v>
      </c>
      <c r="O213" s="32"/>
    </row>
    <row r="214" spans="1:15" x14ac:dyDescent="0.25">
      <c r="A214" s="29">
        <v>25</v>
      </c>
      <c r="B214" t="s">
        <v>148</v>
      </c>
      <c r="C214" s="32">
        <v>18</v>
      </c>
      <c r="D214" t="s">
        <v>855</v>
      </c>
      <c r="E214">
        <v>35</v>
      </c>
      <c r="F214" s="29" t="str">
        <f t="shared" si="56"/>
        <v xml:space="preserve"> - [ ] [[Mt 18|Vangelo di san Matteo Apostolo ed Evangelista, capitolo 18]]</v>
      </c>
      <c r="I214" s="29">
        <v>25</v>
      </c>
      <c r="J214" t="s">
        <v>148</v>
      </c>
      <c r="K214" s="32">
        <v>5</v>
      </c>
      <c r="L214" t="s">
        <v>855</v>
      </c>
      <c r="M214">
        <v>48</v>
      </c>
      <c r="N214" s="29" t="str">
        <f t="shared" si="60"/>
        <v xml:space="preserve"> - [ ] [[Mt 5|Vangelo di san Matteo Apostolo ed Evangelista, capitolo 5]]</v>
      </c>
      <c r="O214" s="32"/>
    </row>
    <row r="215" spans="1:15" x14ac:dyDescent="0.25">
      <c r="A215" s="29">
        <v>26</v>
      </c>
      <c r="B215" t="s">
        <v>148</v>
      </c>
      <c r="C215" s="32">
        <v>19</v>
      </c>
      <c r="D215" t="s">
        <v>855</v>
      </c>
      <c r="E215">
        <v>30</v>
      </c>
      <c r="F215" s="29" t="str">
        <f t="shared" si="56"/>
        <v xml:space="preserve"> - [ ] [[Mt 19|Vangelo di san Matteo Apostolo ed Evangelista, capitolo 19]]</v>
      </c>
      <c r="I215" s="29">
        <v>26</v>
      </c>
      <c r="J215" t="s">
        <v>148</v>
      </c>
      <c r="K215" s="32">
        <v>6</v>
      </c>
      <c r="L215" t="s">
        <v>855</v>
      </c>
      <c r="M215">
        <v>34</v>
      </c>
      <c r="N215" s="29" t="str">
        <f t="shared" si="60"/>
        <v xml:space="preserve"> - [ ] [[Mt 6|Vangelo di san Matteo Apostolo ed Evangelista, capitolo 6]]</v>
      </c>
      <c r="O215" s="32"/>
    </row>
    <row r="216" spans="1:15" x14ac:dyDescent="0.25">
      <c r="A216" s="29">
        <v>27</v>
      </c>
      <c r="B216" t="s">
        <v>148</v>
      </c>
      <c r="C216" s="32">
        <v>20</v>
      </c>
      <c r="D216" t="s">
        <v>855</v>
      </c>
      <c r="E216">
        <v>34</v>
      </c>
      <c r="F216" s="29" t="str">
        <f t="shared" si="56"/>
        <v xml:space="preserve"> - [ ] [[Mt 20|Vangelo di san Matteo Apostolo ed Evangelista, capitolo 20]]</v>
      </c>
      <c r="I216" s="29">
        <v>27</v>
      </c>
      <c r="J216" t="s">
        <v>148</v>
      </c>
      <c r="K216" s="32">
        <v>7</v>
      </c>
      <c r="L216" t="s">
        <v>855</v>
      </c>
      <c r="M216">
        <v>29</v>
      </c>
      <c r="N216" s="29" t="str">
        <f t="shared" si="60"/>
        <v xml:space="preserve"> - [ ] [[Mt 7|Vangelo di san Matteo Apostolo ed Evangelista, capitolo 7]]</v>
      </c>
      <c r="O216" s="32"/>
    </row>
    <row r="217" spans="1:15" x14ac:dyDescent="0.25">
      <c r="A217" s="29">
        <v>28</v>
      </c>
      <c r="B217" t="s">
        <v>148</v>
      </c>
      <c r="C217" s="32">
        <v>21</v>
      </c>
      <c r="D217" t="s">
        <v>855</v>
      </c>
      <c r="E217">
        <v>46</v>
      </c>
      <c r="F217" s="29" t="str">
        <f t="shared" si="56"/>
        <v xml:space="preserve"> - [ ] [[Mt 21|Vangelo di san Matteo Apostolo ed Evangelista, capitolo 21]]</v>
      </c>
      <c r="I217" s="29">
        <v>28</v>
      </c>
      <c r="J217" t="s">
        <v>148</v>
      </c>
      <c r="K217" s="32">
        <v>8</v>
      </c>
      <c r="L217" t="s">
        <v>855</v>
      </c>
      <c r="M217">
        <v>34</v>
      </c>
      <c r="N217" s="29" t="str">
        <f t="shared" si="60"/>
        <v xml:space="preserve"> - [ ] [[Mt 8|Vangelo di san Matteo Apostolo ed Evangelista, capitolo 8]]</v>
      </c>
      <c r="O217" s="32"/>
    </row>
    <row r="218" spans="1:15" x14ac:dyDescent="0.25">
      <c r="A218" s="29">
        <v>29</v>
      </c>
      <c r="B218" t="s">
        <v>148</v>
      </c>
      <c r="C218" s="32">
        <v>22</v>
      </c>
      <c r="D218" t="s">
        <v>855</v>
      </c>
      <c r="E218">
        <v>46</v>
      </c>
      <c r="F218" s="29" t="str">
        <f t="shared" si="56"/>
        <v xml:space="preserve"> - [ ] [[Mt 22|Vangelo di san Matteo Apostolo ed Evangelista, capitolo 22]]</v>
      </c>
      <c r="I218" s="29">
        <v>29</v>
      </c>
      <c r="J218" t="s">
        <v>148</v>
      </c>
      <c r="K218" s="32">
        <v>9</v>
      </c>
      <c r="L218" t="s">
        <v>855</v>
      </c>
      <c r="M218">
        <v>38</v>
      </c>
      <c r="N218" s="29" t="str">
        <f t="shared" si="60"/>
        <v xml:space="preserve"> - [ ] [[Mt 9|Vangelo di san Matteo Apostolo ed Evangelista, capitolo 9]]</v>
      </c>
      <c r="O218" s="32"/>
    </row>
    <row r="219" spans="1:15" x14ac:dyDescent="0.25">
      <c r="A219" s="29">
        <v>30</v>
      </c>
      <c r="B219" t="s">
        <v>148</v>
      </c>
      <c r="C219" s="32">
        <v>23</v>
      </c>
      <c r="D219" t="s">
        <v>855</v>
      </c>
      <c r="E219">
        <v>39</v>
      </c>
      <c r="F219" s="29" t="str">
        <f t="shared" si="56"/>
        <v xml:space="preserve"> - [ ] [[Mt 23|Vangelo di san Matteo Apostolo ed Evangelista, capitolo 23]]</v>
      </c>
      <c r="I219" s="29">
        <v>30</v>
      </c>
      <c r="J219" t="s">
        <v>148</v>
      </c>
      <c r="K219" s="32">
        <v>10</v>
      </c>
      <c r="L219" t="s">
        <v>855</v>
      </c>
      <c r="M219">
        <v>42</v>
      </c>
      <c r="N219" s="29" t="str">
        <f t="shared" si="60"/>
        <v xml:space="preserve"> - [ ] [[Mt 10|Vangelo di san Matteo Apostolo ed Evangelista, capitolo 10]]</v>
      </c>
      <c r="O219" s="32"/>
    </row>
    <row r="220" spans="1:15" x14ac:dyDescent="0.25">
      <c r="A220" s="29">
        <v>31</v>
      </c>
      <c r="B220" t="s">
        <v>148</v>
      </c>
      <c r="C220" s="32">
        <v>24</v>
      </c>
      <c r="D220" t="s">
        <v>855</v>
      </c>
      <c r="E220">
        <v>51</v>
      </c>
      <c r="F220" s="29" t="str">
        <f t="shared" si="56"/>
        <v xml:space="preserve"> - [ ] [[Mt 24|Vangelo di san Matteo Apostolo ed Evangelista, capitolo 24]]</v>
      </c>
      <c r="I220" s="29">
        <v>31</v>
      </c>
      <c r="J220" t="s">
        <v>148</v>
      </c>
      <c r="K220" s="32">
        <v>11</v>
      </c>
      <c r="L220" t="s">
        <v>855</v>
      </c>
      <c r="M220">
        <v>30</v>
      </c>
      <c r="N220" s="29" t="str">
        <f t="shared" si="60"/>
        <v xml:space="preserve"> - [ ] [[Mt 11|Vangelo di san Matteo Apostolo ed Evangelista, capitolo 11]]</v>
      </c>
      <c r="O220" s="32"/>
    </row>
    <row r="221" spans="1:15" x14ac:dyDescent="0.25">
      <c r="A221" s="30" t="s">
        <v>869</v>
      </c>
      <c r="B221" t="s">
        <v>148</v>
      </c>
      <c r="C221" s="32">
        <v>25</v>
      </c>
      <c r="D221" t="s">
        <v>855</v>
      </c>
      <c r="E221">
        <v>46</v>
      </c>
      <c r="F221" s="29" t="str">
        <f t="shared" si="56"/>
        <v xml:space="preserve"> - [ ] [[Mt 25|Vangelo di san Matteo Apostolo ed Evangelista, capitolo 25]]</v>
      </c>
      <c r="I221" s="30" t="s">
        <v>869</v>
      </c>
      <c r="J221" t="s">
        <v>148</v>
      </c>
      <c r="K221" s="32">
        <v>12</v>
      </c>
      <c r="L221" t="s">
        <v>855</v>
      </c>
      <c r="M221">
        <v>50</v>
      </c>
      <c r="N221" s="29" t="str">
        <f t="shared" si="60"/>
        <v xml:space="preserve"> - [ ] [[Mt 12|Vangelo di san Matteo Apostolo ed Evangelista, capitolo 12]]</v>
      </c>
      <c r="O221" s="32"/>
    </row>
    <row r="222" spans="1:15" x14ac:dyDescent="0.25">
      <c r="A222" s="29">
        <v>1</v>
      </c>
      <c r="B222" t="s">
        <v>148</v>
      </c>
      <c r="C222" s="32">
        <v>26</v>
      </c>
      <c r="D222" t="s">
        <v>855</v>
      </c>
      <c r="E222">
        <v>75</v>
      </c>
      <c r="F222" s="29" t="str">
        <f t="shared" si="56"/>
        <v xml:space="preserve"> - [ ] [[Mt 26|Vangelo di san Matteo Apostolo ed Evangelista, capitolo 26]]</v>
      </c>
      <c r="I222" s="29">
        <v>1</v>
      </c>
      <c r="J222" t="s">
        <v>148</v>
      </c>
      <c r="K222" s="32">
        <v>13</v>
      </c>
      <c r="L222" t="s">
        <v>855</v>
      </c>
      <c r="M222">
        <v>58</v>
      </c>
      <c r="N222" s="29" t="str">
        <f t="shared" si="60"/>
        <v xml:space="preserve"> - [ ] [[Mt 13|Vangelo di san Matteo Apostolo ed Evangelista, capitolo 13]]</v>
      </c>
      <c r="O222" s="32"/>
    </row>
    <row r="223" spans="1:15" x14ac:dyDescent="0.25">
      <c r="A223" s="29">
        <v>2</v>
      </c>
      <c r="B223" t="s">
        <v>148</v>
      </c>
      <c r="C223" s="32">
        <v>27</v>
      </c>
      <c r="D223" t="s">
        <v>855</v>
      </c>
      <c r="E223">
        <v>66</v>
      </c>
      <c r="F223" s="29" t="str">
        <f t="shared" si="56"/>
        <v xml:space="preserve"> - [ ] [[Mt 27|Vangelo di san Matteo Apostolo ed Evangelista, capitolo 27]]</v>
      </c>
      <c r="I223" s="29">
        <v>2</v>
      </c>
      <c r="J223" t="s">
        <v>148</v>
      </c>
      <c r="K223" s="32">
        <v>14</v>
      </c>
      <c r="L223" t="s">
        <v>855</v>
      </c>
      <c r="M223">
        <v>36</v>
      </c>
      <c r="N223" s="29" t="str">
        <f t="shared" si="60"/>
        <v xml:space="preserve"> - [ ] [[Mt 14|Vangelo di san Matteo Apostolo ed Evangelista, capitolo 14]]</v>
      </c>
      <c r="O223" s="32"/>
    </row>
    <row r="224" spans="1:15" x14ac:dyDescent="0.25">
      <c r="A224" s="33">
        <v>3</v>
      </c>
      <c r="B224" s="37" t="s">
        <v>148</v>
      </c>
      <c r="C224" s="34">
        <v>28</v>
      </c>
      <c r="D224" s="37" t="s">
        <v>855</v>
      </c>
      <c r="E224" s="37">
        <v>20</v>
      </c>
      <c r="F224" s="33" t="str">
        <f t="shared" si="56"/>
        <v xml:space="preserve"> - [ ] [[Mt 28|Vangelo di san Matteo Apostolo ed Evangelista, capitolo 28]]</v>
      </c>
      <c r="G224" s="34"/>
      <c r="I224" s="29">
        <v>3</v>
      </c>
      <c r="J224" t="s">
        <v>148</v>
      </c>
      <c r="K224" s="32">
        <v>15</v>
      </c>
      <c r="L224" t="s">
        <v>855</v>
      </c>
      <c r="M224">
        <v>39</v>
      </c>
      <c r="N224" s="29" t="str">
        <f t="shared" si="60"/>
        <v xml:space="preserve"> - [ ] [[Mt 15|Vangelo di san Matteo Apostolo ed Evangelista, capitolo 15]]</v>
      </c>
      <c r="O224" s="32"/>
    </row>
    <row r="225" spans="1:15" x14ac:dyDescent="0.25">
      <c r="A225" s="29">
        <v>4</v>
      </c>
      <c r="B225" t="s">
        <v>39</v>
      </c>
      <c r="C225" s="32">
        <v>1</v>
      </c>
      <c r="D225" t="s">
        <v>814</v>
      </c>
      <c r="E225">
        <v>27</v>
      </c>
      <c r="F225" s="29" t="str">
        <f t="shared" si="56"/>
        <v xml:space="preserve"> - [ ] [[Gc 1|Lettera di san Giacomo Apostolo, capitolo 1]]</v>
      </c>
      <c r="I225" s="29">
        <v>4</v>
      </c>
      <c r="J225" t="s">
        <v>148</v>
      </c>
      <c r="K225" s="32">
        <v>16</v>
      </c>
      <c r="L225" t="s">
        <v>855</v>
      </c>
      <c r="M225">
        <v>28</v>
      </c>
      <c r="N225" s="29" t="str">
        <f t="shared" si="60"/>
        <v xml:space="preserve"> - [ ] [[Mt 16|Vangelo di san Matteo Apostolo ed Evangelista, capitolo 16]]</v>
      </c>
      <c r="O225" s="32"/>
    </row>
    <row r="226" spans="1:15" x14ac:dyDescent="0.25">
      <c r="A226" s="29">
        <v>5</v>
      </c>
      <c r="B226" t="s">
        <v>39</v>
      </c>
      <c r="C226" s="32">
        <v>2</v>
      </c>
      <c r="D226" t="s">
        <v>814</v>
      </c>
      <c r="E226">
        <v>26</v>
      </c>
      <c r="F226" s="29" t="str">
        <f t="shared" si="56"/>
        <v xml:space="preserve"> - [ ] [[Gc 2|Lettera di san Giacomo Apostolo, capitolo 2]]</v>
      </c>
      <c r="I226" s="29">
        <v>5</v>
      </c>
      <c r="J226" t="s">
        <v>148</v>
      </c>
      <c r="K226" s="32">
        <v>17</v>
      </c>
      <c r="L226" t="s">
        <v>855</v>
      </c>
      <c r="M226">
        <v>27</v>
      </c>
      <c r="N226" s="29" t="str">
        <f t="shared" si="60"/>
        <v xml:space="preserve"> - [ ] [[Mt 17|Vangelo di san Matteo Apostolo ed Evangelista, capitolo 17]]</v>
      </c>
      <c r="O226" s="32"/>
    </row>
    <row r="227" spans="1:15" x14ac:dyDescent="0.25">
      <c r="A227" s="29">
        <v>6</v>
      </c>
      <c r="B227" t="s">
        <v>39</v>
      </c>
      <c r="C227" s="32">
        <v>3</v>
      </c>
      <c r="D227" t="s">
        <v>814</v>
      </c>
      <c r="E227">
        <v>18</v>
      </c>
      <c r="F227" s="29" t="str">
        <f t="shared" si="56"/>
        <v xml:space="preserve"> - [ ] [[Gc 3|Lettera di san Giacomo Apostolo, capitolo 3]]</v>
      </c>
      <c r="I227" s="29">
        <v>6</v>
      </c>
      <c r="J227" t="s">
        <v>148</v>
      </c>
      <c r="K227" s="32">
        <v>18</v>
      </c>
      <c r="L227" t="s">
        <v>855</v>
      </c>
      <c r="M227">
        <v>35</v>
      </c>
      <c r="N227" s="29" t="str">
        <f t="shared" si="60"/>
        <v xml:space="preserve"> - [ ] [[Mt 18|Vangelo di san Matteo Apostolo ed Evangelista, capitolo 18]]</v>
      </c>
      <c r="O227" s="32"/>
    </row>
    <row r="228" spans="1:15" x14ac:dyDescent="0.25">
      <c r="A228" s="29">
        <v>7</v>
      </c>
      <c r="B228" t="s">
        <v>39</v>
      </c>
      <c r="C228" s="32">
        <v>4</v>
      </c>
      <c r="D228" t="s">
        <v>814</v>
      </c>
      <c r="E228">
        <v>17</v>
      </c>
      <c r="F228" s="29" t="str">
        <f t="shared" si="56"/>
        <v xml:space="preserve"> - [ ] [[Gc 4|Lettera di san Giacomo Apostolo, capitolo 4]]</v>
      </c>
      <c r="I228" s="29">
        <v>7</v>
      </c>
      <c r="J228" t="s">
        <v>148</v>
      </c>
      <c r="K228" s="32">
        <v>19</v>
      </c>
      <c r="L228" t="s">
        <v>855</v>
      </c>
      <c r="M228">
        <v>30</v>
      </c>
      <c r="N228" s="29" t="str">
        <f t="shared" si="60"/>
        <v xml:space="preserve"> - [ ] [[Mt 19|Vangelo di san Matteo Apostolo ed Evangelista, capitolo 19]]</v>
      </c>
      <c r="O228" s="32"/>
    </row>
    <row r="229" spans="1:15" x14ac:dyDescent="0.25">
      <c r="A229" s="33">
        <v>8</v>
      </c>
      <c r="B229" s="37" t="s">
        <v>39</v>
      </c>
      <c r="C229" s="34">
        <v>5</v>
      </c>
      <c r="D229" s="37" t="s">
        <v>814</v>
      </c>
      <c r="E229" s="37">
        <v>20</v>
      </c>
      <c r="F229" s="33" t="str">
        <f t="shared" si="56"/>
        <v xml:space="preserve"> - [ ] [[Gc 5|Lettera di san Giacomo Apostolo, capitolo 5]]</v>
      </c>
      <c r="G229" s="34"/>
      <c r="I229" s="29">
        <v>8</v>
      </c>
      <c r="J229" t="s">
        <v>148</v>
      </c>
      <c r="K229" s="32">
        <v>20</v>
      </c>
      <c r="L229" t="s">
        <v>855</v>
      </c>
      <c r="M229">
        <v>34</v>
      </c>
      <c r="N229" s="29" t="str">
        <f t="shared" si="60"/>
        <v xml:space="preserve"> - [ ] [[Mt 20|Vangelo di san Matteo Apostolo ed Evangelista, capitolo 20]]</v>
      </c>
      <c r="O229" s="32"/>
    </row>
    <row r="230" spans="1:15" x14ac:dyDescent="0.25">
      <c r="A230" s="29">
        <v>9</v>
      </c>
      <c r="B230" t="s">
        <v>441</v>
      </c>
      <c r="C230" s="32">
        <v>1</v>
      </c>
      <c r="D230" t="s">
        <v>820</v>
      </c>
      <c r="E230">
        <v>25</v>
      </c>
      <c r="F230" s="29" t="str">
        <f t="shared" si="56"/>
        <v xml:space="preserve"> - [ ] [[1 Pt 1|Prima Lettera di san Pietro Apostolo, capitolo 1]]</v>
      </c>
      <c r="I230" s="29">
        <v>9</v>
      </c>
      <c r="J230" t="s">
        <v>148</v>
      </c>
      <c r="K230" s="32">
        <v>21</v>
      </c>
      <c r="L230" t="s">
        <v>855</v>
      </c>
      <c r="M230">
        <v>46</v>
      </c>
      <c r="N230" s="29" t="str">
        <f t="shared" si="60"/>
        <v xml:space="preserve"> - [ ] [[Mt 21|Vangelo di san Matteo Apostolo ed Evangelista, capitolo 21]]</v>
      </c>
      <c r="O230" s="32"/>
    </row>
    <row r="231" spans="1:15" x14ac:dyDescent="0.25">
      <c r="A231" s="29">
        <v>10</v>
      </c>
      <c r="B231" t="s">
        <v>441</v>
      </c>
      <c r="C231" s="32">
        <v>2</v>
      </c>
      <c r="D231" t="s">
        <v>820</v>
      </c>
      <c r="E231">
        <v>25</v>
      </c>
      <c r="F231" s="29" t="str">
        <f t="shared" si="56"/>
        <v xml:space="preserve"> - [ ] [[1 Pt 2|Prima Lettera di san Pietro Apostolo, capitolo 2]]</v>
      </c>
      <c r="I231" s="29">
        <v>10</v>
      </c>
      <c r="J231" t="s">
        <v>148</v>
      </c>
      <c r="K231" s="32">
        <v>22</v>
      </c>
      <c r="L231" t="s">
        <v>855</v>
      </c>
      <c r="M231">
        <v>46</v>
      </c>
      <c r="N231" s="29" t="str">
        <f t="shared" si="60"/>
        <v xml:space="preserve"> - [ ] [[Mt 22|Vangelo di san Matteo Apostolo ed Evangelista, capitolo 22]]</v>
      </c>
      <c r="O231" s="32"/>
    </row>
    <row r="232" spans="1:15" x14ac:dyDescent="0.25">
      <c r="A232" s="29">
        <v>11</v>
      </c>
      <c r="B232" t="s">
        <v>441</v>
      </c>
      <c r="C232" s="32">
        <v>3</v>
      </c>
      <c r="D232" t="s">
        <v>820</v>
      </c>
      <c r="E232">
        <v>22</v>
      </c>
      <c r="F232" s="29" t="str">
        <f t="shared" si="56"/>
        <v xml:space="preserve"> - [ ] [[1 Pt 3|Prima Lettera di san Pietro Apostolo, capitolo 3]]</v>
      </c>
      <c r="I232" s="29">
        <v>11</v>
      </c>
      <c r="J232" t="s">
        <v>148</v>
      </c>
      <c r="K232" s="32">
        <v>23</v>
      </c>
      <c r="L232" t="s">
        <v>855</v>
      </c>
      <c r="M232">
        <v>39</v>
      </c>
      <c r="N232" s="29" t="str">
        <f t="shared" si="60"/>
        <v xml:space="preserve"> - [ ] [[Mt 23|Vangelo di san Matteo Apostolo ed Evangelista, capitolo 23]]</v>
      </c>
      <c r="O232" s="32"/>
    </row>
    <row r="233" spans="1:15" x14ac:dyDescent="0.25">
      <c r="A233" s="29">
        <v>12</v>
      </c>
      <c r="B233" t="s">
        <v>441</v>
      </c>
      <c r="C233" s="32">
        <v>4</v>
      </c>
      <c r="D233" t="s">
        <v>820</v>
      </c>
      <c r="E233">
        <v>19</v>
      </c>
      <c r="F233" s="29" t="str">
        <f t="shared" si="56"/>
        <v xml:space="preserve"> - [ ] [[1 Pt 4|Prima Lettera di san Pietro Apostolo, capitolo 4]]</v>
      </c>
      <c r="I233" s="29">
        <v>12</v>
      </c>
      <c r="J233" t="s">
        <v>148</v>
      </c>
      <c r="K233" s="32">
        <v>24</v>
      </c>
      <c r="L233" t="s">
        <v>855</v>
      </c>
      <c r="M233">
        <v>51</v>
      </c>
      <c r="N233" s="29" t="str">
        <f t="shared" si="60"/>
        <v xml:space="preserve"> - [ ] [[Mt 24|Vangelo di san Matteo Apostolo ed Evangelista, capitolo 24]]</v>
      </c>
      <c r="O233" s="32"/>
    </row>
    <row r="234" spans="1:15" x14ac:dyDescent="0.25">
      <c r="A234" s="33">
        <v>13</v>
      </c>
      <c r="B234" s="37" t="s">
        <v>441</v>
      </c>
      <c r="C234" s="34">
        <v>5</v>
      </c>
      <c r="D234" s="37" t="s">
        <v>820</v>
      </c>
      <c r="E234" s="37">
        <v>14</v>
      </c>
      <c r="F234" s="33" t="str">
        <f t="shared" si="56"/>
        <v xml:space="preserve"> - [ ] [[1 Pt 5|Prima Lettera di san Pietro Apostolo, capitolo 5]]</v>
      </c>
      <c r="G234" s="34"/>
      <c r="I234" s="29">
        <v>13</v>
      </c>
      <c r="J234" t="s">
        <v>148</v>
      </c>
      <c r="K234" s="32">
        <v>25</v>
      </c>
      <c r="L234" t="s">
        <v>855</v>
      </c>
      <c r="M234">
        <v>46</v>
      </c>
      <c r="N234" s="29" t="str">
        <f t="shared" si="60"/>
        <v xml:space="preserve"> - [ ] [[Mt 25|Vangelo di san Matteo Apostolo ed Evangelista, capitolo 25]]</v>
      </c>
      <c r="O234" s="32"/>
    </row>
    <row r="235" spans="1:15" x14ac:dyDescent="0.25">
      <c r="A235" s="29">
        <v>14</v>
      </c>
      <c r="B235" t="s">
        <v>445</v>
      </c>
      <c r="C235" s="32">
        <v>1</v>
      </c>
      <c r="D235" t="s">
        <v>825</v>
      </c>
      <c r="E235">
        <v>21</v>
      </c>
      <c r="F235" s="29" t="str">
        <f t="shared" si="56"/>
        <v xml:space="preserve"> - [ ] [[2 Pt 1|Seconda Lettera di san Pietro Apostolo, capitolo 1]]</v>
      </c>
      <c r="I235" s="29">
        <v>14</v>
      </c>
      <c r="J235" t="s">
        <v>148</v>
      </c>
      <c r="K235" s="32">
        <v>26</v>
      </c>
      <c r="L235" t="s">
        <v>855</v>
      </c>
      <c r="M235">
        <v>75</v>
      </c>
      <c r="N235" s="29" t="str">
        <f t="shared" si="60"/>
        <v xml:space="preserve"> - [ ] [[Mt 26|Vangelo di san Matteo Apostolo ed Evangelista, capitolo 26]]</v>
      </c>
      <c r="O235" s="32"/>
    </row>
    <row r="236" spans="1:15" x14ac:dyDescent="0.25">
      <c r="A236" s="29">
        <v>15</v>
      </c>
      <c r="B236" t="s">
        <v>445</v>
      </c>
      <c r="C236" s="32">
        <v>2</v>
      </c>
      <c r="D236" t="s">
        <v>825</v>
      </c>
      <c r="E236">
        <v>22</v>
      </c>
      <c r="F236" s="29" t="str">
        <f t="shared" si="56"/>
        <v xml:space="preserve"> - [ ] [[2 Pt 2|Seconda Lettera di san Pietro Apostolo, capitolo 2]]</v>
      </c>
      <c r="I236" s="29">
        <v>15</v>
      </c>
      <c r="J236" t="s">
        <v>148</v>
      </c>
      <c r="K236" s="32">
        <v>27</v>
      </c>
      <c r="L236" t="s">
        <v>855</v>
      </c>
      <c r="M236">
        <v>66</v>
      </c>
      <c r="N236" s="29" t="str">
        <f t="shared" si="60"/>
        <v xml:space="preserve"> - [ ] [[Mt 27|Vangelo di san Matteo Apostolo ed Evangelista, capitolo 27]]</v>
      </c>
      <c r="O236" s="32"/>
    </row>
    <row r="237" spans="1:15" x14ac:dyDescent="0.25">
      <c r="A237" s="33">
        <v>16</v>
      </c>
      <c r="B237" s="37" t="s">
        <v>445</v>
      </c>
      <c r="C237" s="34">
        <v>3</v>
      </c>
      <c r="D237" s="37" t="s">
        <v>825</v>
      </c>
      <c r="E237" s="37">
        <v>18</v>
      </c>
      <c r="F237" s="33" t="str">
        <f t="shared" si="56"/>
        <v xml:space="preserve"> - [ ] [[2 Pt 3|Seconda Lettera di san Pietro Apostolo, capitolo 3]]</v>
      </c>
      <c r="G237" s="34"/>
      <c r="I237" s="33">
        <v>16</v>
      </c>
      <c r="J237" s="37" t="s">
        <v>148</v>
      </c>
      <c r="K237" s="34">
        <v>28</v>
      </c>
      <c r="L237" s="37" t="s">
        <v>855</v>
      </c>
      <c r="M237" s="37">
        <v>20</v>
      </c>
      <c r="N237" s="33" t="str">
        <f t="shared" si="60"/>
        <v xml:space="preserve"> - [ ] [[Mt 28|Vangelo di san Matteo Apostolo ed Evangelista, capitolo 28]]</v>
      </c>
      <c r="O237" s="34"/>
    </row>
    <row r="238" spans="1:15" x14ac:dyDescent="0.25">
      <c r="A238" s="33">
        <v>17</v>
      </c>
      <c r="B238" s="37" t="s">
        <v>453</v>
      </c>
      <c r="C238" s="34">
        <v>1</v>
      </c>
      <c r="D238" s="37" t="s">
        <v>835</v>
      </c>
      <c r="E238" s="37">
        <v>13</v>
      </c>
      <c r="F238" s="33" t="str">
        <f t="shared" si="56"/>
        <v xml:space="preserve"> - [ ] [[2 Gv 1|Seconda lettera di san Giovanni Apostolo ed Evangelista, capitolo 1]]</v>
      </c>
      <c r="G238" s="34"/>
      <c r="I238" s="29">
        <v>17</v>
      </c>
      <c r="J238" t="s">
        <v>445</v>
      </c>
      <c r="K238" s="32">
        <v>1</v>
      </c>
      <c r="L238" t="s">
        <v>825</v>
      </c>
      <c r="M238">
        <v>21</v>
      </c>
      <c r="N238" s="29" t="str">
        <f t="shared" si="60"/>
        <v xml:space="preserve"> - [ ] [[2 Pt 1|Seconda Lettera di san Pietro Apostolo, capitolo 1]]</v>
      </c>
      <c r="O238" s="32"/>
    </row>
    <row r="239" spans="1:15" x14ac:dyDescent="0.25">
      <c r="A239" s="33">
        <v>18</v>
      </c>
      <c r="B239" s="37" t="s">
        <v>457</v>
      </c>
      <c r="C239" s="34">
        <v>1</v>
      </c>
      <c r="D239" s="37" t="s">
        <v>840</v>
      </c>
      <c r="E239" s="37">
        <v>14</v>
      </c>
      <c r="F239" s="33" t="str">
        <f t="shared" si="56"/>
        <v xml:space="preserve"> - [ ] [[3 Gv 1|Terza lettera di san Giovanni Apostolo ed Evangelista, capitolo 1]]</v>
      </c>
      <c r="G239" s="34"/>
      <c r="I239" s="29">
        <v>18</v>
      </c>
      <c r="J239" t="s">
        <v>445</v>
      </c>
      <c r="K239" s="32">
        <v>2</v>
      </c>
      <c r="L239" t="s">
        <v>825</v>
      </c>
      <c r="M239">
        <v>22</v>
      </c>
      <c r="N239" s="29" t="str">
        <f t="shared" si="60"/>
        <v xml:space="preserve"> - [ ] [[2 Pt 2|Seconda Lettera di san Pietro Apostolo, capitolo 2]]</v>
      </c>
      <c r="O239" s="32"/>
    </row>
    <row r="240" spans="1:15" x14ac:dyDescent="0.25">
      <c r="A240" s="33">
        <v>19</v>
      </c>
      <c r="B240" s="37" t="s">
        <v>53</v>
      </c>
      <c r="C240" s="34">
        <v>1</v>
      </c>
      <c r="D240" s="37" t="s">
        <v>845</v>
      </c>
      <c r="E240" s="37">
        <v>25</v>
      </c>
      <c r="F240" s="33" t="str">
        <f t="shared" si="56"/>
        <v xml:space="preserve"> - [ ] [[Gd 1|Lettera di san Giuda Apostolo, capitolo 1]]</v>
      </c>
      <c r="G240" s="34"/>
      <c r="I240" s="33">
        <v>19</v>
      </c>
      <c r="J240" s="37" t="s">
        <v>445</v>
      </c>
      <c r="K240" s="34">
        <v>3</v>
      </c>
      <c r="L240" s="37" t="s">
        <v>825</v>
      </c>
      <c r="M240" s="37">
        <v>18</v>
      </c>
      <c r="N240" s="33" t="str">
        <f t="shared" si="60"/>
        <v xml:space="preserve"> - [ ] [[2 Pt 3|Seconda Lettera di san Pietro Apostolo, capitolo 3]]</v>
      </c>
      <c r="O240" s="34"/>
    </row>
    <row r="241" spans="1:15" x14ac:dyDescent="0.25">
      <c r="A241" s="29">
        <v>20</v>
      </c>
      <c r="B241" t="s">
        <v>51</v>
      </c>
      <c r="C241" s="32">
        <v>1</v>
      </c>
      <c r="D241" t="s">
        <v>850</v>
      </c>
      <c r="E241">
        <v>20</v>
      </c>
      <c r="F241" s="29" t="str">
        <f t="shared" si="56"/>
        <v xml:space="preserve"> - [ ] [[Ap 1|Apocalisse di san Giovanni Apostolo ed Evangelista, capitolo 1]]</v>
      </c>
      <c r="I241" s="29">
        <v>20</v>
      </c>
      <c r="J241" t="s">
        <v>51</v>
      </c>
      <c r="K241" s="32">
        <v>1</v>
      </c>
      <c r="L241" t="s">
        <v>850</v>
      </c>
      <c r="M241">
        <v>20</v>
      </c>
      <c r="N241" s="29" t="str">
        <f t="shared" si="60"/>
        <v xml:space="preserve"> - [ ] [[Ap 1|Apocalisse di san Giovanni Apostolo ed Evangelista, capitolo 1]]</v>
      </c>
      <c r="O241" s="32"/>
    </row>
    <row r="242" spans="1:15" x14ac:dyDescent="0.25">
      <c r="A242" s="29">
        <v>21</v>
      </c>
      <c r="B242" t="s">
        <v>51</v>
      </c>
      <c r="C242" s="32">
        <v>2</v>
      </c>
      <c r="D242" t="s">
        <v>850</v>
      </c>
      <c r="E242">
        <v>29</v>
      </c>
      <c r="F242" s="29" t="str">
        <f t="shared" si="56"/>
        <v xml:space="preserve"> - [ ] [[Ap 2|Apocalisse di san Giovanni Apostolo ed Evangelista, capitolo 2]]</v>
      </c>
      <c r="I242" s="29">
        <v>21</v>
      </c>
      <c r="J242" t="s">
        <v>51</v>
      </c>
      <c r="K242" s="32">
        <v>2</v>
      </c>
      <c r="L242" t="s">
        <v>850</v>
      </c>
      <c r="M242">
        <v>29</v>
      </c>
      <c r="N242" s="29" t="str">
        <f t="shared" si="60"/>
        <v xml:space="preserve"> - [ ] [[Ap 2|Apocalisse di san Giovanni Apostolo ed Evangelista, capitolo 2]]</v>
      </c>
      <c r="O242" s="32"/>
    </row>
    <row r="243" spans="1:15" x14ac:dyDescent="0.25">
      <c r="A243" s="29">
        <v>22</v>
      </c>
      <c r="B243" t="s">
        <v>51</v>
      </c>
      <c r="C243" s="32">
        <v>3</v>
      </c>
      <c r="D243" t="s">
        <v>850</v>
      </c>
      <c r="E243">
        <v>22</v>
      </c>
      <c r="F243" s="29" t="str">
        <f t="shared" si="56"/>
        <v xml:space="preserve"> - [ ] [[Ap 3|Apocalisse di san Giovanni Apostolo ed Evangelista, capitolo 3]]</v>
      </c>
      <c r="I243" s="29">
        <v>22</v>
      </c>
      <c r="J243" t="s">
        <v>51</v>
      </c>
      <c r="K243" s="32">
        <v>3</v>
      </c>
      <c r="L243" t="s">
        <v>850</v>
      </c>
      <c r="M243">
        <v>22</v>
      </c>
      <c r="N243" s="29" t="str">
        <f t="shared" si="60"/>
        <v xml:space="preserve"> - [ ] [[Ap 3|Apocalisse di san Giovanni Apostolo ed Evangelista, capitolo 3]]</v>
      </c>
      <c r="O243" s="32"/>
    </row>
    <row r="244" spans="1:15" x14ac:dyDescent="0.25">
      <c r="A244" s="29">
        <v>23</v>
      </c>
      <c r="B244" t="s">
        <v>51</v>
      </c>
      <c r="C244" s="32">
        <v>4</v>
      </c>
      <c r="D244" t="s">
        <v>850</v>
      </c>
      <c r="E244">
        <v>11</v>
      </c>
      <c r="F244" s="29" t="str">
        <f t="shared" si="56"/>
        <v xml:space="preserve"> - [ ] [[Ap 4|Apocalisse di san Giovanni Apostolo ed Evangelista, capitolo 4]]</v>
      </c>
      <c r="I244" s="29">
        <v>23</v>
      </c>
      <c r="J244" t="s">
        <v>51</v>
      </c>
      <c r="K244" s="32">
        <v>4</v>
      </c>
      <c r="L244" t="s">
        <v>850</v>
      </c>
      <c r="M244">
        <v>11</v>
      </c>
      <c r="N244" s="29" t="str">
        <f t="shared" si="60"/>
        <v xml:space="preserve"> - [ ] [[Ap 4|Apocalisse di san Giovanni Apostolo ed Evangelista, capitolo 4]]</v>
      </c>
      <c r="O244" s="32"/>
    </row>
    <row r="245" spans="1:15" x14ac:dyDescent="0.25">
      <c r="A245" s="29">
        <v>24</v>
      </c>
      <c r="B245" t="s">
        <v>51</v>
      </c>
      <c r="C245" s="32">
        <v>5</v>
      </c>
      <c r="D245" t="s">
        <v>850</v>
      </c>
      <c r="E245">
        <v>14</v>
      </c>
      <c r="F245" s="29" t="str">
        <f t="shared" si="56"/>
        <v xml:space="preserve"> - [ ] [[Ap 5|Apocalisse di san Giovanni Apostolo ed Evangelista, capitolo 5]]</v>
      </c>
      <c r="I245" s="29">
        <v>24</v>
      </c>
      <c r="J245" t="s">
        <v>51</v>
      </c>
      <c r="K245" s="32">
        <v>5</v>
      </c>
      <c r="L245" t="s">
        <v>850</v>
      </c>
      <c r="M245">
        <v>14</v>
      </c>
      <c r="N245" s="29" t="str">
        <f t="shared" si="60"/>
        <v xml:space="preserve"> - [ ] [[Ap 5|Apocalisse di san Giovanni Apostolo ed Evangelista, capitolo 5]]</v>
      </c>
      <c r="O245" s="32"/>
    </row>
    <row r="246" spans="1:15" x14ac:dyDescent="0.25">
      <c r="A246" s="29">
        <v>25</v>
      </c>
      <c r="B246" t="s">
        <v>51</v>
      </c>
      <c r="C246" s="32">
        <v>6</v>
      </c>
      <c r="D246" t="s">
        <v>850</v>
      </c>
      <c r="E246">
        <v>17</v>
      </c>
      <c r="F246" s="29" t="str">
        <f t="shared" si="56"/>
        <v xml:space="preserve"> - [ ] [[Ap 6|Apocalisse di san Giovanni Apostolo ed Evangelista, capitolo 6]]</v>
      </c>
      <c r="I246" s="29">
        <v>25</v>
      </c>
      <c r="J246" t="s">
        <v>51</v>
      </c>
      <c r="K246" s="32">
        <v>6</v>
      </c>
      <c r="L246" t="s">
        <v>850</v>
      </c>
      <c r="M246">
        <v>17</v>
      </c>
      <c r="N246" s="29" t="str">
        <f t="shared" si="60"/>
        <v xml:space="preserve"> - [ ] [[Ap 6|Apocalisse di san Giovanni Apostolo ed Evangelista, capitolo 6]]</v>
      </c>
      <c r="O246" s="32"/>
    </row>
    <row r="247" spans="1:15" x14ac:dyDescent="0.25">
      <c r="A247" s="29">
        <v>26</v>
      </c>
      <c r="B247" t="s">
        <v>51</v>
      </c>
      <c r="C247" s="32">
        <v>7</v>
      </c>
      <c r="D247" t="s">
        <v>850</v>
      </c>
      <c r="E247">
        <v>17</v>
      </c>
      <c r="F247" s="29" t="str">
        <f t="shared" si="56"/>
        <v xml:space="preserve"> - [ ] [[Ap 7|Apocalisse di san Giovanni Apostolo ed Evangelista, capitolo 7]]</v>
      </c>
      <c r="I247" s="29">
        <v>26</v>
      </c>
      <c r="J247" t="s">
        <v>51</v>
      </c>
      <c r="K247" s="32">
        <v>7</v>
      </c>
      <c r="L247" t="s">
        <v>850</v>
      </c>
      <c r="M247">
        <v>17</v>
      </c>
      <c r="N247" s="29" t="str">
        <f t="shared" si="60"/>
        <v xml:space="preserve"> - [ ] [[Ap 7|Apocalisse di san Giovanni Apostolo ed Evangelista, capitolo 7]]</v>
      </c>
      <c r="O247" s="32"/>
    </row>
    <row r="248" spans="1:15" x14ac:dyDescent="0.25">
      <c r="A248" s="29">
        <v>27</v>
      </c>
      <c r="B248" t="s">
        <v>51</v>
      </c>
      <c r="C248" s="32">
        <v>8</v>
      </c>
      <c r="D248" t="s">
        <v>850</v>
      </c>
      <c r="E248">
        <v>13</v>
      </c>
      <c r="F248" s="29" t="str">
        <f t="shared" si="56"/>
        <v xml:space="preserve"> - [ ] [[Ap 8|Apocalisse di san Giovanni Apostolo ed Evangelista, capitolo 8]]</v>
      </c>
      <c r="I248" s="29">
        <v>27</v>
      </c>
      <c r="J248" t="s">
        <v>51</v>
      </c>
      <c r="K248" s="32">
        <v>8</v>
      </c>
      <c r="L248" t="s">
        <v>850</v>
      </c>
      <c r="M248">
        <v>13</v>
      </c>
      <c r="N248" s="29" t="str">
        <f t="shared" si="60"/>
        <v xml:space="preserve"> - [ ] [[Ap 8|Apocalisse di san Giovanni Apostolo ed Evangelista, capitolo 8]]</v>
      </c>
      <c r="O248" s="32"/>
    </row>
    <row r="249" spans="1:15" x14ac:dyDescent="0.25">
      <c r="A249" s="29">
        <v>28</v>
      </c>
      <c r="B249" t="s">
        <v>51</v>
      </c>
      <c r="C249" s="32">
        <v>9</v>
      </c>
      <c r="D249" t="s">
        <v>850</v>
      </c>
      <c r="E249">
        <v>21</v>
      </c>
      <c r="F249" s="29" t="str">
        <f t="shared" si="56"/>
        <v xml:space="preserve"> - [ ] [[Ap 9|Apocalisse di san Giovanni Apostolo ed Evangelista, capitolo 9]]</v>
      </c>
      <c r="I249" s="29">
        <v>28</v>
      </c>
      <c r="J249" t="s">
        <v>51</v>
      </c>
      <c r="K249" s="32">
        <v>9</v>
      </c>
      <c r="L249" t="s">
        <v>850</v>
      </c>
      <c r="M249">
        <v>21</v>
      </c>
      <c r="N249" s="29" t="str">
        <f t="shared" si="60"/>
        <v xml:space="preserve"> - [ ] [[Ap 9|Apocalisse di san Giovanni Apostolo ed Evangelista, capitolo 9]]</v>
      </c>
      <c r="O249" s="32"/>
    </row>
    <row r="250" spans="1:15" x14ac:dyDescent="0.25">
      <c r="A250" s="29">
        <v>29</v>
      </c>
      <c r="B250" t="s">
        <v>51</v>
      </c>
      <c r="C250" s="32">
        <v>10</v>
      </c>
      <c r="D250" t="s">
        <v>850</v>
      </c>
      <c r="E250">
        <v>11</v>
      </c>
      <c r="F250" s="29" t="str">
        <f t="shared" si="56"/>
        <v xml:space="preserve"> - [ ] [[Ap 10|Apocalisse di san Giovanni Apostolo ed Evangelista, capitolo 10]]</v>
      </c>
      <c r="I250" s="29">
        <v>29</v>
      </c>
      <c r="J250" t="s">
        <v>51</v>
      </c>
      <c r="K250" s="32">
        <v>10</v>
      </c>
      <c r="L250" t="s">
        <v>850</v>
      </c>
      <c r="M250">
        <v>11</v>
      </c>
      <c r="N250" s="29" t="str">
        <f t="shared" si="60"/>
        <v xml:space="preserve"> - [ ] [[Ap 10|Apocalisse di san Giovanni Apostolo ed Evangelista, capitolo 10]]</v>
      </c>
      <c r="O250" s="32"/>
    </row>
    <row r="251" spans="1:15" x14ac:dyDescent="0.25">
      <c r="A251" s="29">
        <v>30</v>
      </c>
      <c r="B251" t="s">
        <v>51</v>
      </c>
      <c r="C251" s="32">
        <v>11</v>
      </c>
      <c r="D251" t="s">
        <v>850</v>
      </c>
      <c r="E251">
        <v>19</v>
      </c>
      <c r="F251" s="29" t="str">
        <f t="shared" si="56"/>
        <v xml:space="preserve"> - [ ] [[Ap 11|Apocalisse di san Giovanni Apostolo ed Evangelista, capitolo 11]]</v>
      </c>
      <c r="I251" s="29">
        <v>30</v>
      </c>
      <c r="J251" t="s">
        <v>51</v>
      </c>
      <c r="K251" s="32">
        <v>11</v>
      </c>
      <c r="L251" t="s">
        <v>850</v>
      </c>
      <c r="M251">
        <v>19</v>
      </c>
      <c r="N251" s="29" t="str">
        <f t="shared" si="60"/>
        <v xml:space="preserve"> - [ ] [[Ap 11|Apocalisse di san Giovanni Apostolo ed Evangelista, capitolo 11]]</v>
      </c>
      <c r="O251" s="32"/>
    </row>
    <row r="252" spans="1:15" x14ac:dyDescent="0.25">
      <c r="A252" s="29">
        <v>31</v>
      </c>
      <c r="B252" t="s">
        <v>51</v>
      </c>
      <c r="C252" s="32">
        <v>12</v>
      </c>
      <c r="D252" t="s">
        <v>850</v>
      </c>
      <c r="E252">
        <v>18</v>
      </c>
      <c r="F252" s="29" t="str">
        <f t="shared" si="56"/>
        <v xml:space="preserve"> - [ ] [[Ap 12|Apocalisse di san Giovanni Apostolo ed Evangelista, capitolo 12]]</v>
      </c>
      <c r="I252" s="29">
        <v>31</v>
      </c>
      <c r="J252" t="s">
        <v>51</v>
      </c>
      <c r="K252" s="32">
        <v>12</v>
      </c>
      <c r="L252" t="s">
        <v>850</v>
      </c>
      <c r="M252">
        <v>18</v>
      </c>
      <c r="N252" s="29" t="str">
        <f t="shared" si="60"/>
        <v xml:space="preserve"> - [ ] [[Ap 12|Apocalisse di san Giovanni Apostolo ed Evangelista, capitolo 12]]</v>
      </c>
      <c r="O252" s="32"/>
    </row>
    <row r="253" spans="1:15" x14ac:dyDescent="0.25">
      <c r="A253" s="30" t="s">
        <v>870</v>
      </c>
      <c r="B253" t="s">
        <v>51</v>
      </c>
      <c r="C253" s="32">
        <v>13</v>
      </c>
      <c r="D253" t="s">
        <v>850</v>
      </c>
      <c r="E253">
        <v>18</v>
      </c>
      <c r="F253" s="29" t="str">
        <f t="shared" si="56"/>
        <v xml:space="preserve"> - [ ] [[Ap 13|Apocalisse di san Giovanni Apostolo ed Evangelista, capitolo 13]]</v>
      </c>
      <c r="I253" s="30" t="s">
        <v>870</v>
      </c>
      <c r="J253" t="s">
        <v>51</v>
      </c>
      <c r="K253" s="32">
        <v>13</v>
      </c>
      <c r="L253" t="s">
        <v>850</v>
      </c>
      <c r="M253">
        <v>18</v>
      </c>
      <c r="N253" s="29" t="str">
        <f t="shared" si="60"/>
        <v xml:space="preserve"> - [ ] [[Ap 13|Apocalisse di san Giovanni Apostolo ed Evangelista, capitolo 13]]</v>
      </c>
      <c r="O253" s="32"/>
    </row>
    <row r="254" spans="1:15" x14ac:dyDescent="0.25">
      <c r="A254" s="29">
        <v>1</v>
      </c>
      <c r="B254" t="s">
        <v>51</v>
      </c>
      <c r="C254" s="32">
        <v>14</v>
      </c>
      <c r="D254" t="s">
        <v>850</v>
      </c>
      <c r="E254">
        <v>20</v>
      </c>
      <c r="F254" s="29" t="str">
        <f t="shared" si="56"/>
        <v xml:space="preserve"> - [ ] [[Ap 14|Apocalisse di san Giovanni Apostolo ed Evangelista, capitolo 14]]</v>
      </c>
      <c r="I254" s="29">
        <v>1</v>
      </c>
      <c r="J254" t="s">
        <v>51</v>
      </c>
      <c r="K254" s="32">
        <v>14</v>
      </c>
      <c r="L254" t="s">
        <v>850</v>
      </c>
      <c r="M254">
        <v>20</v>
      </c>
      <c r="N254" s="29" t="str">
        <f t="shared" si="60"/>
        <v xml:space="preserve"> - [ ] [[Ap 14|Apocalisse di san Giovanni Apostolo ed Evangelista, capitolo 14]]</v>
      </c>
      <c r="O254" s="32"/>
    </row>
    <row r="255" spans="1:15" x14ac:dyDescent="0.25">
      <c r="A255" s="29">
        <v>2</v>
      </c>
      <c r="B255" t="s">
        <v>51</v>
      </c>
      <c r="C255" s="32">
        <v>15</v>
      </c>
      <c r="D255" t="s">
        <v>850</v>
      </c>
      <c r="E255">
        <v>8</v>
      </c>
      <c r="F255" s="29" t="str">
        <f t="shared" si="56"/>
        <v xml:space="preserve"> - [ ] [[Ap 15|Apocalisse di san Giovanni Apostolo ed Evangelista, capitolo 15]]</v>
      </c>
      <c r="I255" s="29">
        <v>2</v>
      </c>
      <c r="J255" t="s">
        <v>51</v>
      </c>
      <c r="K255" s="32">
        <v>15</v>
      </c>
      <c r="L255" t="s">
        <v>850</v>
      </c>
      <c r="M255">
        <v>8</v>
      </c>
      <c r="N255" s="29" t="str">
        <f>_xlfn.CONCAT(" - [ ] [[",J255," ",K255,"|",L255,", capitolo ",K255,"]]")</f>
        <v xml:space="preserve"> - [ ] [[Ap 15|Apocalisse di san Giovanni Apostolo ed Evangelista, capitolo 15]]</v>
      </c>
      <c r="O255" s="32"/>
    </row>
    <row r="256" spans="1:15" x14ac:dyDescent="0.25">
      <c r="A256" s="29">
        <v>3</v>
      </c>
      <c r="B256" t="s">
        <v>51</v>
      </c>
      <c r="C256" s="32">
        <v>16</v>
      </c>
      <c r="D256" t="s">
        <v>850</v>
      </c>
      <c r="E256">
        <v>21</v>
      </c>
      <c r="F256" s="29" t="str">
        <f t="shared" si="56"/>
        <v xml:space="preserve"> - [ ] [[Ap 16|Apocalisse di san Giovanni Apostolo ed Evangelista, capitolo 16]]</v>
      </c>
      <c r="I256" s="29">
        <v>3</v>
      </c>
      <c r="J256" t="s">
        <v>51</v>
      </c>
      <c r="K256" s="32">
        <v>16</v>
      </c>
      <c r="L256" t="s">
        <v>850</v>
      </c>
      <c r="M256">
        <v>21</v>
      </c>
      <c r="N256" s="29" t="str">
        <f t="shared" si="60"/>
        <v xml:space="preserve"> - [ ] [[Ap 16|Apocalisse di san Giovanni Apostolo ed Evangelista, capitolo 16]]</v>
      </c>
      <c r="O256" s="32"/>
    </row>
    <row r="257" spans="1:15" x14ac:dyDescent="0.25">
      <c r="A257" s="29">
        <v>4</v>
      </c>
      <c r="B257" t="s">
        <v>51</v>
      </c>
      <c r="C257" s="32">
        <v>17</v>
      </c>
      <c r="D257" t="s">
        <v>850</v>
      </c>
      <c r="E257">
        <v>18</v>
      </c>
      <c r="F257" s="29" t="str">
        <f t="shared" si="56"/>
        <v xml:space="preserve"> - [ ] [[Ap 17|Apocalisse di san Giovanni Apostolo ed Evangelista, capitolo 17]]</v>
      </c>
      <c r="I257" s="29">
        <v>4</v>
      </c>
      <c r="J257" t="s">
        <v>51</v>
      </c>
      <c r="K257" s="32">
        <v>17</v>
      </c>
      <c r="L257" t="s">
        <v>850</v>
      </c>
      <c r="M257">
        <v>18</v>
      </c>
      <c r="N257" s="29" t="str">
        <f t="shared" si="60"/>
        <v xml:space="preserve"> - [ ] [[Ap 17|Apocalisse di san Giovanni Apostolo ed Evangelista, capitolo 17]]</v>
      </c>
      <c r="O257" s="32"/>
    </row>
    <row r="258" spans="1:15" x14ac:dyDescent="0.25">
      <c r="A258" s="29">
        <v>5</v>
      </c>
      <c r="B258" t="s">
        <v>51</v>
      </c>
      <c r="C258" s="32">
        <v>18</v>
      </c>
      <c r="D258" t="s">
        <v>850</v>
      </c>
      <c r="E258">
        <v>24</v>
      </c>
      <c r="F258" s="29" t="str">
        <f t="shared" si="56"/>
        <v xml:space="preserve"> - [ ] [[Ap 18|Apocalisse di san Giovanni Apostolo ed Evangelista, capitolo 18]]</v>
      </c>
      <c r="I258" s="29">
        <v>5</v>
      </c>
      <c r="J258" t="s">
        <v>51</v>
      </c>
      <c r="K258" s="32">
        <v>18</v>
      </c>
      <c r="L258" t="s">
        <v>850</v>
      </c>
      <c r="M258">
        <v>24</v>
      </c>
      <c r="N258" s="29" t="str">
        <f t="shared" si="60"/>
        <v xml:space="preserve"> - [ ] [[Ap 18|Apocalisse di san Giovanni Apostolo ed Evangelista, capitolo 18]]</v>
      </c>
      <c r="O258" s="32"/>
    </row>
    <row r="259" spans="1:15" x14ac:dyDescent="0.25">
      <c r="A259" s="29">
        <v>6</v>
      </c>
      <c r="B259" t="s">
        <v>51</v>
      </c>
      <c r="C259" s="32">
        <v>19</v>
      </c>
      <c r="D259" t="s">
        <v>850</v>
      </c>
      <c r="E259">
        <v>21</v>
      </c>
      <c r="F259" s="29" t="str">
        <f t="shared" si="56"/>
        <v xml:space="preserve"> - [ ] [[Ap 19|Apocalisse di san Giovanni Apostolo ed Evangelista, capitolo 19]]</v>
      </c>
      <c r="I259" s="29">
        <v>6</v>
      </c>
      <c r="J259" t="s">
        <v>51</v>
      </c>
      <c r="K259" s="32">
        <v>19</v>
      </c>
      <c r="L259" t="s">
        <v>850</v>
      </c>
      <c r="M259">
        <v>21</v>
      </c>
      <c r="N259" s="29" t="str">
        <f t="shared" si="60"/>
        <v xml:space="preserve"> - [ ] [[Ap 19|Apocalisse di san Giovanni Apostolo ed Evangelista, capitolo 19]]</v>
      </c>
      <c r="O259" s="32"/>
    </row>
    <row r="260" spans="1:15" x14ac:dyDescent="0.25">
      <c r="A260" s="29">
        <v>7</v>
      </c>
      <c r="B260" t="s">
        <v>51</v>
      </c>
      <c r="C260" s="32">
        <v>20</v>
      </c>
      <c r="D260" t="s">
        <v>850</v>
      </c>
      <c r="E260">
        <v>15</v>
      </c>
      <c r="F260" s="29" t="str">
        <f t="shared" ref="F260:F323" si="61">_xlfn.CONCAT(" - [ ] [[",B260," ",C260,"|",D260,", capitolo ",C260,"]]")</f>
        <v xml:space="preserve"> - [ ] [[Ap 20|Apocalisse di san Giovanni Apostolo ed Evangelista, capitolo 20]]</v>
      </c>
      <c r="I260" s="29">
        <v>7</v>
      </c>
      <c r="J260" t="s">
        <v>51</v>
      </c>
      <c r="K260" s="32">
        <v>20</v>
      </c>
      <c r="L260" t="s">
        <v>850</v>
      </c>
      <c r="M260">
        <v>15</v>
      </c>
      <c r="N260" s="29" t="str">
        <f t="shared" si="60"/>
        <v xml:space="preserve"> - [ ] [[Ap 20|Apocalisse di san Giovanni Apostolo ed Evangelista, capitolo 20]]</v>
      </c>
      <c r="O260" s="32"/>
    </row>
    <row r="261" spans="1:15" x14ac:dyDescent="0.25">
      <c r="A261" s="29">
        <v>8</v>
      </c>
      <c r="B261" t="s">
        <v>51</v>
      </c>
      <c r="C261" s="32">
        <v>21</v>
      </c>
      <c r="D261" t="s">
        <v>850</v>
      </c>
      <c r="E261">
        <v>27</v>
      </c>
      <c r="F261" s="29" t="str">
        <f t="shared" si="61"/>
        <v xml:space="preserve"> - [ ] [[Ap 21|Apocalisse di san Giovanni Apostolo ed Evangelista, capitolo 21]]</v>
      </c>
      <c r="I261" s="29">
        <v>8</v>
      </c>
      <c r="J261" t="s">
        <v>51</v>
      </c>
      <c r="K261" s="32">
        <v>21</v>
      </c>
      <c r="L261" t="s">
        <v>850</v>
      </c>
      <c r="M261">
        <v>27</v>
      </c>
      <c r="N261" s="29" t="str">
        <f t="shared" si="60"/>
        <v xml:space="preserve"> - [ ] [[Ap 21|Apocalisse di san Giovanni Apostolo ed Evangelista, capitolo 21]]</v>
      </c>
      <c r="O261" s="32"/>
    </row>
    <row r="262" spans="1:15" x14ac:dyDescent="0.25">
      <c r="A262" s="33">
        <v>9</v>
      </c>
      <c r="B262" s="37" t="s">
        <v>51</v>
      </c>
      <c r="C262" s="34">
        <v>22</v>
      </c>
      <c r="D262" s="37" t="s">
        <v>850</v>
      </c>
      <c r="E262" s="37">
        <v>20</v>
      </c>
      <c r="F262" s="33" t="str">
        <f t="shared" si="61"/>
        <v xml:space="preserve"> - [ ] [[Ap 22|Apocalisse di san Giovanni Apostolo ed Evangelista, capitolo 22]]</v>
      </c>
      <c r="G262" s="34"/>
      <c r="I262" s="33">
        <v>9</v>
      </c>
      <c r="J262" s="37" t="s">
        <v>51</v>
      </c>
      <c r="K262" s="34">
        <v>22</v>
      </c>
      <c r="L262" s="37" t="s">
        <v>850</v>
      </c>
      <c r="M262" s="37">
        <v>20</v>
      </c>
      <c r="N262" s="33" t="str">
        <f t="shared" si="60"/>
        <v xml:space="preserve"> - [ ] [[Ap 22|Apocalisse di san Giovanni Apostolo ed Evangelista, capitolo 22]]</v>
      </c>
      <c r="O262" s="34"/>
    </row>
    <row r="263" spans="1:15" x14ac:dyDescent="0.25">
      <c r="A263" s="29">
        <v>10</v>
      </c>
      <c r="B263" s="29" t="s">
        <v>45</v>
      </c>
      <c r="C263" s="32">
        <v>1</v>
      </c>
      <c r="D263" s="29" t="s">
        <v>830</v>
      </c>
      <c r="E263" s="29">
        <v>10</v>
      </c>
      <c r="F263" s="29" t="str">
        <f t="shared" si="61"/>
        <v xml:space="preserve"> - [ ] [[1Gv 1|Prima lettera di san Giovanni Apostolo ed Evangelista, capitolo 1]]</v>
      </c>
      <c r="I263" s="29">
        <v>10</v>
      </c>
    </row>
    <row r="264" spans="1:15" x14ac:dyDescent="0.25">
      <c r="A264" s="29">
        <v>11</v>
      </c>
      <c r="B264" s="29" t="s">
        <v>45</v>
      </c>
      <c r="C264" s="32">
        <v>2</v>
      </c>
      <c r="D264" s="29" t="s">
        <v>830</v>
      </c>
      <c r="E264" s="29">
        <v>29</v>
      </c>
      <c r="F264" s="29" t="str">
        <f t="shared" si="61"/>
        <v xml:space="preserve"> - [ ] [[1Gv 2|Prima lettera di san Giovanni Apostolo ed Evangelista, capitolo 2]]</v>
      </c>
      <c r="I264" s="29">
        <v>11</v>
      </c>
    </row>
    <row r="265" spans="1:15" x14ac:dyDescent="0.25">
      <c r="A265" s="29">
        <v>12</v>
      </c>
      <c r="B265" s="29" t="s">
        <v>45</v>
      </c>
      <c r="C265" s="32">
        <v>3</v>
      </c>
      <c r="D265" s="29" t="s">
        <v>830</v>
      </c>
      <c r="E265" s="29">
        <v>24</v>
      </c>
      <c r="F265" s="29" t="str">
        <f t="shared" si="61"/>
        <v xml:space="preserve"> - [ ] [[1Gv 3|Prima lettera di san Giovanni Apostolo ed Evangelista, capitolo 3]]</v>
      </c>
      <c r="I265" s="29">
        <v>12</v>
      </c>
    </row>
    <row r="266" spans="1:15" x14ac:dyDescent="0.25">
      <c r="A266" s="29">
        <v>13</v>
      </c>
      <c r="B266" s="29" t="s">
        <v>45</v>
      </c>
      <c r="C266" s="32">
        <v>4</v>
      </c>
      <c r="D266" s="29" t="s">
        <v>830</v>
      </c>
      <c r="E266" s="29">
        <v>21</v>
      </c>
      <c r="F266" s="29" t="str">
        <f t="shared" si="61"/>
        <v xml:space="preserve"> - [ ] [[1Gv 4|Prima lettera di san Giovanni Apostolo ed Evangelista, capitolo 4]]</v>
      </c>
      <c r="I266" s="29">
        <v>13</v>
      </c>
    </row>
    <row r="267" spans="1:15" x14ac:dyDescent="0.25">
      <c r="A267" s="29">
        <v>14</v>
      </c>
      <c r="B267" s="33" t="s">
        <v>45</v>
      </c>
      <c r="C267" s="34">
        <v>5</v>
      </c>
      <c r="D267" s="33" t="s">
        <v>830</v>
      </c>
      <c r="E267" s="33">
        <v>21</v>
      </c>
      <c r="F267" s="33" t="str">
        <f t="shared" si="61"/>
        <v xml:space="preserve"> - [ ] [[1Gv 5|Prima lettera di san Giovanni Apostolo ed Evangelista, capitolo 5]]</v>
      </c>
      <c r="G267" s="34"/>
      <c r="I267" s="29">
        <v>14</v>
      </c>
    </row>
    <row r="268" spans="1:15" x14ac:dyDescent="0.25">
      <c r="A268" s="29">
        <v>15</v>
      </c>
      <c r="B268" s="29" t="s">
        <v>151</v>
      </c>
      <c r="C268" s="32">
        <v>1</v>
      </c>
      <c r="D268" s="29" t="s">
        <v>858</v>
      </c>
      <c r="E268" s="29">
        <v>51</v>
      </c>
      <c r="F268" s="29" t="str">
        <f t="shared" si="61"/>
        <v xml:space="preserve"> - [ ] [[Gv 1|Vangelo di san Giovanni Apostolo ed Evangelista, capitolo 1]]</v>
      </c>
      <c r="I268" s="29">
        <v>15</v>
      </c>
    </row>
    <row r="269" spans="1:15" x14ac:dyDescent="0.25">
      <c r="A269" s="29">
        <v>16</v>
      </c>
      <c r="B269" s="29" t="s">
        <v>151</v>
      </c>
      <c r="C269" s="32">
        <v>2</v>
      </c>
      <c r="D269" s="29" t="s">
        <v>858</v>
      </c>
      <c r="E269" s="29">
        <v>25</v>
      </c>
      <c r="F269" s="29" t="str">
        <f t="shared" si="61"/>
        <v xml:space="preserve"> - [ ] [[Gv 2|Vangelo di san Giovanni Apostolo ed Evangelista, capitolo 2]]</v>
      </c>
      <c r="I269" s="29">
        <v>16</v>
      </c>
    </row>
    <row r="270" spans="1:15" x14ac:dyDescent="0.25">
      <c r="A270" s="29">
        <v>17</v>
      </c>
      <c r="B270" s="29" t="s">
        <v>151</v>
      </c>
      <c r="C270" s="32">
        <v>3</v>
      </c>
      <c r="D270" s="29" t="s">
        <v>858</v>
      </c>
      <c r="E270" s="29">
        <v>36</v>
      </c>
      <c r="F270" s="29" t="str">
        <f t="shared" si="61"/>
        <v xml:space="preserve"> - [ ] [[Gv 3|Vangelo di san Giovanni Apostolo ed Evangelista, capitolo 3]]</v>
      </c>
      <c r="I270" s="29">
        <v>17</v>
      </c>
    </row>
    <row r="271" spans="1:15" x14ac:dyDescent="0.25">
      <c r="A271" s="29">
        <v>18</v>
      </c>
      <c r="B271" s="29" t="s">
        <v>151</v>
      </c>
      <c r="C271" s="32">
        <v>4</v>
      </c>
      <c r="D271" s="29" t="s">
        <v>858</v>
      </c>
      <c r="E271" s="29">
        <v>54</v>
      </c>
      <c r="F271" s="29" t="str">
        <f t="shared" si="61"/>
        <v xml:space="preserve"> - [ ] [[Gv 4|Vangelo di san Giovanni Apostolo ed Evangelista, capitolo 4]]</v>
      </c>
      <c r="I271" s="29">
        <v>18</v>
      </c>
    </row>
    <row r="272" spans="1:15" x14ac:dyDescent="0.25">
      <c r="A272" s="29">
        <v>19</v>
      </c>
      <c r="B272" s="29" t="s">
        <v>151</v>
      </c>
      <c r="C272" s="32">
        <v>5</v>
      </c>
      <c r="D272" s="29" t="s">
        <v>858</v>
      </c>
      <c r="E272" s="29">
        <v>47</v>
      </c>
      <c r="F272" s="29" t="str">
        <f t="shared" si="61"/>
        <v xml:space="preserve"> - [ ] [[Gv 5|Vangelo di san Giovanni Apostolo ed Evangelista, capitolo 5]]</v>
      </c>
      <c r="I272" s="29">
        <v>19</v>
      </c>
    </row>
    <row r="273" spans="1:9" x14ac:dyDescent="0.25">
      <c r="A273" s="29">
        <v>20</v>
      </c>
      <c r="B273" s="29" t="s">
        <v>151</v>
      </c>
      <c r="C273" s="32">
        <v>6</v>
      </c>
      <c r="D273" s="29" t="s">
        <v>858</v>
      </c>
      <c r="E273" s="29">
        <v>71</v>
      </c>
      <c r="F273" s="29" t="str">
        <f t="shared" si="61"/>
        <v xml:space="preserve"> - [ ] [[Gv 6|Vangelo di san Giovanni Apostolo ed Evangelista, capitolo 6]]</v>
      </c>
      <c r="I273" s="29">
        <v>20</v>
      </c>
    </row>
    <row r="274" spans="1:9" x14ac:dyDescent="0.25">
      <c r="A274" s="29">
        <v>21</v>
      </c>
      <c r="B274" s="29" t="s">
        <v>151</v>
      </c>
      <c r="C274" s="32">
        <v>7</v>
      </c>
      <c r="D274" s="29" t="s">
        <v>858</v>
      </c>
      <c r="E274" s="29">
        <v>53</v>
      </c>
      <c r="F274" s="29" t="str">
        <f t="shared" si="61"/>
        <v xml:space="preserve"> - [ ] [[Gv 7|Vangelo di san Giovanni Apostolo ed Evangelista, capitolo 7]]</v>
      </c>
      <c r="I274" s="29">
        <v>21</v>
      </c>
    </row>
    <row r="275" spans="1:9" x14ac:dyDescent="0.25">
      <c r="A275" s="29">
        <v>22</v>
      </c>
      <c r="B275" s="29" t="s">
        <v>151</v>
      </c>
      <c r="C275" s="32">
        <v>8</v>
      </c>
      <c r="D275" s="29" t="s">
        <v>858</v>
      </c>
      <c r="E275" s="29">
        <v>59</v>
      </c>
      <c r="F275" s="29" t="str">
        <f t="shared" si="61"/>
        <v xml:space="preserve"> - [ ] [[Gv 8|Vangelo di san Giovanni Apostolo ed Evangelista, capitolo 8]]</v>
      </c>
      <c r="I275" s="29">
        <v>22</v>
      </c>
    </row>
    <row r="276" spans="1:9" x14ac:dyDescent="0.25">
      <c r="A276" s="29">
        <v>23</v>
      </c>
      <c r="B276" s="29" t="s">
        <v>151</v>
      </c>
      <c r="C276" s="32">
        <v>9</v>
      </c>
      <c r="D276" s="29" t="s">
        <v>858</v>
      </c>
      <c r="E276" s="29">
        <v>41</v>
      </c>
      <c r="F276" s="29" t="str">
        <f t="shared" si="61"/>
        <v xml:space="preserve"> - [ ] [[Gv 9|Vangelo di san Giovanni Apostolo ed Evangelista, capitolo 9]]</v>
      </c>
      <c r="I276" s="29">
        <v>23</v>
      </c>
    </row>
    <row r="277" spans="1:9" x14ac:dyDescent="0.25">
      <c r="A277" s="29">
        <v>24</v>
      </c>
      <c r="B277" s="29" t="s">
        <v>151</v>
      </c>
      <c r="C277" s="32">
        <v>10</v>
      </c>
      <c r="D277" s="29" t="s">
        <v>858</v>
      </c>
      <c r="E277" s="29">
        <v>42</v>
      </c>
      <c r="F277" s="29" t="str">
        <f t="shared" si="61"/>
        <v xml:space="preserve"> - [ ] [[Gv 10|Vangelo di san Giovanni Apostolo ed Evangelista, capitolo 10]]</v>
      </c>
      <c r="I277" s="29">
        <v>24</v>
      </c>
    </row>
    <row r="278" spans="1:9" x14ac:dyDescent="0.25">
      <c r="A278" s="29">
        <v>25</v>
      </c>
      <c r="B278" s="29" t="s">
        <v>151</v>
      </c>
      <c r="C278" s="32">
        <v>11</v>
      </c>
      <c r="D278" s="29" t="s">
        <v>858</v>
      </c>
      <c r="E278" s="29">
        <v>57</v>
      </c>
      <c r="F278" s="29" t="str">
        <f t="shared" si="61"/>
        <v xml:space="preserve"> - [ ] [[Gv 11|Vangelo di san Giovanni Apostolo ed Evangelista, capitolo 11]]</v>
      </c>
      <c r="I278" s="29">
        <v>25</v>
      </c>
    </row>
    <row r="279" spans="1:9" x14ac:dyDescent="0.25">
      <c r="A279" s="29">
        <v>26</v>
      </c>
      <c r="B279" s="29" t="s">
        <v>151</v>
      </c>
      <c r="C279" s="32">
        <v>12</v>
      </c>
      <c r="D279" s="29" t="s">
        <v>858</v>
      </c>
      <c r="E279" s="29">
        <v>50</v>
      </c>
      <c r="F279" s="29" t="str">
        <f t="shared" si="61"/>
        <v xml:space="preserve"> - [ ] [[Gv 12|Vangelo di san Giovanni Apostolo ed Evangelista, capitolo 12]]</v>
      </c>
      <c r="I279" s="29">
        <v>26</v>
      </c>
    </row>
    <row r="280" spans="1:9" x14ac:dyDescent="0.25">
      <c r="A280" s="29">
        <v>27</v>
      </c>
      <c r="B280" s="29" t="s">
        <v>151</v>
      </c>
      <c r="C280" s="32">
        <v>13</v>
      </c>
      <c r="D280" s="29" t="s">
        <v>858</v>
      </c>
      <c r="E280" s="29">
        <v>38</v>
      </c>
      <c r="F280" s="29" t="str">
        <f t="shared" si="61"/>
        <v xml:space="preserve"> - [ ] [[Gv 13|Vangelo di san Giovanni Apostolo ed Evangelista, capitolo 13]]</v>
      </c>
      <c r="I280" s="29">
        <v>27</v>
      </c>
    </row>
    <row r="281" spans="1:9" x14ac:dyDescent="0.25">
      <c r="A281" s="29">
        <v>28</v>
      </c>
      <c r="B281" s="29" t="s">
        <v>151</v>
      </c>
      <c r="C281" s="32">
        <v>14</v>
      </c>
      <c r="D281" s="29" t="s">
        <v>858</v>
      </c>
      <c r="E281" s="29">
        <v>31</v>
      </c>
      <c r="F281" s="29" t="str">
        <f t="shared" si="61"/>
        <v xml:space="preserve"> - [ ] [[Gv 14|Vangelo di san Giovanni Apostolo ed Evangelista, capitolo 14]]</v>
      </c>
      <c r="I281" s="29">
        <v>28</v>
      </c>
    </row>
    <row r="282" spans="1:9" x14ac:dyDescent="0.25">
      <c r="A282" s="29">
        <v>29</v>
      </c>
      <c r="B282" s="29" t="s">
        <v>151</v>
      </c>
      <c r="C282" s="32">
        <v>15</v>
      </c>
      <c r="D282" s="29" t="s">
        <v>858</v>
      </c>
      <c r="E282" s="29">
        <v>27</v>
      </c>
      <c r="F282" s="29" t="str">
        <f t="shared" si="61"/>
        <v xml:space="preserve"> - [ ] [[Gv 15|Vangelo di san Giovanni Apostolo ed Evangelista, capitolo 15]]</v>
      </c>
      <c r="I282" s="29">
        <v>29</v>
      </c>
    </row>
    <row r="283" spans="1:9" x14ac:dyDescent="0.25">
      <c r="A283" s="29">
        <v>30</v>
      </c>
      <c r="B283" s="29" t="s">
        <v>151</v>
      </c>
      <c r="C283" s="32">
        <v>16</v>
      </c>
      <c r="D283" s="29" t="s">
        <v>858</v>
      </c>
      <c r="E283" s="29">
        <v>33</v>
      </c>
      <c r="F283" s="29" t="str">
        <f t="shared" si="61"/>
        <v xml:space="preserve"> - [ ] [[Gv 16|Vangelo di san Giovanni Apostolo ed Evangelista, capitolo 16]]</v>
      </c>
      <c r="I283" s="29">
        <v>30</v>
      </c>
    </row>
    <row r="284" spans="1:9" x14ac:dyDescent="0.25">
      <c r="A284" s="30" t="s">
        <v>871</v>
      </c>
      <c r="B284" s="29" t="s">
        <v>151</v>
      </c>
      <c r="C284" s="32">
        <v>17</v>
      </c>
      <c r="D284" s="29" t="s">
        <v>858</v>
      </c>
      <c r="E284" s="29">
        <v>26</v>
      </c>
      <c r="F284" s="29" t="str">
        <f t="shared" si="61"/>
        <v xml:space="preserve"> - [ ] [[Gv 17|Vangelo di san Giovanni Apostolo ed Evangelista, capitolo 17]]</v>
      </c>
      <c r="I284" s="30" t="s">
        <v>871</v>
      </c>
    </row>
    <row r="285" spans="1:9" x14ac:dyDescent="0.25">
      <c r="A285" s="29">
        <v>1</v>
      </c>
      <c r="B285" s="29" t="s">
        <v>151</v>
      </c>
      <c r="C285" s="32">
        <v>18</v>
      </c>
      <c r="D285" s="29" t="s">
        <v>858</v>
      </c>
      <c r="E285" s="29">
        <v>40</v>
      </c>
      <c r="F285" s="29" t="str">
        <f t="shared" si="61"/>
        <v xml:space="preserve"> - [ ] [[Gv 18|Vangelo di san Giovanni Apostolo ed Evangelista, capitolo 18]]</v>
      </c>
      <c r="I285" s="29">
        <v>1</v>
      </c>
    </row>
    <row r="286" spans="1:9" x14ac:dyDescent="0.25">
      <c r="A286" s="29">
        <v>2</v>
      </c>
      <c r="B286" s="29" t="s">
        <v>151</v>
      </c>
      <c r="C286" s="32">
        <v>19</v>
      </c>
      <c r="D286" s="29" t="s">
        <v>858</v>
      </c>
      <c r="E286" s="29">
        <v>42</v>
      </c>
      <c r="F286" s="29" t="str">
        <f t="shared" si="61"/>
        <v xml:space="preserve"> - [ ] [[Gv 19|Vangelo di san Giovanni Apostolo ed Evangelista, capitolo 19]]</v>
      </c>
      <c r="I286" s="29">
        <v>2</v>
      </c>
    </row>
    <row r="287" spans="1:9" x14ac:dyDescent="0.25">
      <c r="A287" s="29">
        <v>3</v>
      </c>
      <c r="B287" s="29" t="s">
        <v>151</v>
      </c>
      <c r="C287" s="32">
        <v>20</v>
      </c>
      <c r="D287" s="29" t="s">
        <v>858</v>
      </c>
      <c r="E287" s="29">
        <v>31</v>
      </c>
      <c r="F287" s="29" t="str">
        <f t="shared" si="61"/>
        <v xml:space="preserve"> - [ ] [[Gv 20|Vangelo di san Giovanni Apostolo ed Evangelista, capitolo 20]]</v>
      </c>
      <c r="I287" s="29">
        <v>3</v>
      </c>
    </row>
    <row r="288" spans="1:9" x14ac:dyDescent="0.25">
      <c r="A288" s="29">
        <v>4</v>
      </c>
      <c r="B288" s="33" t="s">
        <v>151</v>
      </c>
      <c r="C288" s="34">
        <v>21</v>
      </c>
      <c r="D288" s="33" t="s">
        <v>858</v>
      </c>
      <c r="E288" s="33">
        <v>25</v>
      </c>
      <c r="F288" s="33" t="str">
        <f t="shared" si="61"/>
        <v xml:space="preserve"> - [ ] [[Gv 21|Vangelo di san Giovanni Apostolo ed Evangelista, capitolo 21]]</v>
      </c>
      <c r="G288" s="34"/>
      <c r="I288" s="29">
        <v>4</v>
      </c>
    </row>
    <row r="289" spans="1:9" x14ac:dyDescent="0.25">
      <c r="A289" s="29">
        <v>5</v>
      </c>
      <c r="F289" s="29" t="str">
        <f t="shared" si="61"/>
        <v xml:space="preserve"> - [ ] [[ |, capitolo ]]</v>
      </c>
      <c r="I289" s="29">
        <v>5</v>
      </c>
    </row>
    <row r="290" spans="1:9" x14ac:dyDescent="0.25">
      <c r="A290" s="29">
        <v>6</v>
      </c>
      <c r="F290" s="29" t="str">
        <f t="shared" si="61"/>
        <v xml:space="preserve"> - [ ] [[ |, capitolo ]]</v>
      </c>
      <c r="I290" s="29">
        <v>6</v>
      </c>
    </row>
    <row r="291" spans="1:9" x14ac:dyDescent="0.25">
      <c r="A291" s="29">
        <v>7</v>
      </c>
      <c r="F291" s="29" t="str">
        <f t="shared" si="61"/>
        <v xml:space="preserve"> - [ ] [[ |, capitolo ]]</v>
      </c>
      <c r="I291" s="29">
        <v>7</v>
      </c>
    </row>
    <row r="292" spans="1:9" x14ac:dyDescent="0.25">
      <c r="A292" s="29">
        <v>8</v>
      </c>
      <c r="F292" s="29" t="str">
        <f t="shared" si="61"/>
        <v xml:space="preserve"> - [ ] [[ |, capitolo ]]</v>
      </c>
      <c r="I292" s="29">
        <v>8</v>
      </c>
    </row>
    <row r="293" spans="1:9" x14ac:dyDescent="0.25">
      <c r="A293" s="29">
        <v>9</v>
      </c>
      <c r="F293" s="29" t="str">
        <f t="shared" si="61"/>
        <v xml:space="preserve"> - [ ] [[ |, capitolo ]]</v>
      </c>
      <c r="I293" s="29">
        <v>9</v>
      </c>
    </row>
    <row r="294" spans="1:9" x14ac:dyDescent="0.25">
      <c r="A294" s="29">
        <v>10</v>
      </c>
      <c r="F294" s="29" t="str">
        <f t="shared" si="61"/>
        <v xml:space="preserve"> - [ ] [[ |, capitolo ]]</v>
      </c>
      <c r="I294" s="29">
        <v>10</v>
      </c>
    </row>
    <row r="295" spans="1:9" x14ac:dyDescent="0.25">
      <c r="A295" s="29">
        <v>11</v>
      </c>
      <c r="F295" s="29" t="str">
        <f t="shared" si="61"/>
        <v xml:space="preserve"> - [ ] [[ |, capitolo ]]</v>
      </c>
      <c r="I295" s="29">
        <v>11</v>
      </c>
    </row>
    <row r="296" spans="1:9" x14ac:dyDescent="0.25">
      <c r="A296" s="29">
        <v>12</v>
      </c>
      <c r="F296" s="29" t="str">
        <f t="shared" si="61"/>
        <v xml:space="preserve"> - [ ] [[ |, capitolo ]]</v>
      </c>
      <c r="I296" s="29">
        <v>12</v>
      </c>
    </row>
    <row r="297" spans="1:9" x14ac:dyDescent="0.25">
      <c r="A297" s="29">
        <v>13</v>
      </c>
      <c r="F297" s="29" t="str">
        <f t="shared" si="61"/>
        <v xml:space="preserve"> - [ ] [[ |, capitolo ]]</v>
      </c>
      <c r="I297" s="29">
        <v>13</v>
      </c>
    </row>
    <row r="298" spans="1:9" x14ac:dyDescent="0.25">
      <c r="A298" s="29">
        <v>14</v>
      </c>
      <c r="F298" s="29" t="str">
        <f t="shared" si="61"/>
        <v xml:space="preserve"> - [ ] [[ |, capitolo ]]</v>
      </c>
      <c r="I298" s="29">
        <v>14</v>
      </c>
    </row>
    <row r="299" spans="1:9" x14ac:dyDescent="0.25">
      <c r="A299" s="29">
        <v>15</v>
      </c>
      <c r="F299" s="29" t="str">
        <f t="shared" si="61"/>
        <v xml:space="preserve"> - [ ] [[ |, capitolo ]]</v>
      </c>
      <c r="I299" s="29">
        <v>15</v>
      </c>
    </row>
    <row r="300" spans="1:9" x14ac:dyDescent="0.25">
      <c r="A300" s="29">
        <v>16</v>
      </c>
      <c r="F300" s="29" t="str">
        <f t="shared" si="61"/>
        <v xml:space="preserve"> - [ ] [[ |, capitolo ]]</v>
      </c>
      <c r="I300" s="29">
        <v>16</v>
      </c>
    </row>
    <row r="301" spans="1:9" x14ac:dyDescent="0.25">
      <c r="A301" s="29">
        <v>17</v>
      </c>
      <c r="F301" s="29" t="str">
        <f t="shared" si="61"/>
        <v xml:space="preserve"> - [ ] [[ |, capitolo ]]</v>
      </c>
      <c r="I301" s="29">
        <v>17</v>
      </c>
    </row>
    <row r="302" spans="1:9" x14ac:dyDescent="0.25">
      <c r="A302" s="29">
        <v>18</v>
      </c>
      <c r="F302" s="29" t="str">
        <f t="shared" si="61"/>
        <v xml:space="preserve"> - [ ] [[ |, capitolo ]]</v>
      </c>
      <c r="I302" s="29">
        <v>18</v>
      </c>
    </row>
    <row r="303" spans="1:9" x14ac:dyDescent="0.25">
      <c r="A303" s="29">
        <v>19</v>
      </c>
      <c r="F303" s="29" t="str">
        <f t="shared" si="61"/>
        <v xml:space="preserve"> - [ ] [[ |, capitolo ]]</v>
      </c>
      <c r="I303" s="29">
        <v>19</v>
      </c>
    </row>
    <row r="304" spans="1:9" x14ac:dyDescent="0.25">
      <c r="A304" s="29">
        <v>20</v>
      </c>
      <c r="F304" s="29" t="str">
        <f t="shared" si="61"/>
        <v xml:space="preserve"> - [ ] [[ |, capitolo ]]</v>
      </c>
      <c r="I304" s="29">
        <v>20</v>
      </c>
    </row>
    <row r="305" spans="1:9" x14ac:dyDescent="0.25">
      <c r="A305" s="29">
        <v>21</v>
      </c>
      <c r="F305" s="29" t="str">
        <f t="shared" si="61"/>
        <v xml:space="preserve"> - [ ] [[ |, capitolo ]]</v>
      </c>
      <c r="I305" s="29">
        <v>21</v>
      </c>
    </row>
    <row r="306" spans="1:9" x14ac:dyDescent="0.25">
      <c r="A306" s="29">
        <v>22</v>
      </c>
      <c r="F306" s="29" t="str">
        <f t="shared" si="61"/>
        <v xml:space="preserve"> - [ ] [[ |, capitolo ]]</v>
      </c>
      <c r="I306" s="29">
        <v>22</v>
      </c>
    </row>
    <row r="307" spans="1:9" x14ac:dyDescent="0.25">
      <c r="A307" s="29">
        <v>23</v>
      </c>
      <c r="F307" s="29" t="str">
        <f t="shared" si="61"/>
        <v xml:space="preserve"> - [ ] [[ |, capitolo ]]</v>
      </c>
      <c r="I307" s="29">
        <v>23</v>
      </c>
    </row>
    <row r="308" spans="1:9" x14ac:dyDescent="0.25">
      <c r="A308" s="29">
        <v>24</v>
      </c>
      <c r="F308" s="29" t="str">
        <f t="shared" si="61"/>
        <v xml:space="preserve"> - [ ] [[ |, capitolo ]]</v>
      </c>
      <c r="I308" s="29">
        <v>24</v>
      </c>
    </row>
    <row r="309" spans="1:9" x14ac:dyDescent="0.25">
      <c r="A309" s="29">
        <v>25</v>
      </c>
      <c r="F309" s="29" t="str">
        <f t="shared" si="61"/>
        <v xml:space="preserve"> - [ ] [[ |, capitolo ]]</v>
      </c>
      <c r="I309" s="29">
        <v>25</v>
      </c>
    </row>
    <row r="310" spans="1:9" x14ac:dyDescent="0.25">
      <c r="A310" s="29">
        <v>26</v>
      </c>
      <c r="F310" s="29" t="str">
        <f t="shared" si="61"/>
        <v xml:space="preserve"> - [ ] [[ |, capitolo ]]</v>
      </c>
      <c r="I310" s="29">
        <v>26</v>
      </c>
    </row>
    <row r="311" spans="1:9" x14ac:dyDescent="0.25">
      <c r="A311" s="29">
        <v>27</v>
      </c>
      <c r="F311" s="29" t="str">
        <f t="shared" si="61"/>
        <v xml:space="preserve"> - [ ] [[ |, capitolo ]]</v>
      </c>
      <c r="I311" s="29">
        <v>27</v>
      </c>
    </row>
    <row r="312" spans="1:9" x14ac:dyDescent="0.25">
      <c r="A312" s="29">
        <v>28</v>
      </c>
      <c r="F312" s="29" t="str">
        <f t="shared" si="61"/>
        <v xml:space="preserve"> - [ ] [[ |, capitolo ]]</v>
      </c>
      <c r="I312" s="29">
        <v>28</v>
      </c>
    </row>
    <row r="313" spans="1:9" x14ac:dyDescent="0.25">
      <c r="A313" s="29">
        <v>29</v>
      </c>
      <c r="F313" s="29" t="str">
        <f t="shared" si="61"/>
        <v xml:space="preserve"> - [ ] [[ |, capitolo ]]</v>
      </c>
      <c r="I313" s="29">
        <v>29</v>
      </c>
    </row>
    <row r="314" spans="1:9" x14ac:dyDescent="0.25">
      <c r="A314" s="29">
        <v>30</v>
      </c>
      <c r="F314" s="29" t="str">
        <f t="shared" si="61"/>
        <v xml:space="preserve"> - [ ] [[ |, capitolo ]]</v>
      </c>
      <c r="I314" s="29">
        <v>30</v>
      </c>
    </row>
    <row r="315" spans="1:9" x14ac:dyDescent="0.25">
      <c r="A315" s="29">
        <v>31</v>
      </c>
      <c r="F315" s="29" t="str">
        <f t="shared" si="61"/>
        <v xml:space="preserve"> - [ ] [[ |, capitolo ]]</v>
      </c>
      <c r="I315" s="29">
        <v>31</v>
      </c>
    </row>
    <row r="316" spans="1:9" x14ac:dyDescent="0.25">
      <c r="A316" s="30" t="s">
        <v>872</v>
      </c>
      <c r="F316" s="29" t="str">
        <f t="shared" si="61"/>
        <v xml:space="preserve"> - [ ] [[ |, capitolo ]]</v>
      </c>
      <c r="I316" s="30" t="s">
        <v>872</v>
      </c>
    </row>
    <row r="317" spans="1:9" x14ac:dyDescent="0.25">
      <c r="A317" s="29">
        <v>1</v>
      </c>
      <c r="F317" s="29" t="str">
        <f t="shared" si="61"/>
        <v xml:space="preserve"> - [ ] [[ |, capitolo ]]</v>
      </c>
      <c r="I317" s="29">
        <v>1</v>
      </c>
    </row>
    <row r="318" spans="1:9" x14ac:dyDescent="0.25">
      <c r="A318" s="29">
        <v>2</v>
      </c>
      <c r="F318" s="29" t="str">
        <f t="shared" si="61"/>
        <v xml:space="preserve"> - [ ] [[ |, capitolo ]]</v>
      </c>
      <c r="I318" s="29">
        <v>2</v>
      </c>
    </row>
    <row r="319" spans="1:9" x14ac:dyDescent="0.25">
      <c r="A319" s="29">
        <v>3</v>
      </c>
      <c r="F319" s="29" t="str">
        <f t="shared" si="61"/>
        <v xml:space="preserve"> - [ ] [[ |, capitolo ]]</v>
      </c>
      <c r="I319" s="29">
        <v>3</v>
      </c>
    </row>
    <row r="320" spans="1:9" x14ac:dyDescent="0.25">
      <c r="A320" s="29">
        <v>4</v>
      </c>
      <c r="F320" s="29" t="str">
        <f t="shared" si="61"/>
        <v xml:space="preserve"> - [ ] [[ |, capitolo ]]</v>
      </c>
      <c r="I320" s="29">
        <v>4</v>
      </c>
    </row>
    <row r="321" spans="1:9" x14ac:dyDescent="0.25">
      <c r="A321" s="29">
        <v>5</v>
      </c>
      <c r="F321" s="29" t="str">
        <f t="shared" si="61"/>
        <v xml:space="preserve"> - [ ] [[ |, capitolo ]]</v>
      </c>
      <c r="I321" s="29">
        <v>5</v>
      </c>
    </row>
    <row r="322" spans="1:9" x14ac:dyDescent="0.25">
      <c r="A322" s="29">
        <v>6</v>
      </c>
      <c r="F322" s="29" t="str">
        <f t="shared" si="61"/>
        <v xml:space="preserve"> - [ ] [[ |, capitolo ]]</v>
      </c>
      <c r="I322" s="29">
        <v>6</v>
      </c>
    </row>
    <row r="323" spans="1:9" x14ac:dyDescent="0.25">
      <c r="A323" s="29">
        <v>7</v>
      </c>
      <c r="F323" s="29" t="str">
        <f t="shared" si="61"/>
        <v xml:space="preserve"> - [ ] [[ |, capitolo ]]</v>
      </c>
      <c r="I323" s="29">
        <v>7</v>
      </c>
    </row>
    <row r="324" spans="1:9" x14ac:dyDescent="0.25">
      <c r="A324" s="29">
        <v>8</v>
      </c>
      <c r="F324" s="29" t="str">
        <f t="shared" ref="F324:F378" si="62">_xlfn.CONCAT(" - [ ] [[",B324," ",C324,"|",D324,", capitolo ",C324,"]]")</f>
        <v xml:space="preserve"> - [ ] [[ |, capitolo ]]</v>
      </c>
      <c r="I324" s="29">
        <v>8</v>
      </c>
    </row>
    <row r="325" spans="1:9" x14ac:dyDescent="0.25">
      <c r="A325" s="29">
        <v>9</v>
      </c>
      <c r="F325" s="29" t="str">
        <f t="shared" si="62"/>
        <v xml:space="preserve"> - [ ] [[ |, capitolo ]]</v>
      </c>
      <c r="I325" s="29">
        <v>9</v>
      </c>
    </row>
    <row r="326" spans="1:9" x14ac:dyDescent="0.25">
      <c r="A326" s="29">
        <v>10</v>
      </c>
      <c r="F326" s="29" t="str">
        <f t="shared" si="62"/>
        <v xml:space="preserve"> - [ ] [[ |, capitolo ]]</v>
      </c>
      <c r="I326" s="29">
        <v>10</v>
      </c>
    </row>
    <row r="327" spans="1:9" x14ac:dyDescent="0.25">
      <c r="A327" s="29">
        <v>11</v>
      </c>
      <c r="F327" s="29" t="str">
        <f t="shared" si="62"/>
        <v xml:space="preserve"> - [ ] [[ |, capitolo ]]</v>
      </c>
      <c r="I327" s="29">
        <v>11</v>
      </c>
    </row>
    <row r="328" spans="1:9" x14ac:dyDescent="0.25">
      <c r="A328" s="29">
        <v>12</v>
      </c>
      <c r="F328" s="29" t="str">
        <f t="shared" si="62"/>
        <v xml:space="preserve"> - [ ] [[ |, capitolo ]]</v>
      </c>
      <c r="I328" s="29">
        <v>12</v>
      </c>
    </row>
    <row r="329" spans="1:9" x14ac:dyDescent="0.25">
      <c r="A329" s="29">
        <v>13</v>
      </c>
      <c r="F329" s="29" t="str">
        <f t="shared" si="62"/>
        <v xml:space="preserve"> - [ ] [[ |, capitolo ]]</v>
      </c>
      <c r="I329" s="29">
        <v>13</v>
      </c>
    </row>
    <row r="330" spans="1:9" x14ac:dyDescent="0.25">
      <c r="A330" s="29">
        <v>14</v>
      </c>
      <c r="F330" s="29" t="str">
        <f t="shared" si="62"/>
        <v xml:space="preserve"> - [ ] [[ |, capitolo ]]</v>
      </c>
      <c r="I330" s="29">
        <v>14</v>
      </c>
    </row>
    <row r="331" spans="1:9" x14ac:dyDescent="0.25">
      <c r="A331" s="29">
        <v>15</v>
      </c>
      <c r="F331" s="29" t="str">
        <f t="shared" si="62"/>
        <v xml:space="preserve"> - [ ] [[ |, capitolo ]]</v>
      </c>
      <c r="I331" s="29">
        <v>15</v>
      </c>
    </row>
    <row r="332" spans="1:9" x14ac:dyDescent="0.25">
      <c r="A332" s="29">
        <v>16</v>
      </c>
      <c r="F332" s="29" t="str">
        <f t="shared" si="62"/>
        <v xml:space="preserve"> - [ ] [[ |, capitolo ]]</v>
      </c>
      <c r="I332" s="29">
        <v>16</v>
      </c>
    </row>
    <row r="333" spans="1:9" x14ac:dyDescent="0.25">
      <c r="A333" s="29">
        <v>17</v>
      </c>
      <c r="F333" s="29" t="str">
        <f t="shared" si="62"/>
        <v xml:space="preserve"> - [ ] [[ |, capitolo ]]</v>
      </c>
      <c r="I333" s="29">
        <v>17</v>
      </c>
    </row>
    <row r="334" spans="1:9" x14ac:dyDescent="0.25">
      <c r="A334" s="29">
        <v>18</v>
      </c>
      <c r="F334" s="29" t="str">
        <f t="shared" si="62"/>
        <v xml:space="preserve"> - [ ] [[ |, capitolo ]]</v>
      </c>
      <c r="I334" s="29">
        <v>18</v>
      </c>
    </row>
    <row r="335" spans="1:9" x14ac:dyDescent="0.25">
      <c r="A335" s="29">
        <v>19</v>
      </c>
      <c r="F335" s="29" t="str">
        <f t="shared" si="62"/>
        <v xml:space="preserve"> - [ ] [[ |, capitolo ]]</v>
      </c>
      <c r="I335" s="29">
        <v>19</v>
      </c>
    </row>
    <row r="336" spans="1:9" x14ac:dyDescent="0.25">
      <c r="A336" s="29">
        <v>20</v>
      </c>
      <c r="F336" s="29" t="str">
        <f t="shared" si="62"/>
        <v xml:space="preserve"> - [ ] [[ |, capitolo ]]</v>
      </c>
      <c r="I336" s="29">
        <v>20</v>
      </c>
    </row>
    <row r="337" spans="1:9" x14ac:dyDescent="0.25">
      <c r="A337" s="29">
        <v>21</v>
      </c>
      <c r="F337" s="29" t="str">
        <f t="shared" si="62"/>
        <v xml:space="preserve"> - [ ] [[ |, capitolo ]]</v>
      </c>
      <c r="I337" s="29">
        <v>21</v>
      </c>
    </row>
    <row r="338" spans="1:9" x14ac:dyDescent="0.25">
      <c r="A338" s="29">
        <v>22</v>
      </c>
      <c r="F338" s="29" t="str">
        <f t="shared" si="62"/>
        <v xml:space="preserve"> - [ ] [[ |, capitolo ]]</v>
      </c>
      <c r="I338" s="29">
        <v>22</v>
      </c>
    </row>
    <row r="339" spans="1:9" x14ac:dyDescent="0.25">
      <c r="A339" s="29">
        <v>23</v>
      </c>
      <c r="F339" s="29" t="str">
        <f t="shared" si="62"/>
        <v xml:space="preserve"> - [ ] [[ |, capitolo ]]</v>
      </c>
      <c r="I339" s="29">
        <v>23</v>
      </c>
    </row>
    <row r="340" spans="1:9" x14ac:dyDescent="0.25">
      <c r="A340" s="29">
        <v>24</v>
      </c>
      <c r="F340" s="29" t="str">
        <f t="shared" si="62"/>
        <v xml:space="preserve"> - [ ] [[ |, capitolo ]]</v>
      </c>
      <c r="I340" s="29">
        <v>24</v>
      </c>
    </row>
    <row r="341" spans="1:9" x14ac:dyDescent="0.25">
      <c r="A341" s="29">
        <v>25</v>
      </c>
      <c r="F341" s="29" t="str">
        <f t="shared" si="62"/>
        <v xml:space="preserve"> - [ ] [[ |, capitolo ]]</v>
      </c>
      <c r="I341" s="29">
        <v>25</v>
      </c>
    </row>
    <row r="342" spans="1:9" x14ac:dyDescent="0.25">
      <c r="A342" s="29">
        <v>26</v>
      </c>
      <c r="F342" s="29" t="str">
        <f t="shared" si="62"/>
        <v xml:space="preserve"> - [ ] [[ |, capitolo ]]</v>
      </c>
      <c r="I342" s="29">
        <v>26</v>
      </c>
    </row>
    <row r="343" spans="1:9" x14ac:dyDescent="0.25">
      <c r="A343" s="29">
        <v>27</v>
      </c>
      <c r="F343" s="29" t="str">
        <f t="shared" si="62"/>
        <v xml:space="preserve"> - [ ] [[ |, capitolo ]]</v>
      </c>
      <c r="I343" s="29">
        <v>27</v>
      </c>
    </row>
    <row r="344" spans="1:9" x14ac:dyDescent="0.25">
      <c r="A344" s="29">
        <v>28</v>
      </c>
      <c r="F344" s="29" t="str">
        <f t="shared" si="62"/>
        <v xml:space="preserve"> - [ ] [[ |, capitolo ]]</v>
      </c>
      <c r="I344" s="29">
        <v>28</v>
      </c>
    </row>
    <row r="345" spans="1:9" x14ac:dyDescent="0.25">
      <c r="A345" s="29">
        <v>29</v>
      </c>
      <c r="F345" s="29" t="str">
        <f t="shared" si="62"/>
        <v xml:space="preserve"> - [ ] [[ |, capitolo ]]</v>
      </c>
      <c r="I345" s="29">
        <v>29</v>
      </c>
    </row>
    <row r="346" spans="1:9" x14ac:dyDescent="0.25">
      <c r="A346" s="29">
        <v>30</v>
      </c>
      <c r="F346" s="29" t="str">
        <f t="shared" si="62"/>
        <v xml:space="preserve"> - [ ] [[ |, capitolo ]]</v>
      </c>
      <c r="I346" s="29">
        <v>30</v>
      </c>
    </row>
    <row r="347" spans="1:9" x14ac:dyDescent="0.25">
      <c r="A347" s="30" t="s">
        <v>873</v>
      </c>
      <c r="F347" s="29" t="str">
        <f t="shared" si="62"/>
        <v xml:space="preserve"> - [ ] [[ |, capitolo ]]</v>
      </c>
      <c r="I347" s="30" t="s">
        <v>873</v>
      </c>
    </row>
    <row r="348" spans="1:9" x14ac:dyDescent="0.25">
      <c r="A348" s="29">
        <v>1</v>
      </c>
      <c r="F348" s="29" t="str">
        <f t="shared" si="62"/>
        <v xml:space="preserve"> - [ ] [[ |, capitolo ]]</v>
      </c>
      <c r="I348" s="29">
        <v>1</v>
      </c>
    </row>
    <row r="349" spans="1:9" x14ac:dyDescent="0.25">
      <c r="A349" s="29">
        <v>2</v>
      </c>
      <c r="F349" s="29" t="str">
        <f t="shared" si="62"/>
        <v xml:space="preserve"> - [ ] [[ |, capitolo ]]</v>
      </c>
      <c r="I349" s="29">
        <v>2</v>
      </c>
    </row>
    <row r="350" spans="1:9" x14ac:dyDescent="0.25">
      <c r="A350" s="29">
        <v>3</v>
      </c>
      <c r="F350" s="29" t="str">
        <f t="shared" si="62"/>
        <v xml:space="preserve"> - [ ] [[ |, capitolo ]]</v>
      </c>
      <c r="I350" s="29">
        <v>3</v>
      </c>
    </row>
    <row r="351" spans="1:9" x14ac:dyDescent="0.25">
      <c r="A351" s="29">
        <v>4</v>
      </c>
      <c r="F351" s="29" t="str">
        <f t="shared" si="62"/>
        <v xml:space="preserve"> - [ ] [[ |, capitolo ]]</v>
      </c>
      <c r="I351" s="29">
        <v>4</v>
      </c>
    </row>
    <row r="352" spans="1:9" x14ac:dyDescent="0.25">
      <c r="A352" s="29">
        <v>5</v>
      </c>
      <c r="F352" s="29" t="str">
        <f t="shared" si="62"/>
        <v xml:space="preserve"> - [ ] [[ |, capitolo ]]</v>
      </c>
      <c r="I352" s="29">
        <v>5</v>
      </c>
    </row>
    <row r="353" spans="1:9" x14ac:dyDescent="0.25">
      <c r="A353" s="29">
        <v>6</v>
      </c>
      <c r="F353" s="29" t="str">
        <f t="shared" si="62"/>
        <v xml:space="preserve"> - [ ] [[ |, capitolo ]]</v>
      </c>
      <c r="I353" s="29">
        <v>6</v>
      </c>
    </row>
    <row r="354" spans="1:9" x14ac:dyDescent="0.25">
      <c r="A354" s="29">
        <v>7</v>
      </c>
      <c r="F354" s="29" t="str">
        <f t="shared" si="62"/>
        <v xml:space="preserve"> - [ ] [[ |, capitolo ]]</v>
      </c>
      <c r="I354" s="29">
        <v>7</v>
      </c>
    </row>
    <row r="355" spans="1:9" x14ac:dyDescent="0.25">
      <c r="A355" s="29">
        <v>8</v>
      </c>
      <c r="F355" s="29" t="str">
        <f t="shared" si="62"/>
        <v xml:space="preserve"> - [ ] [[ |, capitolo ]]</v>
      </c>
      <c r="I355" s="29">
        <v>8</v>
      </c>
    </row>
    <row r="356" spans="1:9" x14ac:dyDescent="0.25">
      <c r="A356" s="29">
        <v>9</v>
      </c>
      <c r="F356" s="29" t="str">
        <f t="shared" si="62"/>
        <v xml:space="preserve"> - [ ] [[ |, capitolo ]]</v>
      </c>
      <c r="I356" s="29">
        <v>9</v>
      </c>
    </row>
    <row r="357" spans="1:9" x14ac:dyDescent="0.25">
      <c r="A357" s="29">
        <v>10</v>
      </c>
      <c r="F357" s="29" t="str">
        <f t="shared" si="62"/>
        <v xml:space="preserve"> - [ ] [[ |, capitolo ]]</v>
      </c>
      <c r="I357" s="29">
        <v>10</v>
      </c>
    </row>
    <row r="358" spans="1:9" x14ac:dyDescent="0.25">
      <c r="A358" s="29">
        <v>11</v>
      </c>
      <c r="F358" s="29" t="str">
        <f t="shared" si="62"/>
        <v xml:space="preserve"> - [ ] [[ |, capitolo ]]</v>
      </c>
      <c r="I358" s="29">
        <v>11</v>
      </c>
    </row>
    <row r="359" spans="1:9" x14ac:dyDescent="0.25">
      <c r="A359" s="29">
        <v>12</v>
      </c>
      <c r="F359" s="29" t="str">
        <f t="shared" si="62"/>
        <v xml:space="preserve"> - [ ] [[ |, capitolo ]]</v>
      </c>
      <c r="I359" s="29">
        <v>12</v>
      </c>
    </row>
    <row r="360" spans="1:9" x14ac:dyDescent="0.25">
      <c r="A360" s="29">
        <v>13</v>
      </c>
      <c r="F360" s="29" t="str">
        <f t="shared" si="62"/>
        <v xml:space="preserve"> - [ ] [[ |, capitolo ]]</v>
      </c>
      <c r="I360" s="29">
        <v>13</v>
      </c>
    </row>
    <row r="361" spans="1:9" x14ac:dyDescent="0.25">
      <c r="A361" s="29">
        <v>14</v>
      </c>
      <c r="F361" s="29" t="str">
        <f t="shared" si="62"/>
        <v xml:space="preserve"> - [ ] [[ |, capitolo ]]</v>
      </c>
      <c r="I361" s="29">
        <v>14</v>
      </c>
    </row>
    <row r="362" spans="1:9" x14ac:dyDescent="0.25">
      <c r="A362" s="29">
        <v>15</v>
      </c>
      <c r="F362" s="29" t="str">
        <f t="shared" si="62"/>
        <v xml:space="preserve"> - [ ] [[ |, capitolo ]]</v>
      </c>
      <c r="I362" s="29">
        <v>15</v>
      </c>
    </row>
    <row r="363" spans="1:9" x14ac:dyDescent="0.25">
      <c r="A363" s="29">
        <v>16</v>
      </c>
      <c r="F363" s="29" t="str">
        <f t="shared" si="62"/>
        <v xml:space="preserve"> - [ ] [[ |, capitolo ]]</v>
      </c>
      <c r="I363" s="29">
        <v>16</v>
      </c>
    </row>
    <row r="364" spans="1:9" x14ac:dyDescent="0.25">
      <c r="A364" s="29">
        <v>17</v>
      </c>
      <c r="F364" s="29" t="str">
        <f t="shared" si="62"/>
        <v xml:space="preserve"> - [ ] [[ |, capitolo ]]</v>
      </c>
      <c r="I364" s="29">
        <v>17</v>
      </c>
    </row>
    <row r="365" spans="1:9" x14ac:dyDescent="0.25">
      <c r="A365" s="29">
        <v>18</v>
      </c>
      <c r="F365" s="29" t="str">
        <f t="shared" si="62"/>
        <v xml:space="preserve"> - [ ] [[ |, capitolo ]]</v>
      </c>
      <c r="I365" s="29">
        <v>18</v>
      </c>
    </row>
    <row r="366" spans="1:9" x14ac:dyDescent="0.25">
      <c r="A366" s="29">
        <v>19</v>
      </c>
      <c r="F366" s="29" t="str">
        <f t="shared" si="62"/>
        <v xml:space="preserve"> - [ ] [[ |, capitolo ]]</v>
      </c>
      <c r="I366" s="29">
        <v>19</v>
      </c>
    </row>
    <row r="367" spans="1:9" x14ac:dyDescent="0.25">
      <c r="A367" s="29">
        <v>20</v>
      </c>
      <c r="F367" s="29" t="str">
        <f t="shared" si="62"/>
        <v xml:space="preserve"> - [ ] [[ |, capitolo ]]</v>
      </c>
      <c r="I367" s="29">
        <v>20</v>
      </c>
    </row>
    <row r="368" spans="1:9" x14ac:dyDescent="0.25">
      <c r="A368" s="29">
        <v>21</v>
      </c>
      <c r="F368" s="29" t="str">
        <f t="shared" si="62"/>
        <v xml:space="preserve"> - [ ] [[ |, capitolo ]]</v>
      </c>
      <c r="I368" s="29">
        <v>21</v>
      </c>
    </row>
    <row r="369" spans="1:9" x14ac:dyDescent="0.25">
      <c r="A369" s="29">
        <v>22</v>
      </c>
      <c r="F369" s="29" t="str">
        <f t="shared" si="62"/>
        <v xml:space="preserve"> - [ ] [[ |, capitolo ]]</v>
      </c>
      <c r="I369" s="29">
        <v>22</v>
      </c>
    </row>
    <row r="370" spans="1:9" x14ac:dyDescent="0.25">
      <c r="A370" s="29">
        <v>23</v>
      </c>
      <c r="F370" s="29" t="str">
        <f t="shared" si="62"/>
        <v xml:space="preserve"> - [ ] [[ |, capitolo ]]</v>
      </c>
      <c r="I370" s="29">
        <v>23</v>
      </c>
    </row>
    <row r="371" spans="1:9" x14ac:dyDescent="0.25">
      <c r="A371" s="29">
        <v>24</v>
      </c>
      <c r="F371" s="29" t="str">
        <f t="shared" si="62"/>
        <v xml:space="preserve"> - [ ] [[ |, capitolo ]]</v>
      </c>
      <c r="I371" s="29">
        <v>24</v>
      </c>
    </row>
    <row r="372" spans="1:9" x14ac:dyDescent="0.25">
      <c r="A372" s="29">
        <v>25</v>
      </c>
      <c r="F372" s="29" t="str">
        <f t="shared" si="62"/>
        <v xml:space="preserve"> - [ ] [[ |, capitolo ]]</v>
      </c>
      <c r="I372" s="29">
        <v>25</v>
      </c>
    </row>
    <row r="373" spans="1:9" x14ac:dyDescent="0.25">
      <c r="A373" s="29">
        <v>26</v>
      </c>
      <c r="F373" s="29" t="str">
        <f t="shared" si="62"/>
        <v xml:space="preserve"> - [ ] [[ |, capitolo ]]</v>
      </c>
      <c r="I373" s="29">
        <v>26</v>
      </c>
    </row>
    <row r="374" spans="1:9" x14ac:dyDescent="0.25">
      <c r="A374" s="29">
        <v>27</v>
      </c>
      <c r="F374" s="29" t="str">
        <f t="shared" si="62"/>
        <v xml:space="preserve"> - [ ] [[ |, capitolo ]]</v>
      </c>
      <c r="I374" s="29">
        <v>27</v>
      </c>
    </row>
    <row r="375" spans="1:9" x14ac:dyDescent="0.25">
      <c r="A375" s="29">
        <v>28</v>
      </c>
      <c r="F375" s="29" t="str">
        <f t="shared" si="62"/>
        <v xml:space="preserve"> - [ ] [[ |, capitolo ]]</v>
      </c>
      <c r="I375" s="29">
        <v>28</v>
      </c>
    </row>
    <row r="376" spans="1:9" x14ac:dyDescent="0.25">
      <c r="A376" s="29">
        <v>29</v>
      </c>
      <c r="F376" s="29" t="str">
        <f t="shared" si="62"/>
        <v xml:space="preserve"> - [ ] [[ |, capitolo ]]</v>
      </c>
      <c r="I376" s="29">
        <v>29</v>
      </c>
    </row>
    <row r="377" spans="1:9" x14ac:dyDescent="0.25">
      <c r="A377" s="29">
        <v>30</v>
      </c>
      <c r="F377" s="29" t="str">
        <f t="shared" si="62"/>
        <v xml:space="preserve"> - [ ] [[ |, capitolo ]]</v>
      </c>
      <c r="I377" s="29">
        <v>30</v>
      </c>
    </row>
    <row r="378" spans="1:9" x14ac:dyDescent="0.25">
      <c r="A378" s="29">
        <v>31</v>
      </c>
      <c r="F378" s="29" t="str">
        <f t="shared" si="62"/>
        <v xml:space="preserve"> - [ ] [[ |, capitolo ]]</v>
      </c>
      <c r="I378" s="29">
        <v>31</v>
      </c>
    </row>
  </sheetData>
  <mergeCells count="2">
    <mergeCell ref="A1:G1"/>
    <mergeCell ref="I1:O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584-FD3C-4559-B566-27929B03E8A0}">
  <dimension ref="C1:O51"/>
  <sheetViews>
    <sheetView workbookViewId="0">
      <pane ySplit="1" topLeftCell="A2" activePane="bottomLeft" state="frozen"/>
      <selection pane="bottomLeft" activeCell="N2" sqref="N2"/>
    </sheetView>
  </sheetViews>
  <sheetFormatPr defaultRowHeight="15" x14ac:dyDescent="0.25"/>
  <cols>
    <col min="3" max="3" width="13.5703125" bestFit="1" customWidth="1"/>
    <col min="5" max="5" width="6.5703125" bestFit="1" customWidth="1"/>
    <col min="15" max="15" width="12.5703125" bestFit="1" customWidth="1"/>
  </cols>
  <sheetData>
    <row r="1" spans="3:15" x14ac:dyDescent="0.25">
      <c r="K1" s="30" t="s">
        <v>859</v>
      </c>
      <c r="L1" s="31" t="s">
        <v>0</v>
      </c>
      <c r="M1" s="30" t="s">
        <v>1</v>
      </c>
      <c r="N1" s="30" t="s">
        <v>860</v>
      </c>
      <c r="O1" s="30" t="s">
        <v>861</v>
      </c>
    </row>
    <row r="2" spans="3:15" x14ac:dyDescent="0.25">
      <c r="K2" t="s">
        <v>381</v>
      </c>
      <c r="L2">
        <v>1</v>
      </c>
      <c r="M2" t="s">
        <v>380</v>
      </c>
    </row>
    <row r="3" spans="3:15" x14ac:dyDescent="0.25">
      <c r="C3" t="s">
        <v>380</v>
      </c>
      <c r="K3" t="s">
        <v>381</v>
      </c>
      <c r="L3">
        <v>2</v>
      </c>
      <c r="M3" t="s">
        <v>380</v>
      </c>
    </row>
    <row r="4" spans="3:15" x14ac:dyDescent="0.25">
      <c r="C4" t="s">
        <v>382</v>
      </c>
      <c r="K4" t="s">
        <v>381</v>
      </c>
      <c r="L4">
        <v>3</v>
      </c>
      <c r="M4" t="s">
        <v>380</v>
      </c>
    </row>
    <row r="5" spans="3:15" x14ac:dyDescent="0.25">
      <c r="C5" t="s">
        <v>386</v>
      </c>
      <c r="K5" t="s">
        <v>381</v>
      </c>
      <c r="L5">
        <v>4</v>
      </c>
      <c r="M5" t="s">
        <v>380</v>
      </c>
    </row>
    <row r="6" spans="3:15" x14ac:dyDescent="0.25">
      <c r="C6" t="s">
        <v>390</v>
      </c>
      <c r="K6" t="s">
        <v>381</v>
      </c>
      <c r="L6">
        <v>5</v>
      </c>
      <c r="M6" t="s">
        <v>380</v>
      </c>
    </row>
    <row r="7" spans="3:15" x14ac:dyDescent="0.25">
      <c r="C7" t="s">
        <v>393</v>
      </c>
      <c r="K7" t="s">
        <v>381</v>
      </c>
      <c r="L7">
        <v>6</v>
      </c>
      <c r="M7" t="s">
        <v>380</v>
      </c>
    </row>
    <row r="8" spans="3:15" x14ac:dyDescent="0.25">
      <c r="C8" t="s">
        <v>401</v>
      </c>
      <c r="K8" t="s">
        <v>381</v>
      </c>
      <c r="L8">
        <v>7</v>
      </c>
      <c r="M8" t="s">
        <v>380</v>
      </c>
    </row>
    <row r="9" spans="3:15" x14ac:dyDescent="0.25">
      <c r="C9" t="s">
        <v>404</v>
      </c>
      <c r="K9" t="s">
        <v>381</v>
      </c>
      <c r="L9">
        <v>8</v>
      </c>
      <c r="M9" t="s">
        <v>380</v>
      </c>
    </row>
    <row r="10" spans="3:15" x14ac:dyDescent="0.25">
      <c r="C10" t="s">
        <v>407</v>
      </c>
      <c r="K10" t="s">
        <v>381</v>
      </c>
      <c r="L10">
        <v>9</v>
      </c>
      <c r="M10" t="s">
        <v>380</v>
      </c>
    </row>
    <row r="11" spans="3:15" x14ac:dyDescent="0.25">
      <c r="C11" t="s">
        <v>409</v>
      </c>
      <c r="K11" t="s">
        <v>381</v>
      </c>
      <c r="L11">
        <v>10</v>
      </c>
      <c r="M11" t="s">
        <v>380</v>
      </c>
    </row>
    <row r="12" spans="3:15" x14ac:dyDescent="0.25">
      <c r="C12" t="s">
        <v>481</v>
      </c>
      <c r="K12" t="s">
        <v>381</v>
      </c>
      <c r="L12">
        <v>11</v>
      </c>
      <c r="M12" t="s">
        <v>380</v>
      </c>
    </row>
    <row r="13" spans="3:15" x14ac:dyDescent="0.25">
      <c r="C13" t="s">
        <v>477</v>
      </c>
      <c r="K13" t="s">
        <v>381</v>
      </c>
      <c r="L13">
        <v>12</v>
      </c>
      <c r="M13" t="s">
        <v>380</v>
      </c>
    </row>
    <row r="14" spans="3:15" x14ac:dyDescent="0.25">
      <c r="C14" t="s">
        <v>465</v>
      </c>
      <c r="E14" t="s">
        <v>885</v>
      </c>
      <c r="K14" t="s">
        <v>381</v>
      </c>
      <c r="L14">
        <v>13</v>
      </c>
      <c r="M14" t="s">
        <v>380</v>
      </c>
    </row>
    <row r="15" spans="3:15" x14ac:dyDescent="0.25">
      <c r="C15" t="s">
        <v>487</v>
      </c>
      <c r="K15" t="s">
        <v>381</v>
      </c>
      <c r="L15">
        <v>14</v>
      </c>
      <c r="M15" t="s">
        <v>380</v>
      </c>
    </row>
    <row r="16" spans="3:15" x14ac:dyDescent="0.25">
      <c r="C16" t="s">
        <v>489</v>
      </c>
      <c r="K16" t="s">
        <v>381</v>
      </c>
      <c r="L16">
        <v>15</v>
      </c>
      <c r="M16" t="s">
        <v>380</v>
      </c>
    </row>
    <row r="17" spans="3:13" x14ac:dyDescent="0.25">
      <c r="C17" t="s">
        <v>493</v>
      </c>
      <c r="K17" t="s">
        <v>381</v>
      </c>
      <c r="L17">
        <v>16</v>
      </c>
      <c r="M17" t="s">
        <v>380</v>
      </c>
    </row>
    <row r="18" spans="3:13" x14ac:dyDescent="0.25">
      <c r="C18" t="s">
        <v>491</v>
      </c>
      <c r="K18" t="s">
        <v>381</v>
      </c>
      <c r="L18">
        <v>17</v>
      </c>
      <c r="M18" t="s">
        <v>380</v>
      </c>
    </row>
    <row r="19" spans="3:13" x14ac:dyDescent="0.25">
      <c r="C19" t="s">
        <v>467</v>
      </c>
      <c r="K19" t="s">
        <v>381</v>
      </c>
      <c r="L19">
        <v>18</v>
      </c>
      <c r="M19" t="s">
        <v>380</v>
      </c>
    </row>
    <row r="20" spans="3:13" x14ac:dyDescent="0.25">
      <c r="C20" t="s">
        <v>469</v>
      </c>
      <c r="K20" t="s">
        <v>381</v>
      </c>
      <c r="L20">
        <v>19</v>
      </c>
      <c r="M20" t="s">
        <v>380</v>
      </c>
    </row>
    <row r="21" spans="3:13" x14ac:dyDescent="0.25">
      <c r="C21" t="s">
        <v>473</v>
      </c>
      <c r="K21" t="s">
        <v>381</v>
      </c>
      <c r="L21">
        <v>20</v>
      </c>
      <c r="M21" t="s">
        <v>380</v>
      </c>
    </row>
    <row r="22" spans="3:13" x14ac:dyDescent="0.25">
      <c r="C22" t="s">
        <v>483</v>
      </c>
      <c r="K22" t="s">
        <v>381</v>
      </c>
      <c r="L22">
        <v>21</v>
      </c>
      <c r="M22" t="s">
        <v>380</v>
      </c>
    </row>
    <row r="23" spans="3:13" x14ac:dyDescent="0.25">
      <c r="C23" t="s">
        <v>465</v>
      </c>
      <c r="E23" t="s">
        <v>886</v>
      </c>
      <c r="K23" t="s">
        <v>381</v>
      </c>
      <c r="L23">
        <v>22</v>
      </c>
      <c r="M23" t="s">
        <v>380</v>
      </c>
    </row>
    <row r="24" spans="3:13" x14ac:dyDescent="0.25">
      <c r="C24" t="s">
        <v>411</v>
      </c>
      <c r="K24" t="s">
        <v>381</v>
      </c>
      <c r="L24">
        <v>23</v>
      </c>
      <c r="M24" t="s">
        <v>380</v>
      </c>
    </row>
    <row r="25" spans="3:13" x14ac:dyDescent="0.25">
      <c r="C25" t="s">
        <v>415</v>
      </c>
      <c r="K25" t="s">
        <v>381</v>
      </c>
      <c r="L25">
        <v>24</v>
      </c>
      <c r="M25" t="s">
        <v>380</v>
      </c>
    </row>
    <row r="26" spans="3:13" x14ac:dyDescent="0.25">
      <c r="C26" t="s">
        <v>419</v>
      </c>
      <c r="K26" t="s">
        <v>381</v>
      </c>
      <c r="L26">
        <v>25</v>
      </c>
      <c r="M26" t="s">
        <v>380</v>
      </c>
    </row>
    <row r="27" spans="3:13" x14ac:dyDescent="0.25">
      <c r="C27" t="s">
        <v>423</v>
      </c>
      <c r="K27" t="s">
        <v>381</v>
      </c>
      <c r="L27">
        <v>26</v>
      </c>
      <c r="M27" t="s">
        <v>380</v>
      </c>
    </row>
    <row r="28" spans="3:13" x14ac:dyDescent="0.25">
      <c r="C28" t="s">
        <v>495</v>
      </c>
      <c r="K28" t="s">
        <v>381</v>
      </c>
      <c r="L28">
        <v>27</v>
      </c>
      <c r="M28" t="s">
        <v>380</v>
      </c>
    </row>
    <row r="29" spans="3:13" x14ac:dyDescent="0.25">
      <c r="C29" t="s">
        <v>497</v>
      </c>
      <c r="K29" t="s">
        <v>381</v>
      </c>
      <c r="L29">
        <v>28</v>
      </c>
      <c r="M29" t="s">
        <v>380</v>
      </c>
    </row>
    <row r="30" spans="3:13" x14ac:dyDescent="0.25">
      <c r="C30" t="s">
        <v>465</v>
      </c>
      <c r="E30" t="s">
        <v>887</v>
      </c>
      <c r="K30" t="s">
        <v>381</v>
      </c>
      <c r="L30">
        <v>29</v>
      </c>
      <c r="M30" t="s">
        <v>380</v>
      </c>
    </row>
    <row r="31" spans="3:13" x14ac:dyDescent="0.25">
      <c r="C31" t="s">
        <v>499</v>
      </c>
      <c r="K31" t="s">
        <v>381</v>
      </c>
      <c r="L31">
        <v>30</v>
      </c>
      <c r="M31" t="s">
        <v>380</v>
      </c>
    </row>
    <row r="32" spans="3:13" x14ac:dyDescent="0.25">
      <c r="C32" t="s">
        <v>479</v>
      </c>
      <c r="K32" t="s">
        <v>381</v>
      </c>
      <c r="L32">
        <v>31</v>
      </c>
      <c r="M32" t="s">
        <v>380</v>
      </c>
    </row>
    <row r="33" spans="3:13" x14ac:dyDescent="0.25">
      <c r="C33" t="s">
        <v>485</v>
      </c>
      <c r="K33" t="s">
        <v>381</v>
      </c>
      <c r="L33">
        <v>32</v>
      </c>
      <c r="M33" t="s">
        <v>380</v>
      </c>
    </row>
    <row r="34" spans="3:13" x14ac:dyDescent="0.25">
      <c r="C34" t="s">
        <v>397</v>
      </c>
      <c r="K34" t="s">
        <v>381</v>
      </c>
      <c r="L34">
        <v>33</v>
      </c>
      <c r="M34" t="s">
        <v>380</v>
      </c>
    </row>
    <row r="35" spans="3:13" x14ac:dyDescent="0.25">
      <c r="C35" t="s">
        <v>427</v>
      </c>
      <c r="K35" t="s">
        <v>381</v>
      </c>
      <c r="L35">
        <v>34</v>
      </c>
      <c r="M35" t="s">
        <v>380</v>
      </c>
    </row>
    <row r="36" spans="3:13" x14ac:dyDescent="0.25">
      <c r="C36" t="s">
        <v>430</v>
      </c>
      <c r="K36" t="s">
        <v>381</v>
      </c>
      <c r="L36">
        <v>35</v>
      </c>
      <c r="M36" t="s">
        <v>380</v>
      </c>
    </row>
    <row r="37" spans="3:13" x14ac:dyDescent="0.25">
      <c r="C37" t="s">
        <v>433</v>
      </c>
      <c r="K37" t="s">
        <v>381</v>
      </c>
      <c r="L37">
        <v>36</v>
      </c>
      <c r="M37" t="s">
        <v>380</v>
      </c>
    </row>
    <row r="38" spans="3:13" x14ac:dyDescent="0.25">
      <c r="C38" t="s">
        <v>463</v>
      </c>
      <c r="K38" t="s">
        <v>381</v>
      </c>
      <c r="L38">
        <v>37</v>
      </c>
      <c r="M38" t="s">
        <v>380</v>
      </c>
    </row>
    <row r="39" spans="3:13" x14ac:dyDescent="0.25">
      <c r="C39" t="s">
        <v>458</v>
      </c>
      <c r="K39" t="s">
        <v>381</v>
      </c>
      <c r="L39">
        <v>38</v>
      </c>
      <c r="M39" t="s">
        <v>380</v>
      </c>
    </row>
    <row r="40" spans="3:13" x14ac:dyDescent="0.25">
      <c r="C40" t="s">
        <v>442</v>
      </c>
      <c r="K40" t="s">
        <v>381</v>
      </c>
      <c r="L40">
        <v>39</v>
      </c>
      <c r="M40" t="s">
        <v>380</v>
      </c>
    </row>
    <row r="41" spans="3:13" x14ac:dyDescent="0.25">
      <c r="C41" t="s">
        <v>454</v>
      </c>
      <c r="K41" t="s">
        <v>381</v>
      </c>
      <c r="L41">
        <v>40</v>
      </c>
      <c r="M41" t="s">
        <v>380</v>
      </c>
    </row>
    <row r="42" spans="3:13" x14ac:dyDescent="0.25">
      <c r="C42" t="s">
        <v>450</v>
      </c>
      <c r="K42" t="s">
        <v>381</v>
      </c>
      <c r="L42">
        <v>41</v>
      </c>
      <c r="M42" t="s">
        <v>380</v>
      </c>
    </row>
    <row r="43" spans="3:13" x14ac:dyDescent="0.25">
      <c r="C43" t="s">
        <v>436</v>
      </c>
      <c r="K43" t="s">
        <v>381</v>
      </c>
      <c r="L43">
        <v>42</v>
      </c>
      <c r="M43" t="s">
        <v>380</v>
      </c>
    </row>
    <row r="44" spans="3:13" x14ac:dyDescent="0.25">
      <c r="C44" t="s">
        <v>438</v>
      </c>
      <c r="K44" t="s">
        <v>381</v>
      </c>
      <c r="L44">
        <v>43</v>
      </c>
      <c r="M44" t="s">
        <v>380</v>
      </c>
    </row>
    <row r="45" spans="3:13" x14ac:dyDescent="0.25">
      <c r="C45" t="s">
        <v>471</v>
      </c>
      <c r="K45" t="s">
        <v>381</v>
      </c>
      <c r="L45">
        <v>44</v>
      </c>
      <c r="M45" t="s">
        <v>380</v>
      </c>
    </row>
    <row r="46" spans="3:13" x14ac:dyDescent="0.25">
      <c r="C46" t="s">
        <v>475</v>
      </c>
      <c r="K46" t="s">
        <v>381</v>
      </c>
      <c r="L46">
        <v>45</v>
      </c>
      <c r="M46" t="s">
        <v>380</v>
      </c>
    </row>
    <row r="47" spans="3:13" x14ac:dyDescent="0.25">
      <c r="C47" t="s">
        <v>461</v>
      </c>
      <c r="K47" t="s">
        <v>381</v>
      </c>
      <c r="L47">
        <v>46</v>
      </c>
      <c r="M47" t="s">
        <v>380</v>
      </c>
    </row>
    <row r="48" spans="3:13" x14ac:dyDescent="0.25">
      <c r="C48" t="s">
        <v>384</v>
      </c>
      <c r="K48" t="s">
        <v>381</v>
      </c>
      <c r="L48">
        <v>47</v>
      </c>
      <c r="M48" t="s">
        <v>380</v>
      </c>
    </row>
    <row r="49" spans="3:13" x14ac:dyDescent="0.25">
      <c r="C49" t="s">
        <v>388</v>
      </c>
      <c r="K49" t="s">
        <v>381</v>
      </c>
      <c r="L49">
        <v>48</v>
      </c>
      <c r="M49" t="s">
        <v>380</v>
      </c>
    </row>
    <row r="50" spans="3:13" x14ac:dyDescent="0.25">
      <c r="K50" t="s">
        <v>381</v>
      </c>
      <c r="L50">
        <v>49</v>
      </c>
      <c r="M50" t="s">
        <v>380</v>
      </c>
    </row>
    <row r="51" spans="3:13" x14ac:dyDescent="0.25">
      <c r="K51" t="s">
        <v>381</v>
      </c>
      <c r="L51">
        <v>50</v>
      </c>
      <c r="M51" t="s">
        <v>380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3339-ADCB-4C05-A408-48F138E5A2DD}">
  <dimension ref="A4:M230"/>
  <sheetViews>
    <sheetView tabSelected="1" topLeftCell="L195" workbookViewId="0">
      <selection activeCell="M198" sqref="M198"/>
    </sheetView>
  </sheetViews>
  <sheetFormatPr defaultRowHeight="15" x14ac:dyDescent="0.25"/>
  <cols>
    <col min="1" max="1" width="8.28515625" bestFit="1" customWidth="1"/>
    <col min="2" max="2" width="17.42578125" style="44" bestFit="1" customWidth="1"/>
    <col min="3" max="4" width="3" bestFit="1" customWidth="1"/>
    <col min="5" max="5" width="5" bestFit="1" customWidth="1"/>
    <col min="6" max="6" width="1.5703125" style="43" customWidth="1"/>
    <col min="7" max="7" width="23.7109375" bestFit="1" customWidth="1"/>
    <col min="8" max="8" width="37" bestFit="1" customWidth="1"/>
    <col min="9" max="9" width="26.85546875" bestFit="1" customWidth="1"/>
    <col min="10" max="10" width="13.42578125" bestFit="1" customWidth="1"/>
    <col min="11" max="11" width="37" bestFit="1" customWidth="1"/>
    <col min="12" max="12" width="26.28515625" customWidth="1"/>
    <col min="13" max="13" width="206.5703125" bestFit="1" customWidth="1"/>
  </cols>
  <sheetData>
    <row r="4" spans="1:13" x14ac:dyDescent="0.25">
      <c r="B4" s="70">
        <v>46016</v>
      </c>
      <c r="C4" t="str">
        <f t="shared" ref="C4:C29" si="0">TEXT(DAY(B4),"gg")</f>
        <v>25</v>
      </c>
      <c r="D4" t="str">
        <f>IF(ISERROR(DAY(B4)),TEXT(MATCH(TRIM(SUBSTITUTE(SUBSTITUTE(SUBSTITUTE(SUBSTITUTE(SUBSTITUTE(SUBSTITUTE(SUBSTITUTE(SUBSTITUTE(SUBSTITUTE(SUBSTITUTE(SUBSTITUTE(B4,1,""),2,""),3,""),4,""),5,""),6,""),7,""),8,""),9,""),0,""),"-","")),{"gennaio","febbraio","marzo","aprile","maggio","giugno","luglio","agosto","settembre","ottobre","novembre","dicembre"},0),"00"),TEXT(MONTH(B4)*29,"mm"))</f>
        <v>12</v>
      </c>
      <c r="E4">
        <f t="shared" ref="E4:E29" si="1">YEAR(B4)</f>
        <v>2025</v>
      </c>
      <c r="G4" s="68" t="s">
        <v>918</v>
      </c>
      <c r="I4" s="68" t="s">
        <v>919</v>
      </c>
      <c r="J4" s="68" t="s">
        <v>917</v>
      </c>
      <c r="L4" s="68" t="s">
        <v>893</v>
      </c>
      <c r="M4" t="str">
        <f t="shared" ref="M4:M30" si="2">_xlfn.CONCAT("***
&gt;",G4,E5,"/",E5,"-",D5,"-",C5,H4,I4," | ",TEXT(B4,"gg mmmm aaaa"),J4,E3,"/",E3,"-",D3,"-",C3,K4,L4)</f>
        <v>***
&gt; [!4colonne]- [[Messaggi/2025/2025-12-25| ← Messaggio precedente]] | 25 dicembre 2025 | [[Messaggi//--| Messaggio successivo → ]]</v>
      </c>
    </row>
    <row r="5" spans="1:13" x14ac:dyDescent="0.25">
      <c r="A5" s="68"/>
      <c r="B5" s="70">
        <v>46016</v>
      </c>
      <c r="C5" s="68" t="str">
        <f t="shared" si="0"/>
        <v>25</v>
      </c>
      <c r="D5" s="68" t="str">
        <f>IF(ISERROR(DAY(B5)),TEXT(MATCH(TRIM(SUBSTITUTE(SUBSTITUTE(SUBSTITUTE(SUBSTITUTE(SUBSTITUTE(SUBSTITUTE(SUBSTITUTE(SUBSTITUTE(SUBSTITUTE(SUBSTITUTE(SUBSTITUTE(B5,1,""),2,""),3,""),4,""),5,""),6,""),7,""),8,""),9,""),0,""),"-","")),{"gennaio","febbraio","marzo","aprile","maggio","giugno","luglio","agosto","settembre","ottobre","novembre","dicembre"},0),"00"),TEXT(MONTH(B5)*29,"mm"))</f>
        <v>12</v>
      </c>
      <c r="E5" s="68">
        <f t="shared" si="1"/>
        <v>2025</v>
      </c>
      <c r="G5" s="68" t="s">
        <v>918</v>
      </c>
      <c r="H5" s="68"/>
      <c r="I5" s="68" t="s">
        <v>919</v>
      </c>
      <c r="J5" s="68" t="s">
        <v>917</v>
      </c>
      <c r="K5" s="68"/>
      <c r="L5" s="68" t="s">
        <v>893</v>
      </c>
      <c r="M5" t="str">
        <f t="shared" si="2"/>
        <v>***
&gt; [!4colonne]- [[Messaggi/2025/2025-12-02| ← Messaggio precedente]] | 25 dicembre 2025 | [[Messaggi/2025/2025-12-25| Messaggio successivo → ]]</v>
      </c>
    </row>
    <row r="6" spans="1:13" x14ac:dyDescent="0.25">
      <c r="A6" s="68"/>
      <c r="B6" s="70">
        <v>45993</v>
      </c>
      <c r="C6" s="68" t="str">
        <f t="shared" si="0"/>
        <v>02</v>
      </c>
      <c r="D6" s="68" t="str">
        <f>IF(ISERROR(DAY(B6)),TEXT(MATCH(TRIM(SUBSTITUTE(SUBSTITUTE(SUBSTITUTE(SUBSTITUTE(SUBSTITUTE(SUBSTITUTE(SUBSTITUTE(SUBSTITUTE(SUBSTITUTE(SUBSTITUTE(SUBSTITUTE(B6,1,""),2,""),3,""),4,""),5,""),6,""),7,""),8,""),9,""),0,""),"-","")),{"gennaio","febbraio","marzo","aprile","maggio","giugno","luglio","agosto","settembre","ottobre","novembre","dicembre"},0),"00"),TEXT(MONTH(B6)*29,"mm"))</f>
        <v>12</v>
      </c>
      <c r="E6" s="68">
        <f t="shared" si="1"/>
        <v>2025</v>
      </c>
      <c r="G6" s="68" t="s">
        <v>918</v>
      </c>
      <c r="H6" s="68"/>
      <c r="I6" s="68" t="s">
        <v>919</v>
      </c>
      <c r="J6" s="68" t="s">
        <v>917</v>
      </c>
      <c r="K6" s="68"/>
      <c r="L6" s="68" t="s">
        <v>893</v>
      </c>
      <c r="M6" t="str">
        <f t="shared" si="2"/>
        <v>***
&gt; [!4colonne]- [[Messaggi/2025/2025-11-25| ← Messaggio precedente]] | 02 dicembre 2025 | [[Messaggi/2025/2025-12-25| Messaggio successivo → ]]</v>
      </c>
    </row>
    <row r="7" spans="1:13" x14ac:dyDescent="0.25">
      <c r="A7" s="68"/>
      <c r="B7" s="70">
        <v>45986</v>
      </c>
      <c r="C7" s="68" t="str">
        <f t="shared" si="0"/>
        <v>25</v>
      </c>
      <c r="D7" s="68" t="str">
        <f>IF(ISERROR(DAY(B7)),TEXT(MATCH(TRIM(SUBSTITUTE(SUBSTITUTE(SUBSTITUTE(SUBSTITUTE(SUBSTITUTE(SUBSTITUTE(SUBSTITUTE(SUBSTITUTE(SUBSTITUTE(SUBSTITUTE(SUBSTITUTE(B7,1,""),2,""),3,""),4,""),5,""),6,""),7,""),8,""),9,""),0,""),"-","")),{"gennaio","febbraio","marzo","aprile","maggio","giugno","luglio","agosto","settembre","ottobre","novembre","dicembre"},0),"00"),TEXT(MONTH(B7)*29,"mm"))</f>
        <v>11</v>
      </c>
      <c r="E7" s="68">
        <f t="shared" si="1"/>
        <v>2025</v>
      </c>
      <c r="G7" s="68" t="s">
        <v>918</v>
      </c>
      <c r="H7" s="68"/>
      <c r="I7" s="68" t="s">
        <v>919</v>
      </c>
      <c r="J7" s="68" t="s">
        <v>917</v>
      </c>
      <c r="K7" s="68"/>
      <c r="L7" s="68" t="s">
        <v>893</v>
      </c>
      <c r="M7" t="str">
        <f t="shared" si="2"/>
        <v>***
&gt; [!4colonne]- [[Messaggi/2025/2025-11-02| ← Messaggio precedente]] | 25 novembre 2025 | [[Messaggi/2025/2025-12-02| Messaggio successivo → ]]</v>
      </c>
    </row>
    <row r="8" spans="1:13" x14ac:dyDescent="0.25">
      <c r="A8" s="68"/>
      <c r="B8" s="70">
        <v>45963</v>
      </c>
      <c r="C8" s="68" t="str">
        <f t="shared" si="0"/>
        <v>02</v>
      </c>
      <c r="D8" s="68" t="str">
        <f>IF(ISERROR(DAY(B8)),TEXT(MATCH(TRIM(SUBSTITUTE(SUBSTITUTE(SUBSTITUTE(SUBSTITUTE(SUBSTITUTE(SUBSTITUTE(SUBSTITUTE(SUBSTITUTE(SUBSTITUTE(SUBSTITUTE(SUBSTITUTE(B8,1,""),2,""),3,""),4,""),5,""),6,""),7,""),8,""),9,""),0,""),"-","")),{"gennaio","febbraio","marzo","aprile","maggio","giugno","luglio","agosto","settembre","ottobre","novembre","dicembre"},0),"00"),TEXT(MONTH(B8)*29,"mm"))</f>
        <v>11</v>
      </c>
      <c r="E8" s="68">
        <f t="shared" si="1"/>
        <v>2025</v>
      </c>
      <c r="G8" s="68" t="s">
        <v>918</v>
      </c>
      <c r="H8" s="68"/>
      <c r="I8" s="68" t="s">
        <v>919</v>
      </c>
      <c r="J8" s="68" t="s">
        <v>917</v>
      </c>
      <c r="K8" s="68"/>
      <c r="L8" s="68" t="s">
        <v>893</v>
      </c>
      <c r="M8" t="str">
        <f t="shared" si="2"/>
        <v>***
&gt; [!4colonne]- [[Messaggi/2025/2025-10-25| ← Messaggio precedente]] | 02 novembre 2025 | [[Messaggi/2025/2025-11-25| Messaggio successivo → ]]</v>
      </c>
    </row>
    <row r="9" spans="1:13" x14ac:dyDescent="0.25">
      <c r="A9" s="68"/>
      <c r="B9" s="70">
        <v>45955</v>
      </c>
      <c r="C9" s="68" t="str">
        <f t="shared" si="0"/>
        <v>25</v>
      </c>
      <c r="D9" s="68" t="str">
        <f>IF(ISERROR(DAY(B9)),TEXT(MATCH(TRIM(SUBSTITUTE(SUBSTITUTE(SUBSTITUTE(SUBSTITUTE(SUBSTITUTE(SUBSTITUTE(SUBSTITUTE(SUBSTITUTE(SUBSTITUTE(SUBSTITUTE(SUBSTITUTE(B9,1,""),2,""),3,""),4,""),5,""),6,""),7,""),8,""),9,""),0,""),"-","")),{"gennaio","febbraio","marzo","aprile","maggio","giugno","luglio","agosto","settembre","ottobre","novembre","dicembre"},0),"00"),TEXT(MONTH(B9)*29,"mm"))</f>
        <v>10</v>
      </c>
      <c r="E9" s="68">
        <f t="shared" si="1"/>
        <v>2025</v>
      </c>
      <c r="G9" s="68" t="s">
        <v>918</v>
      </c>
      <c r="H9" s="68"/>
      <c r="I9" s="68" t="s">
        <v>919</v>
      </c>
      <c r="J9" s="68" t="s">
        <v>917</v>
      </c>
      <c r="K9" s="68"/>
      <c r="L9" s="68" t="s">
        <v>893</v>
      </c>
      <c r="M9" t="str">
        <f t="shared" si="2"/>
        <v>***
&gt; [!4colonne]- [[Messaggi/2025/2025-10-02| ← Messaggio precedente]] | 25 ottobre 2025 | [[Messaggi/2025/2025-11-02| Messaggio successivo → ]]</v>
      </c>
    </row>
    <row r="10" spans="1:13" x14ac:dyDescent="0.25">
      <c r="A10" s="68"/>
      <c r="B10" s="70">
        <v>45932</v>
      </c>
      <c r="C10" s="68" t="str">
        <f t="shared" si="0"/>
        <v>02</v>
      </c>
      <c r="D10" s="68" t="str">
        <f>IF(ISERROR(DAY(B10)),TEXT(MATCH(TRIM(SUBSTITUTE(SUBSTITUTE(SUBSTITUTE(SUBSTITUTE(SUBSTITUTE(SUBSTITUTE(SUBSTITUTE(SUBSTITUTE(SUBSTITUTE(SUBSTITUTE(SUBSTITUTE(B10,1,""),2,""),3,""),4,""),5,""),6,""),7,""),8,""),9,""),0,""),"-","")),{"gennaio","febbraio","marzo","aprile","maggio","giugno","luglio","agosto","settembre","ottobre","novembre","dicembre"},0),"00"),TEXT(MONTH(B10)*29,"mm"))</f>
        <v>10</v>
      </c>
      <c r="E10" s="68">
        <f t="shared" si="1"/>
        <v>2025</v>
      </c>
      <c r="G10" s="68" t="s">
        <v>918</v>
      </c>
      <c r="H10" s="68"/>
      <c r="I10" s="68" t="s">
        <v>919</v>
      </c>
      <c r="J10" s="68" t="s">
        <v>917</v>
      </c>
      <c r="K10" s="68"/>
      <c r="L10" s="68" t="s">
        <v>893</v>
      </c>
      <c r="M10" t="str">
        <f t="shared" si="2"/>
        <v>***
&gt; [!4colonne]- [[Messaggi/2025/2025-09-25| ← Messaggio precedente]] | 02 ottobre 2025 | [[Messaggi/2025/2025-10-25| Messaggio successivo → ]]</v>
      </c>
    </row>
    <row r="11" spans="1:13" x14ac:dyDescent="0.25">
      <c r="A11" s="68"/>
      <c r="B11" s="70">
        <v>45925</v>
      </c>
      <c r="C11" s="68" t="str">
        <f t="shared" si="0"/>
        <v>25</v>
      </c>
      <c r="D11" s="68" t="str">
        <f>IF(ISERROR(DAY(B11)),TEXT(MATCH(TRIM(SUBSTITUTE(SUBSTITUTE(SUBSTITUTE(SUBSTITUTE(SUBSTITUTE(SUBSTITUTE(SUBSTITUTE(SUBSTITUTE(SUBSTITUTE(SUBSTITUTE(SUBSTITUTE(B11,1,""),2,""),3,""),4,""),5,""),6,""),7,""),8,""),9,""),0,""),"-","")),{"gennaio","febbraio","marzo","aprile","maggio","giugno","luglio","agosto","settembre","ottobre","novembre","dicembre"},0),"00"),TEXT(MONTH(B11)*29,"mm"))</f>
        <v>09</v>
      </c>
      <c r="E11" s="68">
        <f t="shared" si="1"/>
        <v>2025</v>
      </c>
      <c r="G11" s="68" t="s">
        <v>918</v>
      </c>
      <c r="H11" s="68"/>
      <c r="I11" s="68" t="s">
        <v>919</v>
      </c>
      <c r="J11" s="68" t="s">
        <v>917</v>
      </c>
      <c r="K11" s="68"/>
      <c r="L11" s="68" t="s">
        <v>893</v>
      </c>
      <c r="M11" t="str">
        <f t="shared" si="2"/>
        <v>***
&gt; [!4colonne]- [[Messaggi/2025/2025-09-02| ← Messaggio precedente]] | 25 settembre 2025 | [[Messaggi/2025/2025-10-02| Messaggio successivo → ]]</v>
      </c>
    </row>
    <row r="12" spans="1:13" x14ac:dyDescent="0.25">
      <c r="A12" s="68"/>
      <c r="B12" s="70">
        <v>45902</v>
      </c>
      <c r="C12" s="68" t="str">
        <f t="shared" si="0"/>
        <v>02</v>
      </c>
      <c r="D12" s="68" t="str">
        <f>IF(ISERROR(DAY(B12)),TEXT(MATCH(TRIM(SUBSTITUTE(SUBSTITUTE(SUBSTITUTE(SUBSTITUTE(SUBSTITUTE(SUBSTITUTE(SUBSTITUTE(SUBSTITUTE(SUBSTITUTE(SUBSTITUTE(SUBSTITUTE(B12,1,""),2,""),3,""),4,""),5,""),6,""),7,""),8,""),9,""),0,""),"-","")),{"gennaio","febbraio","marzo","aprile","maggio","giugno","luglio","agosto","settembre","ottobre","novembre","dicembre"},0),"00"),TEXT(MONTH(B12)*29,"mm"))</f>
        <v>09</v>
      </c>
      <c r="E12" s="68">
        <f t="shared" si="1"/>
        <v>2025</v>
      </c>
      <c r="G12" s="68" t="s">
        <v>918</v>
      </c>
      <c r="H12" s="68"/>
      <c r="I12" s="68" t="s">
        <v>919</v>
      </c>
      <c r="J12" s="68" t="s">
        <v>917</v>
      </c>
      <c r="K12" s="68"/>
      <c r="L12" s="68" t="s">
        <v>893</v>
      </c>
      <c r="M12" t="str">
        <f t="shared" si="2"/>
        <v>***
&gt; [!4colonne]- [[Messaggi/2025/2025-08-25| ← Messaggio precedente]] | 02 settembre 2025 | [[Messaggi/2025/2025-09-25| Messaggio successivo → ]]</v>
      </c>
    </row>
    <row r="13" spans="1:13" x14ac:dyDescent="0.25">
      <c r="A13" s="68"/>
      <c r="B13" s="70">
        <v>45894</v>
      </c>
      <c r="C13" s="68" t="str">
        <f t="shared" si="0"/>
        <v>25</v>
      </c>
      <c r="D13" s="68" t="str">
        <f>IF(ISERROR(DAY(B13)),TEXT(MATCH(TRIM(SUBSTITUTE(SUBSTITUTE(SUBSTITUTE(SUBSTITUTE(SUBSTITUTE(SUBSTITUTE(SUBSTITUTE(SUBSTITUTE(SUBSTITUTE(SUBSTITUTE(SUBSTITUTE(B13,1,""),2,""),3,""),4,""),5,""),6,""),7,""),8,""),9,""),0,""),"-","")),{"gennaio","febbraio","marzo","aprile","maggio","giugno","luglio","agosto","settembre","ottobre","novembre","dicembre"},0),"00"),TEXT(MONTH(B13)*29,"mm"))</f>
        <v>08</v>
      </c>
      <c r="E13" s="68">
        <f t="shared" si="1"/>
        <v>2025</v>
      </c>
      <c r="G13" s="68" t="s">
        <v>918</v>
      </c>
      <c r="H13" s="68"/>
      <c r="I13" s="68" t="s">
        <v>919</v>
      </c>
      <c r="J13" s="68" t="s">
        <v>917</v>
      </c>
      <c r="K13" s="68"/>
      <c r="L13" s="68" t="s">
        <v>893</v>
      </c>
      <c r="M13" t="str">
        <f t="shared" si="2"/>
        <v>***
&gt; [!4colonne]- [[Messaggi/2025/2025-08-02| ← Messaggio precedente]] | 25 agosto 2025 | [[Messaggi/2025/2025-09-02| Messaggio successivo → ]]</v>
      </c>
    </row>
    <row r="14" spans="1:13" x14ac:dyDescent="0.25">
      <c r="A14" s="68"/>
      <c r="B14" s="70">
        <v>45871</v>
      </c>
      <c r="C14" s="68" t="str">
        <f t="shared" si="0"/>
        <v>02</v>
      </c>
      <c r="D14" s="68" t="str">
        <f>IF(ISERROR(DAY(B14)),TEXT(MATCH(TRIM(SUBSTITUTE(SUBSTITUTE(SUBSTITUTE(SUBSTITUTE(SUBSTITUTE(SUBSTITUTE(SUBSTITUTE(SUBSTITUTE(SUBSTITUTE(SUBSTITUTE(SUBSTITUTE(B14,1,""),2,""),3,""),4,""),5,""),6,""),7,""),8,""),9,""),0,""),"-","")),{"gennaio","febbraio","marzo","aprile","maggio","giugno","luglio","agosto","settembre","ottobre","novembre","dicembre"},0),"00"),TEXT(MONTH(B14)*29,"mm"))</f>
        <v>08</v>
      </c>
      <c r="E14" s="68">
        <f t="shared" si="1"/>
        <v>2025</v>
      </c>
      <c r="G14" s="68" t="s">
        <v>918</v>
      </c>
      <c r="H14" s="68"/>
      <c r="I14" s="68" t="s">
        <v>919</v>
      </c>
      <c r="J14" s="68" t="s">
        <v>917</v>
      </c>
      <c r="K14" s="68"/>
      <c r="L14" s="68" t="s">
        <v>893</v>
      </c>
      <c r="M14" t="str">
        <f t="shared" si="2"/>
        <v>***
&gt; [!4colonne]- [[Messaggi/2025/2025-07-25| ← Messaggio precedente]] | 02 agosto 2025 | [[Messaggi/2025/2025-08-25| Messaggio successivo → ]]</v>
      </c>
    </row>
    <row r="15" spans="1:13" x14ac:dyDescent="0.25">
      <c r="A15" s="68"/>
      <c r="B15" s="70">
        <v>45863</v>
      </c>
      <c r="C15" s="68" t="str">
        <f t="shared" si="0"/>
        <v>25</v>
      </c>
      <c r="D15" s="68" t="str">
        <f>IF(ISERROR(DAY(B15)),TEXT(MATCH(TRIM(SUBSTITUTE(SUBSTITUTE(SUBSTITUTE(SUBSTITUTE(SUBSTITUTE(SUBSTITUTE(SUBSTITUTE(SUBSTITUTE(SUBSTITUTE(SUBSTITUTE(SUBSTITUTE(B15,1,""),2,""),3,""),4,""),5,""),6,""),7,""),8,""),9,""),0,""),"-","")),{"gennaio","febbraio","marzo","aprile","maggio","giugno","luglio","agosto","settembre","ottobre","novembre","dicembre"},0),"00"),TEXT(MONTH(B15)*29,"mm"))</f>
        <v>07</v>
      </c>
      <c r="E15" s="68">
        <f t="shared" si="1"/>
        <v>2025</v>
      </c>
      <c r="G15" s="68" t="s">
        <v>918</v>
      </c>
      <c r="H15" s="68"/>
      <c r="I15" s="68" t="s">
        <v>919</v>
      </c>
      <c r="J15" s="68" t="s">
        <v>917</v>
      </c>
      <c r="K15" s="68"/>
      <c r="L15" s="68" t="s">
        <v>893</v>
      </c>
      <c r="M15" t="str">
        <f t="shared" si="2"/>
        <v>***
&gt; [!4colonne]- [[Messaggi/2025/2025-07-02| ← Messaggio precedente]] | 25 luglio 2025 | [[Messaggi/2025/2025-08-02| Messaggio successivo → ]]</v>
      </c>
    </row>
    <row r="16" spans="1:13" x14ac:dyDescent="0.25">
      <c r="A16" s="68"/>
      <c r="B16" s="70">
        <v>45840</v>
      </c>
      <c r="C16" s="68" t="str">
        <f t="shared" si="0"/>
        <v>02</v>
      </c>
      <c r="D16" s="68" t="str">
        <f>IF(ISERROR(DAY(B16)),TEXT(MATCH(TRIM(SUBSTITUTE(SUBSTITUTE(SUBSTITUTE(SUBSTITUTE(SUBSTITUTE(SUBSTITUTE(SUBSTITUTE(SUBSTITUTE(SUBSTITUTE(SUBSTITUTE(SUBSTITUTE(B16,1,""),2,""),3,""),4,""),5,""),6,""),7,""),8,""),9,""),0,""),"-","")),{"gennaio","febbraio","marzo","aprile","maggio","giugno","luglio","agosto","settembre","ottobre","novembre","dicembre"},0),"00"),TEXT(MONTH(B16)*29,"mm"))</f>
        <v>07</v>
      </c>
      <c r="E16" s="68">
        <f t="shared" si="1"/>
        <v>2025</v>
      </c>
      <c r="G16" s="68" t="s">
        <v>918</v>
      </c>
      <c r="H16" s="68"/>
      <c r="I16" s="68" t="s">
        <v>919</v>
      </c>
      <c r="J16" s="68" t="s">
        <v>917</v>
      </c>
      <c r="K16" s="68"/>
      <c r="L16" s="68" t="s">
        <v>893</v>
      </c>
      <c r="M16" t="str">
        <f t="shared" si="2"/>
        <v>***
&gt; [!4colonne]- [[Messaggi/2025/2025-06-25| ← Messaggio precedente]] | 02 luglio 2025 | [[Messaggi/2025/2025-07-25| Messaggio successivo → ]]</v>
      </c>
    </row>
    <row r="17" spans="1:13" x14ac:dyDescent="0.25">
      <c r="A17" s="68"/>
      <c r="B17" s="70">
        <v>45833</v>
      </c>
      <c r="C17" s="68" t="str">
        <f t="shared" si="0"/>
        <v>25</v>
      </c>
      <c r="D17" s="68" t="str">
        <f>IF(ISERROR(DAY(B17)),TEXT(MATCH(TRIM(SUBSTITUTE(SUBSTITUTE(SUBSTITUTE(SUBSTITUTE(SUBSTITUTE(SUBSTITUTE(SUBSTITUTE(SUBSTITUTE(SUBSTITUTE(SUBSTITUTE(SUBSTITUTE(B17,1,""),2,""),3,""),4,""),5,""),6,""),7,""),8,""),9,""),0,""),"-","")),{"gennaio","febbraio","marzo","aprile","maggio","giugno","luglio","agosto","settembre","ottobre","novembre","dicembre"},0),"00"),TEXT(MONTH(B17)*29,"mm"))</f>
        <v>06</v>
      </c>
      <c r="E17" s="68">
        <f t="shared" si="1"/>
        <v>2025</v>
      </c>
      <c r="G17" s="68" t="s">
        <v>918</v>
      </c>
      <c r="H17" s="68"/>
      <c r="I17" s="68" t="s">
        <v>919</v>
      </c>
      <c r="J17" s="68" t="s">
        <v>917</v>
      </c>
      <c r="K17" s="68"/>
      <c r="L17" s="68" t="s">
        <v>893</v>
      </c>
      <c r="M17" s="68" t="str">
        <f t="shared" si="2"/>
        <v>***
&gt; [!4colonne]- [[Messaggi/2025/2025-06-25| ← Messaggio precedente]] | 25 giugno 2025 | [[Messaggi/2025/2025-07-02| Messaggio successivo → ]]</v>
      </c>
    </row>
    <row r="18" spans="1:13" x14ac:dyDescent="0.25">
      <c r="A18" s="68"/>
      <c r="B18" s="70">
        <v>45833</v>
      </c>
      <c r="C18" s="68" t="str">
        <f t="shared" si="0"/>
        <v>25</v>
      </c>
      <c r="D18" s="68" t="str">
        <f>IF(ISERROR(DAY(B18)),TEXT(MATCH(TRIM(SUBSTITUTE(SUBSTITUTE(SUBSTITUTE(SUBSTITUTE(SUBSTITUTE(SUBSTITUTE(SUBSTITUTE(SUBSTITUTE(SUBSTITUTE(SUBSTITUTE(SUBSTITUTE(B18,1,""),2,""),3,""),4,""),5,""),6,""),7,""),8,""),9,""),0,""),"-","")),{"gennaio","febbraio","marzo","aprile","maggio","giugno","luglio","agosto","settembre","ottobre","novembre","dicembre"},0),"00"),TEXT(MONTH(B18)*29,"mm"))</f>
        <v>06</v>
      </c>
      <c r="E18" s="68">
        <f t="shared" si="1"/>
        <v>2025</v>
      </c>
      <c r="G18" s="68" t="s">
        <v>918</v>
      </c>
      <c r="H18" s="68"/>
      <c r="I18" s="68" t="s">
        <v>919</v>
      </c>
      <c r="J18" s="68" t="s">
        <v>917</v>
      </c>
      <c r="K18" s="68"/>
      <c r="L18" s="68" t="s">
        <v>893</v>
      </c>
      <c r="M18" s="68" t="str">
        <f t="shared" si="2"/>
        <v>***
&gt; [!4colonne]- [[Messaggi/2025/2025-06-02| ← Messaggio precedente]] | 25 giugno 2025 | [[Messaggi/2025/2025-06-25| Messaggio successivo → ]]</v>
      </c>
    </row>
    <row r="19" spans="1:13" x14ac:dyDescent="0.25">
      <c r="A19" s="68"/>
      <c r="B19" s="70">
        <v>45810</v>
      </c>
      <c r="C19" s="68" t="str">
        <f t="shared" si="0"/>
        <v>02</v>
      </c>
      <c r="D19" s="68" t="str">
        <f>IF(ISERROR(DAY(B19)),TEXT(MATCH(TRIM(SUBSTITUTE(SUBSTITUTE(SUBSTITUTE(SUBSTITUTE(SUBSTITUTE(SUBSTITUTE(SUBSTITUTE(SUBSTITUTE(SUBSTITUTE(SUBSTITUTE(SUBSTITUTE(B19,1,""),2,""),3,""),4,""),5,""),6,""),7,""),8,""),9,""),0,""),"-","")),{"gennaio","febbraio","marzo","aprile","maggio","giugno","luglio","agosto","settembre","ottobre","novembre","dicembre"},0),"00"),TEXT(MONTH(B19)*29,"mm"))</f>
        <v>06</v>
      </c>
      <c r="E19" s="68">
        <f t="shared" si="1"/>
        <v>2025</v>
      </c>
      <c r="G19" s="68" t="s">
        <v>918</v>
      </c>
      <c r="H19" s="68"/>
      <c r="I19" s="68" t="s">
        <v>919</v>
      </c>
      <c r="J19" s="68" t="s">
        <v>917</v>
      </c>
      <c r="K19" s="68"/>
      <c r="L19" s="68" t="s">
        <v>893</v>
      </c>
      <c r="M19" s="68" t="str">
        <f t="shared" si="2"/>
        <v>***
&gt; [!4colonne]- [[Messaggi/2025/2025-05-25| ← Messaggio precedente]] | 02 giugno 2025 | [[Messaggi/2025/2025-06-25| Messaggio successivo → ]]</v>
      </c>
    </row>
    <row r="20" spans="1:13" x14ac:dyDescent="0.25">
      <c r="A20" s="68"/>
      <c r="B20" s="70">
        <v>45802</v>
      </c>
      <c r="C20" s="68" t="str">
        <f t="shared" si="0"/>
        <v>25</v>
      </c>
      <c r="D20" s="68" t="str">
        <f>IF(ISERROR(DAY(B20)),TEXT(MATCH(TRIM(SUBSTITUTE(SUBSTITUTE(SUBSTITUTE(SUBSTITUTE(SUBSTITUTE(SUBSTITUTE(SUBSTITUTE(SUBSTITUTE(SUBSTITUTE(SUBSTITUTE(SUBSTITUTE(B20,1,""),2,""),3,""),4,""),5,""),6,""),7,""),8,""),9,""),0,""),"-","")),{"gennaio","febbraio","marzo","aprile","maggio","giugno","luglio","agosto","settembre","ottobre","novembre","dicembre"},0),"00"),TEXT(MONTH(B20)*29,"mm"))</f>
        <v>05</v>
      </c>
      <c r="E20" s="68">
        <f t="shared" si="1"/>
        <v>2025</v>
      </c>
      <c r="G20" s="68" t="s">
        <v>918</v>
      </c>
      <c r="H20" s="68"/>
      <c r="I20" s="68" t="s">
        <v>919</v>
      </c>
      <c r="J20" s="68" t="s">
        <v>917</v>
      </c>
      <c r="K20" s="68"/>
      <c r="L20" s="68" t="s">
        <v>893</v>
      </c>
      <c r="M20" s="68" t="str">
        <f t="shared" si="2"/>
        <v>***
&gt; [!4colonne]- [[Messaggi/2025/2025-05-02| ← Messaggio precedente]] | 25 maggio 2025 | [[Messaggi/2025/2025-06-02| Messaggio successivo → ]]</v>
      </c>
    </row>
    <row r="21" spans="1:13" x14ac:dyDescent="0.25">
      <c r="A21" s="68"/>
      <c r="B21" s="70">
        <v>45779</v>
      </c>
      <c r="C21" s="68" t="str">
        <f t="shared" si="0"/>
        <v>02</v>
      </c>
      <c r="D21" s="68" t="str">
        <f>IF(ISERROR(DAY(B21)),TEXT(MATCH(TRIM(SUBSTITUTE(SUBSTITUTE(SUBSTITUTE(SUBSTITUTE(SUBSTITUTE(SUBSTITUTE(SUBSTITUTE(SUBSTITUTE(SUBSTITUTE(SUBSTITUTE(SUBSTITUTE(B21,1,""),2,""),3,""),4,""),5,""),6,""),7,""),8,""),9,""),0,""),"-","")),{"gennaio","febbraio","marzo","aprile","maggio","giugno","luglio","agosto","settembre","ottobre","novembre","dicembre"},0),"00"),TEXT(MONTH(B21)*29,"mm"))</f>
        <v>05</v>
      </c>
      <c r="E21" s="68">
        <f t="shared" si="1"/>
        <v>2025</v>
      </c>
      <c r="G21" s="68" t="s">
        <v>918</v>
      </c>
      <c r="H21" s="68"/>
      <c r="I21" s="68" t="s">
        <v>919</v>
      </c>
      <c r="J21" s="68" t="s">
        <v>917</v>
      </c>
      <c r="K21" s="68"/>
      <c r="L21" s="68" t="s">
        <v>893</v>
      </c>
      <c r="M21" s="68" t="str">
        <f t="shared" si="2"/>
        <v>***
&gt; [!4colonne]- [[Messaggi/2025/2025-04-25| ← Messaggio precedente]] | 02 maggio 2025 | [[Messaggi/2025/2025-05-25| Messaggio successivo → ]]</v>
      </c>
    </row>
    <row r="22" spans="1:13" x14ac:dyDescent="0.25">
      <c r="A22" s="68"/>
      <c r="B22" s="70">
        <v>45772</v>
      </c>
      <c r="C22" s="68" t="str">
        <f t="shared" si="0"/>
        <v>25</v>
      </c>
      <c r="D22" s="68" t="str">
        <f>IF(ISERROR(DAY(B22)),TEXT(MATCH(TRIM(SUBSTITUTE(SUBSTITUTE(SUBSTITUTE(SUBSTITUTE(SUBSTITUTE(SUBSTITUTE(SUBSTITUTE(SUBSTITUTE(SUBSTITUTE(SUBSTITUTE(SUBSTITUTE(B22,1,""),2,""),3,""),4,""),5,""),6,""),7,""),8,""),9,""),0,""),"-","")),{"gennaio","febbraio","marzo","aprile","maggio","giugno","luglio","agosto","settembre","ottobre","novembre","dicembre"},0),"00"),TEXT(MONTH(B22)*29,"mm"))</f>
        <v>04</v>
      </c>
      <c r="E22" s="68">
        <f t="shared" si="1"/>
        <v>2025</v>
      </c>
      <c r="G22" s="68" t="s">
        <v>918</v>
      </c>
      <c r="H22" s="68"/>
      <c r="I22" s="68" t="s">
        <v>919</v>
      </c>
      <c r="J22" s="68" t="s">
        <v>917</v>
      </c>
      <c r="K22" s="68"/>
      <c r="L22" s="68" t="s">
        <v>893</v>
      </c>
      <c r="M22" s="68" t="str">
        <f t="shared" si="2"/>
        <v>***
&gt; [!4colonne]- [[Messaggi/2025/2025-04-02| ← Messaggio precedente]] | 25 aprile 2025 | [[Messaggi/2025/2025-05-02| Messaggio successivo → ]]</v>
      </c>
    </row>
    <row r="23" spans="1:13" x14ac:dyDescent="0.25">
      <c r="A23" s="68"/>
      <c r="B23" s="70">
        <v>45749</v>
      </c>
      <c r="C23" s="68" t="str">
        <f t="shared" si="0"/>
        <v>02</v>
      </c>
      <c r="D23" s="68" t="str">
        <f>IF(ISERROR(DAY(B23)),TEXT(MATCH(TRIM(SUBSTITUTE(SUBSTITUTE(SUBSTITUTE(SUBSTITUTE(SUBSTITUTE(SUBSTITUTE(SUBSTITUTE(SUBSTITUTE(SUBSTITUTE(SUBSTITUTE(SUBSTITUTE(B23,1,""),2,""),3,""),4,""),5,""),6,""),7,""),8,""),9,""),0,""),"-","")),{"gennaio","febbraio","marzo","aprile","maggio","giugno","luglio","agosto","settembre","ottobre","novembre","dicembre"},0),"00"),TEXT(MONTH(B23)*29,"mm"))</f>
        <v>04</v>
      </c>
      <c r="E23" s="68">
        <f t="shared" si="1"/>
        <v>2025</v>
      </c>
      <c r="G23" s="68" t="s">
        <v>918</v>
      </c>
      <c r="H23" s="68"/>
      <c r="I23" s="68" t="s">
        <v>919</v>
      </c>
      <c r="J23" s="68" t="s">
        <v>917</v>
      </c>
      <c r="K23" s="68"/>
      <c r="L23" s="68" t="s">
        <v>893</v>
      </c>
      <c r="M23" s="68" t="str">
        <f t="shared" si="2"/>
        <v>***
&gt; [!4colonne]- [[Messaggi/2025/2025-03-25| ← Messaggio precedente]] | 02 aprile 2025 | [[Messaggi/2025/2025-04-25| Messaggio successivo → ]]</v>
      </c>
    </row>
    <row r="24" spans="1:13" x14ac:dyDescent="0.25">
      <c r="A24" s="68"/>
      <c r="B24" s="70">
        <v>45741</v>
      </c>
      <c r="C24" s="68" t="str">
        <f t="shared" si="0"/>
        <v>25</v>
      </c>
      <c r="D24" s="68" t="str">
        <f>IF(ISERROR(DAY(B24)),TEXT(MATCH(TRIM(SUBSTITUTE(SUBSTITUTE(SUBSTITUTE(SUBSTITUTE(SUBSTITUTE(SUBSTITUTE(SUBSTITUTE(SUBSTITUTE(SUBSTITUTE(SUBSTITUTE(SUBSTITUTE(B24,1,""),2,""),3,""),4,""),5,""),6,""),7,""),8,""),9,""),0,""),"-","")),{"gennaio","febbraio","marzo","aprile","maggio","giugno","luglio","agosto","settembre","ottobre","novembre","dicembre"},0),"00"),TEXT(MONTH(B24)*29,"mm"))</f>
        <v>03</v>
      </c>
      <c r="E24" s="68">
        <f t="shared" si="1"/>
        <v>2025</v>
      </c>
      <c r="G24" s="68" t="s">
        <v>918</v>
      </c>
      <c r="H24" s="68"/>
      <c r="I24" s="68" t="s">
        <v>919</v>
      </c>
      <c r="J24" s="68" t="s">
        <v>917</v>
      </c>
      <c r="K24" s="68"/>
      <c r="L24" s="68" t="s">
        <v>893</v>
      </c>
      <c r="M24" s="68" t="str">
        <f t="shared" si="2"/>
        <v>***
&gt; [!4colonne]- [[Messaggi/2025/2025-03-18| ← Messaggio precedente]] | 25 marzo 2025 | [[Messaggi/2025/2025-04-02| Messaggio successivo → ]]</v>
      </c>
    </row>
    <row r="25" spans="1:13" x14ac:dyDescent="0.25">
      <c r="A25" s="68"/>
      <c r="B25" s="70">
        <v>45734</v>
      </c>
      <c r="C25" s="68" t="str">
        <f t="shared" si="0"/>
        <v>18</v>
      </c>
      <c r="D25" s="68" t="str">
        <f>IF(ISERROR(DAY(B25)),TEXT(MATCH(TRIM(SUBSTITUTE(SUBSTITUTE(SUBSTITUTE(SUBSTITUTE(SUBSTITUTE(SUBSTITUTE(SUBSTITUTE(SUBSTITUTE(SUBSTITUTE(SUBSTITUTE(SUBSTITUTE(B25,1,""),2,""),3,""),4,""),5,""),6,""),7,""),8,""),9,""),0,""),"-","")),{"gennaio","febbraio","marzo","aprile","maggio","giugno","luglio","agosto","settembre","ottobre","novembre","dicembre"},0),"00"),TEXT(MONTH(B25)*29,"mm"))</f>
        <v>03</v>
      </c>
      <c r="E25" s="68">
        <f t="shared" si="1"/>
        <v>2025</v>
      </c>
      <c r="G25" s="68" t="s">
        <v>918</v>
      </c>
      <c r="H25" s="68"/>
      <c r="I25" s="68" t="s">
        <v>919</v>
      </c>
      <c r="J25" s="68" t="s">
        <v>917</v>
      </c>
      <c r="K25" s="68"/>
      <c r="L25" s="68" t="s">
        <v>893</v>
      </c>
      <c r="M25" s="68" t="str">
        <f t="shared" si="2"/>
        <v>***
&gt; [!4colonne]- [[Messaggi/2025/2025-03-02| ← Messaggio precedente]] | 18 marzo 2025 | [[Messaggi/2025/2025-03-25| Messaggio successivo → ]]</v>
      </c>
    </row>
    <row r="26" spans="1:13" x14ac:dyDescent="0.25">
      <c r="A26" s="68"/>
      <c r="B26" s="70">
        <v>45718</v>
      </c>
      <c r="C26" s="68" t="str">
        <f t="shared" si="0"/>
        <v>02</v>
      </c>
      <c r="D26" s="68" t="str">
        <f>IF(ISERROR(DAY(B26)),TEXT(MATCH(TRIM(SUBSTITUTE(SUBSTITUTE(SUBSTITUTE(SUBSTITUTE(SUBSTITUTE(SUBSTITUTE(SUBSTITUTE(SUBSTITUTE(SUBSTITUTE(SUBSTITUTE(SUBSTITUTE(B26,1,""),2,""),3,""),4,""),5,""),6,""),7,""),8,""),9,""),0,""),"-","")),{"gennaio","febbraio","marzo","aprile","maggio","giugno","luglio","agosto","settembre","ottobre","novembre","dicembre"},0),"00"),TEXT(MONTH(B26)*29,"mm"))</f>
        <v>03</v>
      </c>
      <c r="E26" s="68">
        <f t="shared" si="1"/>
        <v>2025</v>
      </c>
      <c r="G26" s="68" t="s">
        <v>918</v>
      </c>
      <c r="H26" s="68"/>
      <c r="I26" s="68" t="s">
        <v>919</v>
      </c>
      <c r="J26" s="68" t="s">
        <v>917</v>
      </c>
      <c r="K26" s="68"/>
      <c r="L26" s="68" t="s">
        <v>893</v>
      </c>
      <c r="M26" s="68" t="str">
        <f t="shared" si="2"/>
        <v>***
&gt; [!4colonne]- [[Messaggi/2025/2025-02-25| ← Messaggio precedente]] | 02 marzo 2025 | [[Messaggi/2025/2025-03-18| Messaggio successivo → ]]</v>
      </c>
    </row>
    <row r="27" spans="1:13" x14ac:dyDescent="0.25">
      <c r="A27" s="68"/>
      <c r="B27" s="70">
        <v>45713</v>
      </c>
      <c r="C27" s="68" t="str">
        <f t="shared" si="0"/>
        <v>25</v>
      </c>
      <c r="D27" s="68" t="str">
        <f>IF(ISERROR(DAY(B27)),TEXT(MATCH(TRIM(SUBSTITUTE(SUBSTITUTE(SUBSTITUTE(SUBSTITUTE(SUBSTITUTE(SUBSTITUTE(SUBSTITUTE(SUBSTITUTE(SUBSTITUTE(SUBSTITUTE(SUBSTITUTE(B27,1,""),2,""),3,""),4,""),5,""),6,""),7,""),8,""),9,""),0,""),"-","")),{"gennaio","febbraio","marzo","aprile","maggio","giugno","luglio","agosto","settembre","ottobre","novembre","dicembre"},0),"00"),TEXT(MONTH(B27)*29,"mm"))</f>
        <v>02</v>
      </c>
      <c r="E27" s="68">
        <f t="shared" si="1"/>
        <v>2025</v>
      </c>
      <c r="G27" s="68" t="s">
        <v>918</v>
      </c>
      <c r="H27" s="68"/>
      <c r="I27" s="68" t="s">
        <v>919</v>
      </c>
      <c r="J27" s="68" t="s">
        <v>917</v>
      </c>
      <c r="K27" s="68"/>
      <c r="L27" s="68" t="s">
        <v>893</v>
      </c>
      <c r="M27" s="68" t="str">
        <f t="shared" si="2"/>
        <v>***
&gt; [!4colonne]- [[Messaggi/2025/2025-02-02| ← Messaggio precedente]] | 25 febbraio 2025 | [[Messaggi/2025/2025-03-02| Messaggio successivo → ]]</v>
      </c>
    </row>
    <row r="28" spans="1:13" x14ac:dyDescent="0.25">
      <c r="A28" s="68"/>
      <c r="B28" s="70">
        <v>45690</v>
      </c>
      <c r="C28" s="68" t="str">
        <f t="shared" si="0"/>
        <v>02</v>
      </c>
      <c r="D28" s="68" t="str">
        <f>IF(ISERROR(DAY(B28)),TEXT(MATCH(TRIM(SUBSTITUTE(SUBSTITUTE(SUBSTITUTE(SUBSTITUTE(SUBSTITUTE(SUBSTITUTE(SUBSTITUTE(SUBSTITUTE(SUBSTITUTE(SUBSTITUTE(SUBSTITUTE(B28,1,""),2,""),3,""),4,""),5,""),6,""),7,""),8,""),9,""),0,""),"-","")),{"gennaio","febbraio","marzo","aprile","maggio","giugno","luglio","agosto","settembre","ottobre","novembre","dicembre"},0),"00"),TEXT(MONTH(B28)*29,"mm"))</f>
        <v>02</v>
      </c>
      <c r="E28" s="68">
        <f t="shared" si="1"/>
        <v>2025</v>
      </c>
      <c r="G28" s="68" t="s">
        <v>918</v>
      </c>
      <c r="H28" s="68"/>
      <c r="I28" s="68" t="s">
        <v>919</v>
      </c>
      <c r="J28" s="68" t="s">
        <v>917</v>
      </c>
      <c r="K28" s="68"/>
      <c r="L28" s="68" t="s">
        <v>893</v>
      </c>
      <c r="M28" s="68" t="str">
        <f t="shared" si="2"/>
        <v>***
&gt; [!4colonne]- [[Messaggi/2025/2025-01-25| ← Messaggio precedente]] | 02 febbraio 2025 | [[Messaggi/2025/2025-02-25| Messaggio successivo → ]]</v>
      </c>
    </row>
    <row r="29" spans="1:13" x14ac:dyDescent="0.25">
      <c r="A29" s="68"/>
      <c r="B29" s="70">
        <v>45682</v>
      </c>
      <c r="C29" s="68" t="str">
        <f t="shared" si="0"/>
        <v>25</v>
      </c>
      <c r="D29" s="68" t="str">
        <f>IF(ISERROR(DAY(B29)),TEXT(MATCH(TRIM(SUBSTITUTE(SUBSTITUTE(SUBSTITUTE(SUBSTITUTE(SUBSTITUTE(SUBSTITUTE(SUBSTITUTE(SUBSTITUTE(SUBSTITUTE(SUBSTITUTE(SUBSTITUTE(B29,1,""),2,""),3,""),4,""),5,""),6,""),7,""),8,""),9,""),0,""),"-","")),{"gennaio","febbraio","marzo","aprile","maggio","giugno","luglio","agosto","settembre","ottobre","novembre","dicembre"},0),"00"),TEXT(MONTH(B29)*29,"mm"))</f>
        <v>01</v>
      </c>
      <c r="E29" s="68">
        <f t="shared" si="1"/>
        <v>2025</v>
      </c>
      <c r="G29" s="68" t="s">
        <v>918</v>
      </c>
      <c r="H29" s="68"/>
      <c r="I29" s="68" t="s">
        <v>919</v>
      </c>
      <c r="J29" s="68" t="s">
        <v>917</v>
      </c>
      <c r="K29" s="68"/>
      <c r="L29" s="68" t="s">
        <v>893</v>
      </c>
      <c r="M29" s="68" t="str">
        <f t="shared" si="2"/>
        <v>***
&gt; [!4colonne]- [[Messaggi/2025/2025-01-02| ← Messaggio precedente]] | 25 gennaio 2025 | [[Messaggi/2025/2025-02-02| Messaggio successivo → ]]</v>
      </c>
    </row>
    <row r="30" spans="1:13" s="37" customFormat="1" x14ac:dyDescent="0.25">
      <c r="A30" s="69"/>
      <c r="B30" s="71">
        <v>45659</v>
      </c>
      <c r="C30" s="69" t="str">
        <f t="shared" ref="C17:C45" si="3">TEXT(DAY(B30),"gg")</f>
        <v>02</v>
      </c>
      <c r="D30" s="69" t="str">
        <f>IF(ISERROR(DAY(B30)),TEXT(MATCH(TRIM(SUBSTITUTE(SUBSTITUTE(SUBSTITUTE(SUBSTITUTE(SUBSTITUTE(SUBSTITUTE(SUBSTITUTE(SUBSTITUTE(SUBSTITUTE(SUBSTITUTE(SUBSTITUTE(B30,1,""),2,""),3,""),4,""),5,""),6,""),7,""),8,""),9,""),0,""),"-","")),{"gennaio","febbraio","marzo","aprile","maggio","giugno","luglio","agosto","settembre","ottobre","novembre","dicembre"},0),"00"),TEXT(MONTH(B30)*29,"mm"))</f>
        <v>01</v>
      </c>
      <c r="E30" s="69">
        <f t="shared" ref="E17:E54" si="4">YEAR(B30)</f>
        <v>2025</v>
      </c>
      <c r="F30" s="66"/>
      <c r="G30" s="69" t="s">
        <v>918</v>
      </c>
      <c r="H30" s="69"/>
      <c r="I30" s="69" t="s">
        <v>919</v>
      </c>
      <c r="J30" s="69" t="s">
        <v>917</v>
      </c>
      <c r="K30" s="69"/>
      <c r="L30" s="69" t="s">
        <v>893</v>
      </c>
      <c r="M30" s="69" t="str">
        <f t="shared" si="2"/>
        <v>***
&gt; [!4colonne]- [[Messaggi/2024/2024-12-25| ← Messaggio precedente]] | 02 gennaio 2025 | [[Messaggi/2025/2025-01-25| Messaggio successivo → ]]</v>
      </c>
    </row>
    <row r="31" spans="1:13" x14ac:dyDescent="0.25">
      <c r="A31" s="68"/>
      <c r="B31" s="70">
        <v>45651</v>
      </c>
      <c r="C31" s="68" t="str">
        <f t="shared" si="3"/>
        <v>25</v>
      </c>
      <c r="D31" s="68" t="str">
        <f>IF(ISERROR(DAY(B31)),TEXT(MATCH(TRIM(SUBSTITUTE(SUBSTITUTE(SUBSTITUTE(SUBSTITUTE(SUBSTITUTE(SUBSTITUTE(SUBSTITUTE(SUBSTITUTE(SUBSTITUTE(SUBSTITUTE(SUBSTITUTE(B31,1,""),2,""),3,""),4,""),5,""),6,""),7,""),8,""),9,""),0,""),"-","")),{"gennaio","febbraio","marzo","aprile","maggio","giugno","luglio","agosto","settembre","ottobre","novembre","dicembre"},0),"00"),TEXT(MONTH(B31)*29,"mm"))</f>
        <v>12</v>
      </c>
      <c r="E31" s="68">
        <f t="shared" si="4"/>
        <v>2024</v>
      </c>
      <c r="G31" s="68" t="s">
        <v>918</v>
      </c>
      <c r="H31" s="68"/>
      <c r="I31" s="68" t="s">
        <v>919</v>
      </c>
      <c r="J31" s="68" t="s">
        <v>917</v>
      </c>
      <c r="K31" s="68"/>
      <c r="L31" s="68" t="s">
        <v>893</v>
      </c>
      <c r="M31" s="68" t="str">
        <f t="shared" ref="M31:M80" si="5">_xlfn.CONCAT("***
&gt;",G31,E32,"/",E32,"-",D32,"-",C32,H31,I31," | ",TEXT(B31,"gg mmmm aaaa"),J31,E30,"/",E30,"-",D30,"-",C30,K31,L31)</f>
        <v>***
&gt; [!4colonne]- [[Messaggi/2024/2024-12-25| ← Messaggio precedente]] | 25 dicembre 2024 | [[Messaggi/2025/2025-01-02| Messaggio successivo → ]]</v>
      </c>
    </row>
    <row r="32" spans="1:13" x14ac:dyDescent="0.25">
      <c r="A32" s="68"/>
      <c r="B32" s="70">
        <v>45651</v>
      </c>
      <c r="C32" s="68" t="str">
        <f t="shared" si="3"/>
        <v>25</v>
      </c>
      <c r="D32" s="68" t="str">
        <f>IF(ISERROR(DAY(B32)),TEXT(MATCH(TRIM(SUBSTITUTE(SUBSTITUTE(SUBSTITUTE(SUBSTITUTE(SUBSTITUTE(SUBSTITUTE(SUBSTITUTE(SUBSTITUTE(SUBSTITUTE(SUBSTITUTE(SUBSTITUTE(B32,1,""),2,""),3,""),4,""),5,""),6,""),7,""),8,""),9,""),0,""),"-","")),{"gennaio","febbraio","marzo","aprile","maggio","giugno","luglio","agosto","settembre","ottobre","novembre","dicembre"},0),"00"),TEXT(MONTH(B32)*29,"mm"))</f>
        <v>12</v>
      </c>
      <c r="E32" s="68">
        <f t="shared" si="4"/>
        <v>2024</v>
      </c>
      <c r="G32" s="68" t="s">
        <v>918</v>
      </c>
      <c r="H32" s="68"/>
      <c r="I32" s="68" t="s">
        <v>919</v>
      </c>
      <c r="J32" s="68" t="s">
        <v>917</v>
      </c>
      <c r="K32" s="68"/>
      <c r="L32" s="68" t="s">
        <v>893</v>
      </c>
      <c r="M32" s="68" t="str">
        <f t="shared" si="5"/>
        <v>***
&gt; [!4colonne]- [[Messaggi/2024/2024-11-25| ← Messaggio precedente]] | 25 dicembre 2024 | [[Messaggi/2024/2024-12-25| Messaggio successivo → ]]</v>
      </c>
    </row>
    <row r="33" spans="1:13" x14ac:dyDescent="0.25">
      <c r="A33" s="68"/>
      <c r="B33" s="70">
        <v>45621</v>
      </c>
      <c r="C33" s="68" t="str">
        <f t="shared" si="3"/>
        <v>25</v>
      </c>
      <c r="D33" s="68" t="str">
        <f>IF(ISERROR(DAY(B33)),TEXT(MATCH(TRIM(SUBSTITUTE(SUBSTITUTE(SUBSTITUTE(SUBSTITUTE(SUBSTITUTE(SUBSTITUTE(SUBSTITUTE(SUBSTITUTE(SUBSTITUTE(SUBSTITUTE(SUBSTITUTE(B33,1,""),2,""),3,""),4,""),5,""),6,""),7,""),8,""),9,""),0,""),"-","")),{"gennaio","febbraio","marzo","aprile","maggio","giugno","luglio","agosto","settembre","ottobre","novembre","dicembre"},0),"00"),TEXT(MONTH(B33)*29,"mm"))</f>
        <v>11</v>
      </c>
      <c r="E33" s="68">
        <f t="shared" si="4"/>
        <v>2024</v>
      </c>
      <c r="G33" s="68" t="s">
        <v>918</v>
      </c>
      <c r="H33" s="68"/>
      <c r="I33" s="68" t="s">
        <v>919</v>
      </c>
      <c r="J33" s="68" t="s">
        <v>917</v>
      </c>
      <c r="K33" s="68"/>
      <c r="L33" s="68" t="s">
        <v>893</v>
      </c>
      <c r="M33" s="68" t="str">
        <f t="shared" si="5"/>
        <v>***
&gt; [!4colonne]- [[Messaggi/2024/2024-10-25| ← Messaggio precedente]] | 25 novembre 2024 | [[Messaggi/2024/2024-12-25| Messaggio successivo → ]]</v>
      </c>
    </row>
    <row r="34" spans="1:13" x14ac:dyDescent="0.25">
      <c r="A34" s="68"/>
      <c r="B34" s="70">
        <v>45590</v>
      </c>
      <c r="C34" s="68" t="str">
        <f t="shared" si="3"/>
        <v>25</v>
      </c>
      <c r="D34" s="68" t="str">
        <f>IF(ISERROR(DAY(B34)),TEXT(MATCH(TRIM(SUBSTITUTE(SUBSTITUTE(SUBSTITUTE(SUBSTITUTE(SUBSTITUTE(SUBSTITUTE(SUBSTITUTE(SUBSTITUTE(SUBSTITUTE(SUBSTITUTE(SUBSTITUTE(B34,1,""),2,""),3,""),4,""),5,""),6,""),7,""),8,""),9,""),0,""),"-","")),{"gennaio","febbraio","marzo","aprile","maggio","giugno","luglio","agosto","settembre","ottobre","novembre","dicembre"},0),"00"),TEXT(MONTH(B34)*29,"mm"))</f>
        <v>10</v>
      </c>
      <c r="E34" s="68">
        <f t="shared" si="4"/>
        <v>2024</v>
      </c>
      <c r="G34" s="68" t="s">
        <v>918</v>
      </c>
      <c r="H34" s="68"/>
      <c r="I34" s="68" t="s">
        <v>919</v>
      </c>
      <c r="J34" s="68" t="s">
        <v>917</v>
      </c>
      <c r="K34" s="68"/>
      <c r="L34" s="68" t="s">
        <v>893</v>
      </c>
      <c r="M34" s="68" t="str">
        <f t="shared" si="5"/>
        <v>***
&gt; [!4colonne]- [[Messaggi/2024/2024-09-25| ← Messaggio precedente]] | 25 ottobre 2024 | [[Messaggi/2024/2024-11-25| Messaggio successivo → ]]</v>
      </c>
    </row>
    <row r="35" spans="1:13" x14ac:dyDescent="0.25">
      <c r="A35" s="68"/>
      <c r="B35" s="70">
        <v>45560</v>
      </c>
      <c r="C35" s="68" t="str">
        <f t="shared" si="3"/>
        <v>25</v>
      </c>
      <c r="D35" s="68" t="str">
        <f>IF(ISERROR(DAY(B35)),TEXT(MATCH(TRIM(SUBSTITUTE(SUBSTITUTE(SUBSTITUTE(SUBSTITUTE(SUBSTITUTE(SUBSTITUTE(SUBSTITUTE(SUBSTITUTE(SUBSTITUTE(SUBSTITUTE(SUBSTITUTE(B35,1,""),2,""),3,""),4,""),5,""),6,""),7,""),8,""),9,""),0,""),"-","")),{"gennaio","febbraio","marzo","aprile","maggio","giugno","luglio","agosto","settembre","ottobre","novembre","dicembre"},0),"00"),TEXT(MONTH(B35)*29,"mm"))</f>
        <v>09</v>
      </c>
      <c r="E35" s="68">
        <f t="shared" si="4"/>
        <v>2024</v>
      </c>
      <c r="G35" s="68" t="s">
        <v>918</v>
      </c>
      <c r="H35" s="68"/>
      <c r="I35" s="68" t="s">
        <v>919</v>
      </c>
      <c r="J35" s="68" t="s">
        <v>917</v>
      </c>
      <c r="K35" s="68"/>
      <c r="L35" s="68" t="s">
        <v>893</v>
      </c>
      <c r="M35" s="68" t="str">
        <f t="shared" si="5"/>
        <v>***
&gt; [!4colonne]- [[Messaggi/2024/2024-08-25| ← Messaggio precedente]] | 25 settembre 2024 | [[Messaggi/2024/2024-10-25| Messaggio successivo → ]]</v>
      </c>
    </row>
    <row r="36" spans="1:13" x14ac:dyDescent="0.25">
      <c r="A36" s="68"/>
      <c r="B36" s="70">
        <v>45529</v>
      </c>
      <c r="C36" s="68" t="str">
        <f t="shared" si="3"/>
        <v>25</v>
      </c>
      <c r="D36" s="68" t="str">
        <f>IF(ISERROR(DAY(B36)),TEXT(MATCH(TRIM(SUBSTITUTE(SUBSTITUTE(SUBSTITUTE(SUBSTITUTE(SUBSTITUTE(SUBSTITUTE(SUBSTITUTE(SUBSTITUTE(SUBSTITUTE(SUBSTITUTE(SUBSTITUTE(B36,1,""),2,""),3,""),4,""),5,""),6,""),7,""),8,""),9,""),0,""),"-","")),{"gennaio","febbraio","marzo","aprile","maggio","giugno","luglio","agosto","settembre","ottobre","novembre","dicembre"},0),"00"),TEXT(MONTH(B36)*29,"mm"))</f>
        <v>08</v>
      </c>
      <c r="E36" s="68">
        <f t="shared" si="4"/>
        <v>2024</v>
      </c>
      <c r="G36" s="68" t="s">
        <v>918</v>
      </c>
      <c r="H36" s="68"/>
      <c r="I36" s="68" t="s">
        <v>919</v>
      </c>
      <c r="J36" s="68" t="s">
        <v>917</v>
      </c>
      <c r="K36" s="68"/>
      <c r="L36" s="68" t="s">
        <v>893</v>
      </c>
      <c r="M36" s="68" t="str">
        <f t="shared" si="5"/>
        <v>***
&gt; [!4colonne]- [[Messaggi/2024/2024-07-25| ← Messaggio precedente]] | 25 agosto 2024 | [[Messaggi/2024/2024-09-25| Messaggio successivo → ]]</v>
      </c>
    </row>
    <row r="37" spans="1:13" x14ac:dyDescent="0.25">
      <c r="A37" s="68"/>
      <c r="B37" s="70">
        <v>45498</v>
      </c>
      <c r="C37" s="68" t="str">
        <f t="shared" si="3"/>
        <v>25</v>
      </c>
      <c r="D37" s="68" t="str">
        <f>IF(ISERROR(DAY(B37)),TEXT(MATCH(TRIM(SUBSTITUTE(SUBSTITUTE(SUBSTITUTE(SUBSTITUTE(SUBSTITUTE(SUBSTITUTE(SUBSTITUTE(SUBSTITUTE(SUBSTITUTE(SUBSTITUTE(SUBSTITUTE(B37,1,""),2,""),3,""),4,""),5,""),6,""),7,""),8,""),9,""),0,""),"-","")),{"gennaio","febbraio","marzo","aprile","maggio","giugno","luglio","agosto","settembre","ottobre","novembre","dicembre"},0),"00"),TEXT(MONTH(B37)*29,"mm"))</f>
        <v>07</v>
      </c>
      <c r="E37" s="68">
        <f t="shared" si="4"/>
        <v>2024</v>
      </c>
      <c r="G37" s="68" t="s">
        <v>918</v>
      </c>
      <c r="H37" s="68"/>
      <c r="I37" s="68" t="s">
        <v>919</v>
      </c>
      <c r="J37" s="68" t="s">
        <v>917</v>
      </c>
      <c r="K37" s="68"/>
      <c r="L37" s="68" t="s">
        <v>893</v>
      </c>
      <c r="M37" s="68" t="str">
        <f t="shared" si="5"/>
        <v>***
&gt; [!4colonne]- [[Messaggi/2024/2024-06-25| ← Messaggio precedente]] | 25 luglio 2024 | [[Messaggi/2024/2024-08-25| Messaggio successivo → ]]</v>
      </c>
    </row>
    <row r="38" spans="1:13" x14ac:dyDescent="0.25">
      <c r="A38" s="68"/>
      <c r="B38" s="70">
        <v>45468</v>
      </c>
      <c r="C38" s="68" t="str">
        <f t="shared" si="3"/>
        <v>25</v>
      </c>
      <c r="D38" s="68" t="str">
        <f>IF(ISERROR(DAY(B38)),TEXT(MATCH(TRIM(SUBSTITUTE(SUBSTITUTE(SUBSTITUTE(SUBSTITUTE(SUBSTITUTE(SUBSTITUTE(SUBSTITUTE(SUBSTITUTE(SUBSTITUTE(SUBSTITUTE(SUBSTITUTE(B38,1,""),2,""),3,""),4,""),5,""),6,""),7,""),8,""),9,""),0,""),"-","")),{"gennaio","febbraio","marzo","aprile","maggio","giugno","luglio","agosto","settembre","ottobre","novembre","dicembre"},0),"00"),TEXT(MONTH(B38)*29,"mm"))</f>
        <v>06</v>
      </c>
      <c r="E38" s="68">
        <f t="shared" si="4"/>
        <v>2024</v>
      </c>
      <c r="G38" s="68" t="s">
        <v>918</v>
      </c>
      <c r="H38" s="68"/>
      <c r="I38" s="68" t="s">
        <v>919</v>
      </c>
      <c r="J38" s="68" t="s">
        <v>917</v>
      </c>
      <c r="K38" s="68"/>
      <c r="L38" s="68" t="s">
        <v>893</v>
      </c>
      <c r="M38" s="68" t="str">
        <f t="shared" si="5"/>
        <v>***
&gt; [!4colonne]- [[Messaggi/2024/2024-06-25| ← Messaggio precedente]] | 25 giugno 2024 | [[Messaggi/2024/2024-07-25| Messaggio successivo → ]]</v>
      </c>
    </row>
    <row r="39" spans="1:13" x14ac:dyDescent="0.25">
      <c r="A39" s="68"/>
      <c r="B39" s="70">
        <v>45468</v>
      </c>
      <c r="C39" s="68" t="str">
        <f t="shared" si="3"/>
        <v>25</v>
      </c>
      <c r="D39" s="68" t="str">
        <f>IF(ISERROR(DAY(B39)),TEXT(MATCH(TRIM(SUBSTITUTE(SUBSTITUTE(SUBSTITUTE(SUBSTITUTE(SUBSTITUTE(SUBSTITUTE(SUBSTITUTE(SUBSTITUTE(SUBSTITUTE(SUBSTITUTE(SUBSTITUTE(B39,1,""),2,""),3,""),4,""),5,""),6,""),7,""),8,""),9,""),0,""),"-","")),{"gennaio","febbraio","marzo","aprile","maggio","giugno","luglio","agosto","settembre","ottobre","novembre","dicembre"},0),"00"),TEXT(MONTH(B39)*29,"mm"))</f>
        <v>06</v>
      </c>
      <c r="E39" s="68">
        <f t="shared" si="4"/>
        <v>2024</v>
      </c>
      <c r="G39" s="68" t="s">
        <v>918</v>
      </c>
      <c r="H39" s="68"/>
      <c r="I39" s="68" t="s">
        <v>919</v>
      </c>
      <c r="J39" s="68" t="s">
        <v>917</v>
      </c>
      <c r="K39" s="68"/>
      <c r="L39" s="68" t="s">
        <v>893</v>
      </c>
      <c r="M39" s="68" t="str">
        <f t="shared" si="5"/>
        <v>***
&gt; [!4colonne]- [[Messaggi/2024/2024-05-25| ← Messaggio precedente]] | 25 giugno 2024 | [[Messaggi/2024/2024-06-25| Messaggio successivo → ]]</v>
      </c>
    </row>
    <row r="40" spans="1:13" x14ac:dyDescent="0.25">
      <c r="A40" s="68"/>
      <c r="B40" s="70">
        <v>45437</v>
      </c>
      <c r="C40" s="68" t="str">
        <f t="shared" si="3"/>
        <v>25</v>
      </c>
      <c r="D40" s="68" t="str">
        <f>IF(ISERROR(DAY(B40)),TEXT(MATCH(TRIM(SUBSTITUTE(SUBSTITUTE(SUBSTITUTE(SUBSTITUTE(SUBSTITUTE(SUBSTITUTE(SUBSTITUTE(SUBSTITUTE(SUBSTITUTE(SUBSTITUTE(SUBSTITUTE(B40,1,""),2,""),3,""),4,""),5,""),6,""),7,""),8,""),9,""),0,""),"-","")),{"gennaio","febbraio","marzo","aprile","maggio","giugno","luglio","agosto","settembre","ottobre","novembre","dicembre"},0),"00"),TEXT(MONTH(B40)*29,"mm"))</f>
        <v>05</v>
      </c>
      <c r="E40" s="68">
        <f t="shared" si="4"/>
        <v>2024</v>
      </c>
      <c r="G40" s="68" t="s">
        <v>918</v>
      </c>
      <c r="H40" s="68"/>
      <c r="I40" s="68" t="s">
        <v>919</v>
      </c>
      <c r="J40" s="68" t="s">
        <v>917</v>
      </c>
      <c r="K40" s="68"/>
      <c r="L40" s="68" t="s">
        <v>893</v>
      </c>
      <c r="M40" s="68" t="str">
        <f t="shared" si="5"/>
        <v>***
&gt; [!4colonne]- [[Messaggi/2024/2024-04-25| ← Messaggio precedente]] | 25 maggio 2024 | [[Messaggi/2024/2024-06-25| Messaggio successivo → ]]</v>
      </c>
    </row>
    <row r="41" spans="1:13" x14ac:dyDescent="0.25">
      <c r="A41" s="68"/>
      <c r="B41" s="70">
        <v>45407</v>
      </c>
      <c r="C41" s="68" t="str">
        <f t="shared" si="3"/>
        <v>25</v>
      </c>
      <c r="D41" s="68" t="str">
        <f>IF(ISERROR(DAY(B41)),TEXT(MATCH(TRIM(SUBSTITUTE(SUBSTITUTE(SUBSTITUTE(SUBSTITUTE(SUBSTITUTE(SUBSTITUTE(SUBSTITUTE(SUBSTITUTE(SUBSTITUTE(SUBSTITUTE(SUBSTITUTE(B41,1,""),2,""),3,""),4,""),5,""),6,""),7,""),8,""),9,""),0,""),"-","")),{"gennaio","febbraio","marzo","aprile","maggio","giugno","luglio","agosto","settembre","ottobre","novembre","dicembre"},0),"00"),TEXT(MONTH(B41)*29,"mm"))</f>
        <v>04</v>
      </c>
      <c r="E41" s="68">
        <f t="shared" si="4"/>
        <v>2024</v>
      </c>
      <c r="G41" s="68" t="s">
        <v>918</v>
      </c>
      <c r="H41" s="68"/>
      <c r="I41" s="68" t="s">
        <v>919</v>
      </c>
      <c r="J41" s="68" t="s">
        <v>917</v>
      </c>
      <c r="K41" s="68"/>
      <c r="L41" s="68" t="s">
        <v>893</v>
      </c>
      <c r="M41" s="68" t="str">
        <f t="shared" si="5"/>
        <v>***
&gt; [!4colonne]- [[Messaggi/2024/2024-03-25| ← Messaggio precedente]] | 25 aprile 2024 | [[Messaggi/2024/2024-05-25| Messaggio successivo → ]]</v>
      </c>
    </row>
    <row r="42" spans="1:13" x14ac:dyDescent="0.25">
      <c r="A42" s="68"/>
      <c r="B42" s="70">
        <v>45376</v>
      </c>
      <c r="C42" s="68" t="str">
        <f t="shared" si="3"/>
        <v>25</v>
      </c>
      <c r="D42" s="68" t="str">
        <f>IF(ISERROR(DAY(B42)),TEXT(MATCH(TRIM(SUBSTITUTE(SUBSTITUTE(SUBSTITUTE(SUBSTITUTE(SUBSTITUTE(SUBSTITUTE(SUBSTITUTE(SUBSTITUTE(SUBSTITUTE(SUBSTITUTE(SUBSTITUTE(B42,1,""),2,""),3,""),4,""),5,""),6,""),7,""),8,""),9,""),0,""),"-","")),{"gennaio","febbraio","marzo","aprile","maggio","giugno","luglio","agosto","settembre","ottobre","novembre","dicembre"},0),"00"),TEXT(MONTH(B42)*29,"mm"))</f>
        <v>03</v>
      </c>
      <c r="E42" s="68">
        <f t="shared" si="4"/>
        <v>2024</v>
      </c>
      <c r="G42" s="68" t="s">
        <v>918</v>
      </c>
      <c r="H42" s="68"/>
      <c r="I42" s="68" t="s">
        <v>919</v>
      </c>
      <c r="J42" s="68" t="s">
        <v>917</v>
      </c>
      <c r="K42" s="68"/>
      <c r="L42" s="68" t="s">
        <v>893</v>
      </c>
      <c r="M42" s="68" t="str">
        <f t="shared" si="5"/>
        <v>***
&gt; [!4colonne]- [[Messaggi/2024/2024-03-18| ← Messaggio precedente]] | 25 marzo 2024 | [[Messaggi/2024/2024-04-25| Messaggio successivo → ]]</v>
      </c>
    </row>
    <row r="43" spans="1:13" x14ac:dyDescent="0.25">
      <c r="A43" s="68"/>
      <c r="B43" s="70">
        <v>45369</v>
      </c>
      <c r="C43" s="68" t="str">
        <f t="shared" si="3"/>
        <v>18</v>
      </c>
      <c r="D43" s="68" t="str">
        <f>IF(ISERROR(DAY(B43)),TEXT(MATCH(TRIM(SUBSTITUTE(SUBSTITUTE(SUBSTITUTE(SUBSTITUTE(SUBSTITUTE(SUBSTITUTE(SUBSTITUTE(SUBSTITUTE(SUBSTITUTE(SUBSTITUTE(SUBSTITUTE(B43,1,""),2,""),3,""),4,""),5,""),6,""),7,""),8,""),9,""),0,""),"-","")),{"gennaio","febbraio","marzo","aprile","maggio","giugno","luglio","agosto","settembre","ottobre","novembre","dicembre"},0),"00"),TEXT(MONTH(B43)*29,"mm"))</f>
        <v>03</v>
      </c>
      <c r="E43" s="68">
        <f t="shared" si="4"/>
        <v>2024</v>
      </c>
      <c r="G43" s="68" t="s">
        <v>918</v>
      </c>
      <c r="H43" s="68"/>
      <c r="I43" s="68" t="s">
        <v>919</v>
      </c>
      <c r="J43" s="68" t="s">
        <v>917</v>
      </c>
      <c r="K43" s="68"/>
      <c r="L43" s="68" t="s">
        <v>893</v>
      </c>
      <c r="M43" s="68" t="str">
        <f t="shared" si="5"/>
        <v>***
&gt; [!4colonne]- [[Messaggi/2024/2024-02-25| ← Messaggio precedente]] | 18 marzo 2024 | [[Messaggi/2024/2024-03-25| Messaggio successivo → ]]</v>
      </c>
    </row>
    <row r="44" spans="1:13" x14ac:dyDescent="0.25">
      <c r="A44" s="68"/>
      <c r="B44" s="70">
        <v>45347</v>
      </c>
      <c r="C44" s="68" t="str">
        <f t="shared" si="3"/>
        <v>25</v>
      </c>
      <c r="D44" s="68" t="str">
        <f>IF(ISERROR(DAY(B44)),TEXT(MATCH(TRIM(SUBSTITUTE(SUBSTITUTE(SUBSTITUTE(SUBSTITUTE(SUBSTITUTE(SUBSTITUTE(SUBSTITUTE(SUBSTITUTE(SUBSTITUTE(SUBSTITUTE(SUBSTITUTE(B44,1,""),2,""),3,""),4,""),5,""),6,""),7,""),8,""),9,""),0,""),"-","")),{"gennaio","febbraio","marzo","aprile","maggio","giugno","luglio","agosto","settembre","ottobre","novembre","dicembre"},0),"00"),TEXT(MONTH(B44)*29,"mm"))</f>
        <v>02</v>
      </c>
      <c r="E44" s="68">
        <f t="shared" si="4"/>
        <v>2024</v>
      </c>
      <c r="G44" s="68" t="s">
        <v>918</v>
      </c>
      <c r="H44" s="68"/>
      <c r="I44" s="68" t="s">
        <v>919</v>
      </c>
      <c r="J44" s="68" t="s">
        <v>917</v>
      </c>
      <c r="K44" s="68"/>
      <c r="L44" s="68" t="s">
        <v>893</v>
      </c>
      <c r="M44" s="68" t="str">
        <f t="shared" si="5"/>
        <v>***
&gt; [!4colonne]- [[Messaggi/2024/2024-01-25| ← Messaggio precedente]] | 25 febbraio 2024 | [[Messaggi/2024/2024-03-18| Messaggio successivo → ]]</v>
      </c>
    </row>
    <row r="45" spans="1:13" x14ac:dyDescent="0.25">
      <c r="A45" s="68"/>
      <c r="B45" s="70">
        <v>45316</v>
      </c>
      <c r="C45" s="68" t="str">
        <f t="shared" si="3"/>
        <v>25</v>
      </c>
      <c r="D45" s="68" t="str">
        <f>IF(ISERROR(DAY(B45)),TEXT(MATCH(TRIM(SUBSTITUTE(SUBSTITUTE(SUBSTITUTE(SUBSTITUTE(SUBSTITUTE(SUBSTITUTE(SUBSTITUTE(SUBSTITUTE(SUBSTITUTE(SUBSTITUTE(SUBSTITUTE(B45,1,""),2,""),3,""),4,""),5,""),6,""),7,""),8,""),9,""),0,""),"-","")),{"gennaio","febbraio","marzo","aprile","maggio","giugno","luglio","agosto","settembre","ottobre","novembre","dicembre"},0),"00"),TEXT(MONTH(B45)*29,"mm"))</f>
        <v>01</v>
      </c>
      <c r="E45" s="68">
        <f t="shared" si="4"/>
        <v>2024</v>
      </c>
      <c r="G45" s="68" t="s">
        <v>918</v>
      </c>
      <c r="H45" s="68"/>
      <c r="I45" s="68" t="s">
        <v>919</v>
      </c>
      <c r="J45" s="68" t="s">
        <v>917</v>
      </c>
      <c r="K45" s="68"/>
      <c r="L45" s="68" t="s">
        <v>893</v>
      </c>
      <c r="M45" s="68" t="str">
        <f t="shared" si="5"/>
        <v>***
&gt; [!4colonne]- [[Messaggi/2024/2024-01-01| ← Messaggio precedente]] | 25 gennaio 2024 | [[Messaggi/2024/2024-02-25| Messaggio successivo → ]]</v>
      </c>
    </row>
    <row r="46" spans="1:13" s="37" customFormat="1" x14ac:dyDescent="0.25">
      <c r="A46" s="69"/>
      <c r="B46" s="71">
        <v>45292</v>
      </c>
      <c r="C46" s="69" t="str">
        <f>TEXT(DAY(B46),"gg")</f>
        <v>01</v>
      </c>
      <c r="D46" s="69" t="str">
        <f>IF(ISERROR(DAY(B46)),TEXT(MATCH(TRIM(SUBSTITUTE(SUBSTITUTE(SUBSTITUTE(SUBSTITUTE(SUBSTITUTE(SUBSTITUTE(SUBSTITUTE(SUBSTITUTE(SUBSTITUTE(SUBSTITUTE(SUBSTITUTE(B46,1,""),2,""),3,""),4,""),5,""),6,""),7,""),8,""),9,""),0,""),"-","")),{"gennaio","febbraio","marzo","aprile","maggio","giugno","luglio","agosto","settembre","ottobre","novembre","dicembre"},0),"00"),TEXT(MONTH(B46)*29,"mm"))</f>
        <v>01</v>
      </c>
      <c r="E46" s="69">
        <f t="shared" si="4"/>
        <v>2024</v>
      </c>
      <c r="F46" s="66"/>
      <c r="G46" s="69" t="s">
        <v>918</v>
      </c>
      <c r="H46" s="69"/>
      <c r="I46" s="69" t="s">
        <v>919</v>
      </c>
      <c r="J46" s="69" t="s">
        <v>917</v>
      </c>
      <c r="K46" s="69"/>
      <c r="L46" s="69" t="s">
        <v>893</v>
      </c>
      <c r="M46" s="69" t="str">
        <f t="shared" si="5"/>
        <v>***
&gt; [!4colonne]- [[Messaggi/2023/2023-12-25| ← Messaggio precedente]] | 01 gennaio 2024 | [[Messaggi/2024/2024-01-25| Messaggio successivo → ]]</v>
      </c>
    </row>
    <row r="47" spans="1:13" x14ac:dyDescent="0.25">
      <c r="A47" s="68"/>
      <c r="B47" s="70">
        <v>45285</v>
      </c>
      <c r="C47" s="68" t="str">
        <f t="shared" ref="C47:C121" si="6">TEXT(DAY(B47),"gg")</f>
        <v>25</v>
      </c>
      <c r="D47" s="68" t="str">
        <f>IF(ISERROR(DAY(B47)),TEXT(MATCH(TRIM(SUBSTITUTE(SUBSTITUTE(SUBSTITUTE(SUBSTITUTE(SUBSTITUTE(SUBSTITUTE(SUBSTITUTE(SUBSTITUTE(SUBSTITUTE(SUBSTITUTE(SUBSTITUTE(B47,1,""),2,""),3,""),4,""),5,""),6,""),7,""),8,""),9,""),0,""),"-","")),{"gennaio","febbraio","marzo","aprile","maggio","giugno","luglio","agosto","settembre","ottobre","novembre","dicembre"},0),"00"),TEXT(MONTH(B47)*29,"mm"))</f>
        <v>12</v>
      </c>
      <c r="E47" s="68">
        <f t="shared" si="4"/>
        <v>2023</v>
      </c>
      <c r="G47" s="68" t="s">
        <v>918</v>
      </c>
      <c r="H47" s="68"/>
      <c r="I47" s="68" t="s">
        <v>919</v>
      </c>
      <c r="J47" s="68" t="s">
        <v>917</v>
      </c>
      <c r="K47" s="68"/>
      <c r="L47" s="68" t="s">
        <v>893</v>
      </c>
      <c r="M47" s="68" t="str">
        <f t="shared" si="5"/>
        <v>***
&gt; [!4colonne]- [[Messaggi/2023/2023-12-25| ← Messaggio precedente]] | 25 dicembre 2023 | [[Messaggi/2024/2024-01-01| Messaggio successivo → ]]</v>
      </c>
    </row>
    <row r="48" spans="1:13" x14ac:dyDescent="0.25">
      <c r="A48" s="68"/>
      <c r="B48" s="70">
        <v>45285</v>
      </c>
      <c r="C48" s="68" t="str">
        <f t="shared" si="6"/>
        <v>25</v>
      </c>
      <c r="D48" s="68" t="str">
        <f>IF(ISERROR(DAY(B48)),TEXT(MATCH(TRIM(SUBSTITUTE(SUBSTITUTE(SUBSTITUTE(SUBSTITUTE(SUBSTITUTE(SUBSTITUTE(SUBSTITUTE(SUBSTITUTE(SUBSTITUTE(SUBSTITUTE(SUBSTITUTE(B48,1,""),2,""),3,""),4,""),5,""),6,""),7,""),8,""),9,""),0,""),"-","")),{"gennaio","febbraio","marzo","aprile","maggio","giugno","luglio","agosto","settembre","ottobre","novembre","dicembre"},0),"00"),TEXT(MONTH(B48)*29,"mm"))</f>
        <v>12</v>
      </c>
      <c r="E48" s="68">
        <f t="shared" si="4"/>
        <v>2023</v>
      </c>
      <c r="G48" s="68" t="s">
        <v>918</v>
      </c>
      <c r="H48" s="68"/>
      <c r="I48" s="68" t="s">
        <v>919</v>
      </c>
      <c r="J48" s="68" t="s">
        <v>917</v>
      </c>
      <c r="K48" s="68"/>
      <c r="L48" s="68" t="s">
        <v>893</v>
      </c>
      <c r="M48" s="68" t="str">
        <f t="shared" si="5"/>
        <v>***
&gt; [!4colonne]- [[Messaggi/2023/2023-11-25| ← Messaggio precedente]] | 25 dicembre 2023 | [[Messaggi/2023/2023-12-25| Messaggio successivo → ]]</v>
      </c>
    </row>
    <row r="49" spans="1:13" x14ac:dyDescent="0.25">
      <c r="A49" s="68"/>
      <c r="B49" s="70">
        <v>45255</v>
      </c>
      <c r="C49" s="68" t="str">
        <f t="shared" si="6"/>
        <v>25</v>
      </c>
      <c r="D49" s="68" t="str">
        <f>IF(ISERROR(DAY(B49)),TEXT(MATCH(TRIM(SUBSTITUTE(SUBSTITUTE(SUBSTITUTE(SUBSTITUTE(SUBSTITUTE(SUBSTITUTE(SUBSTITUTE(SUBSTITUTE(SUBSTITUTE(SUBSTITUTE(SUBSTITUTE(B49,1,""),2,""),3,""),4,""),5,""),6,""),7,""),8,""),9,""),0,""),"-","")),{"gennaio","febbraio","marzo","aprile","maggio","giugno","luglio","agosto","settembre","ottobre","novembre","dicembre"},0),"00"),TEXT(MONTH(B49)*29,"mm"))</f>
        <v>11</v>
      </c>
      <c r="E49" s="68">
        <f t="shared" si="4"/>
        <v>2023</v>
      </c>
      <c r="G49" s="68" t="s">
        <v>918</v>
      </c>
      <c r="H49" s="68"/>
      <c r="I49" s="68" t="s">
        <v>919</v>
      </c>
      <c r="J49" s="68" t="s">
        <v>917</v>
      </c>
      <c r="K49" s="68"/>
      <c r="L49" s="68" t="s">
        <v>893</v>
      </c>
      <c r="M49" s="68" t="str">
        <f t="shared" si="5"/>
        <v>***
&gt; [!4colonne]- [[Messaggi/2023/2023-10-25| ← Messaggio precedente]] | 25 novembre 2023 | [[Messaggi/2023/2023-12-25| Messaggio successivo → ]]</v>
      </c>
    </row>
    <row r="50" spans="1:13" x14ac:dyDescent="0.25">
      <c r="A50" s="68"/>
      <c r="B50" s="70">
        <v>45224</v>
      </c>
      <c r="C50" s="68" t="str">
        <f t="shared" si="6"/>
        <v>25</v>
      </c>
      <c r="D50" s="68" t="str">
        <f>IF(ISERROR(DAY(B50)),TEXT(MATCH(TRIM(SUBSTITUTE(SUBSTITUTE(SUBSTITUTE(SUBSTITUTE(SUBSTITUTE(SUBSTITUTE(SUBSTITUTE(SUBSTITUTE(SUBSTITUTE(SUBSTITUTE(SUBSTITUTE(B50,1,""),2,""),3,""),4,""),5,""),6,""),7,""),8,""),9,""),0,""),"-","")),{"gennaio","febbraio","marzo","aprile","maggio","giugno","luglio","agosto","settembre","ottobre","novembre","dicembre"},0),"00"),TEXT(MONTH(B50)*29,"mm"))</f>
        <v>10</v>
      </c>
      <c r="E50" s="68">
        <f t="shared" si="4"/>
        <v>2023</v>
      </c>
      <c r="G50" s="68" t="s">
        <v>918</v>
      </c>
      <c r="H50" s="68"/>
      <c r="I50" s="68" t="s">
        <v>919</v>
      </c>
      <c r="J50" s="68" t="s">
        <v>917</v>
      </c>
      <c r="K50" s="68"/>
      <c r="L50" s="68" t="s">
        <v>893</v>
      </c>
      <c r="M50" s="68" t="str">
        <f t="shared" si="5"/>
        <v>***
&gt; [!4colonne]- [[Messaggi/2023/2023-09-25| ← Messaggio precedente]] | 25 ottobre 2023 | [[Messaggi/2023/2023-11-25| Messaggio successivo → ]]</v>
      </c>
    </row>
    <row r="51" spans="1:13" x14ac:dyDescent="0.25">
      <c r="A51" s="68"/>
      <c r="B51" s="70">
        <v>45194</v>
      </c>
      <c r="C51" s="68" t="str">
        <f t="shared" si="6"/>
        <v>25</v>
      </c>
      <c r="D51" s="68" t="str">
        <f>IF(ISERROR(DAY(B51)),TEXT(MATCH(TRIM(SUBSTITUTE(SUBSTITUTE(SUBSTITUTE(SUBSTITUTE(SUBSTITUTE(SUBSTITUTE(SUBSTITUTE(SUBSTITUTE(SUBSTITUTE(SUBSTITUTE(SUBSTITUTE(B51,1,""),2,""),3,""),4,""),5,""),6,""),7,""),8,""),9,""),0,""),"-","")),{"gennaio","febbraio","marzo","aprile","maggio","giugno","luglio","agosto","settembre","ottobre","novembre","dicembre"},0),"00"),TEXT(MONTH(B51)*29,"mm"))</f>
        <v>09</v>
      </c>
      <c r="E51" s="68">
        <f t="shared" si="4"/>
        <v>2023</v>
      </c>
      <c r="G51" s="68" t="s">
        <v>918</v>
      </c>
      <c r="H51" s="68"/>
      <c r="I51" s="68" t="s">
        <v>919</v>
      </c>
      <c r="J51" s="68" t="s">
        <v>917</v>
      </c>
      <c r="K51" s="68"/>
      <c r="L51" s="68" t="s">
        <v>893</v>
      </c>
      <c r="M51" s="68" t="str">
        <f t="shared" si="5"/>
        <v>***
&gt; [!4colonne]- [[Messaggi/2023/2023-08-25| ← Messaggio precedente]] | 25 settembre 2023 | [[Messaggi/2023/2023-10-25| Messaggio successivo → ]]</v>
      </c>
    </row>
    <row r="52" spans="1:13" x14ac:dyDescent="0.25">
      <c r="A52" s="68"/>
      <c r="B52" s="70">
        <v>45163</v>
      </c>
      <c r="C52" s="68" t="str">
        <f t="shared" si="6"/>
        <v>25</v>
      </c>
      <c r="D52" s="68" t="str">
        <f>IF(ISERROR(DAY(B52)),TEXT(MATCH(TRIM(SUBSTITUTE(SUBSTITUTE(SUBSTITUTE(SUBSTITUTE(SUBSTITUTE(SUBSTITUTE(SUBSTITUTE(SUBSTITUTE(SUBSTITUTE(SUBSTITUTE(SUBSTITUTE(B52,1,""),2,""),3,""),4,""),5,""),6,""),7,""),8,""),9,""),0,""),"-","")),{"gennaio","febbraio","marzo","aprile","maggio","giugno","luglio","agosto","settembre","ottobre","novembre","dicembre"},0),"00"),TEXT(MONTH(B52)*29,"mm"))</f>
        <v>08</v>
      </c>
      <c r="E52" s="68">
        <f t="shared" si="4"/>
        <v>2023</v>
      </c>
      <c r="G52" s="68" t="s">
        <v>918</v>
      </c>
      <c r="H52" s="68"/>
      <c r="I52" s="68" t="s">
        <v>919</v>
      </c>
      <c r="J52" s="68" t="s">
        <v>917</v>
      </c>
      <c r="K52" s="68"/>
      <c r="L52" s="68" t="s">
        <v>893</v>
      </c>
      <c r="M52" s="68" t="str">
        <f t="shared" si="5"/>
        <v>***
&gt; [!4colonne]- [[Messaggi/2023/2023-07-25| ← Messaggio precedente]] | 25 agosto 2023 | [[Messaggi/2023/2023-09-25| Messaggio successivo → ]]</v>
      </c>
    </row>
    <row r="53" spans="1:13" x14ac:dyDescent="0.25">
      <c r="A53" s="68"/>
      <c r="B53" s="70">
        <v>45132</v>
      </c>
      <c r="C53" s="68" t="str">
        <f t="shared" si="6"/>
        <v>25</v>
      </c>
      <c r="D53" s="68" t="str">
        <f>IF(ISERROR(DAY(B53)),TEXT(MATCH(TRIM(SUBSTITUTE(SUBSTITUTE(SUBSTITUTE(SUBSTITUTE(SUBSTITUTE(SUBSTITUTE(SUBSTITUTE(SUBSTITUTE(SUBSTITUTE(SUBSTITUTE(SUBSTITUTE(B53,1,""),2,""),3,""),4,""),5,""),6,""),7,""),8,""),9,""),0,""),"-","")),{"gennaio","febbraio","marzo","aprile","maggio","giugno","luglio","agosto","settembre","ottobre","novembre","dicembre"},0),"00"),TEXT(MONTH(B53)*29,"mm"))</f>
        <v>07</v>
      </c>
      <c r="E53" s="68">
        <f t="shared" si="4"/>
        <v>2023</v>
      </c>
      <c r="G53" s="68" t="s">
        <v>918</v>
      </c>
      <c r="H53" s="68"/>
      <c r="I53" s="68" t="s">
        <v>919</v>
      </c>
      <c r="J53" s="68" t="s">
        <v>917</v>
      </c>
      <c r="K53" s="68"/>
      <c r="L53" s="68" t="s">
        <v>893</v>
      </c>
      <c r="M53" s="68" t="str">
        <f t="shared" si="5"/>
        <v>***
&gt; [!4colonne]- [[Messaggi/2023/2023-06-25| ← Messaggio precedente]] | 25 luglio 2023 | [[Messaggi/2023/2023-08-25| Messaggio successivo → ]]</v>
      </c>
    </row>
    <row r="54" spans="1:13" x14ac:dyDescent="0.25">
      <c r="A54" s="68"/>
      <c r="B54" s="70">
        <v>45102</v>
      </c>
      <c r="C54" s="68" t="str">
        <f t="shared" si="6"/>
        <v>25</v>
      </c>
      <c r="D54" s="68" t="str">
        <f>IF(ISERROR(DAY(B54)),TEXT(MATCH(TRIM(SUBSTITUTE(SUBSTITUTE(SUBSTITUTE(SUBSTITUTE(SUBSTITUTE(SUBSTITUTE(SUBSTITUTE(SUBSTITUTE(SUBSTITUTE(SUBSTITUTE(SUBSTITUTE(B54,1,""),2,""),3,""),4,""),5,""),6,""),7,""),8,""),9,""),0,""),"-","")),{"gennaio","febbraio","marzo","aprile","maggio","giugno","luglio","agosto","settembre","ottobre","novembre","dicembre"},0),"00"),TEXT(MONTH(B54)*29,"mm"))</f>
        <v>06</v>
      </c>
      <c r="E54" s="68">
        <f t="shared" si="4"/>
        <v>2023</v>
      </c>
      <c r="G54" s="68" t="s">
        <v>918</v>
      </c>
      <c r="H54" s="68"/>
      <c r="I54" s="68" t="s">
        <v>919</v>
      </c>
      <c r="J54" s="68" t="s">
        <v>917</v>
      </c>
      <c r="K54" s="68"/>
      <c r="L54" s="68" t="s">
        <v>893</v>
      </c>
      <c r="M54" s="68" t="str">
        <f t="shared" si="5"/>
        <v>***
&gt; [!4colonne]- [[Messaggi/2023/2023-06-25| ← Messaggio precedente]] | 25 giugno 2023 | [[Messaggi/2023/2023-07-25| Messaggio successivo → ]]</v>
      </c>
    </row>
    <row r="55" spans="1:13" x14ac:dyDescent="0.25">
      <c r="A55" s="68"/>
      <c r="B55" s="70">
        <v>45102</v>
      </c>
      <c r="C55" s="68" t="str">
        <f t="shared" si="6"/>
        <v>25</v>
      </c>
      <c r="D55" s="68" t="str">
        <f>IF(ISERROR(DAY(B55)),TEXT(MATCH(TRIM(SUBSTITUTE(SUBSTITUTE(SUBSTITUTE(SUBSTITUTE(SUBSTITUTE(SUBSTITUTE(SUBSTITUTE(SUBSTITUTE(SUBSTITUTE(SUBSTITUTE(SUBSTITUTE(B55,1,""),2,""),3,""),4,""),5,""),6,""),7,""),8,""),9,""),0,""),"-","")),{"gennaio","febbraio","marzo","aprile","maggio","giugno","luglio","agosto","settembre","ottobre","novembre","dicembre"},0),"00"),TEXT(MONTH(B55)*29,"mm"))</f>
        <v>06</v>
      </c>
      <c r="E55" s="68">
        <f t="shared" ref="E55:E86" si="7">YEAR(B55)</f>
        <v>2023</v>
      </c>
      <c r="G55" s="68" t="s">
        <v>918</v>
      </c>
      <c r="H55" s="68"/>
      <c r="I55" s="68" t="s">
        <v>919</v>
      </c>
      <c r="J55" s="68" t="s">
        <v>917</v>
      </c>
      <c r="K55" s="68"/>
      <c r="L55" s="68" t="s">
        <v>893</v>
      </c>
      <c r="M55" s="68" t="str">
        <f t="shared" si="5"/>
        <v>***
&gt; [!4colonne]- [[Messaggi/2023/2023-05-25| ← Messaggio precedente]] | 25 giugno 2023 | [[Messaggi/2023/2023-06-25| Messaggio successivo → ]]</v>
      </c>
    </row>
    <row r="56" spans="1:13" x14ac:dyDescent="0.25">
      <c r="A56" s="68"/>
      <c r="B56" s="70">
        <v>45071</v>
      </c>
      <c r="C56" s="68" t="str">
        <f t="shared" si="6"/>
        <v>25</v>
      </c>
      <c r="D56" s="68" t="str">
        <f>IF(ISERROR(DAY(B56)),TEXT(MATCH(TRIM(SUBSTITUTE(SUBSTITUTE(SUBSTITUTE(SUBSTITUTE(SUBSTITUTE(SUBSTITUTE(SUBSTITUTE(SUBSTITUTE(SUBSTITUTE(SUBSTITUTE(SUBSTITUTE(B56,1,""),2,""),3,""),4,""),5,""),6,""),7,""),8,""),9,""),0,""),"-","")),{"gennaio","febbraio","marzo","aprile","maggio","giugno","luglio","agosto","settembre","ottobre","novembre","dicembre"},0),"00"),TEXT(MONTH(B56)*29,"mm"))</f>
        <v>05</v>
      </c>
      <c r="E56" s="68">
        <f t="shared" si="7"/>
        <v>2023</v>
      </c>
      <c r="G56" s="68" t="s">
        <v>918</v>
      </c>
      <c r="H56" s="68"/>
      <c r="I56" s="68" t="s">
        <v>919</v>
      </c>
      <c r="J56" s="68" t="s">
        <v>917</v>
      </c>
      <c r="K56" s="68"/>
      <c r="L56" s="68" t="s">
        <v>893</v>
      </c>
      <c r="M56" s="68" t="str">
        <f t="shared" si="5"/>
        <v>***
&gt; [!4colonne]- [[Messaggi/2023/2023-04-25| ← Messaggio precedente]] | 25 maggio 2023 | [[Messaggi/2023/2023-06-25| Messaggio successivo → ]]</v>
      </c>
    </row>
    <row r="57" spans="1:13" x14ac:dyDescent="0.25">
      <c r="A57" s="68"/>
      <c r="B57" s="70">
        <v>45041</v>
      </c>
      <c r="C57" s="68" t="str">
        <f t="shared" si="6"/>
        <v>25</v>
      </c>
      <c r="D57" s="68" t="str">
        <f>IF(ISERROR(DAY(B57)),TEXT(MATCH(TRIM(SUBSTITUTE(SUBSTITUTE(SUBSTITUTE(SUBSTITUTE(SUBSTITUTE(SUBSTITUTE(SUBSTITUTE(SUBSTITUTE(SUBSTITUTE(SUBSTITUTE(SUBSTITUTE(B57,1,""),2,""),3,""),4,""),5,""),6,""),7,""),8,""),9,""),0,""),"-","")),{"gennaio","febbraio","marzo","aprile","maggio","giugno","luglio","agosto","settembre","ottobre","novembre","dicembre"},0),"00"),TEXT(MONTH(B57)*29,"mm"))</f>
        <v>04</v>
      </c>
      <c r="E57" s="68">
        <f t="shared" si="7"/>
        <v>2023</v>
      </c>
      <c r="G57" s="68" t="s">
        <v>918</v>
      </c>
      <c r="H57" s="68"/>
      <c r="I57" s="68" t="s">
        <v>919</v>
      </c>
      <c r="J57" s="68" t="s">
        <v>917</v>
      </c>
      <c r="K57" s="68"/>
      <c r="L57" s="68" t="s">
        <v>893</v>
      </c>
      <c r="M57" s="68" t="str">
        <f t="shared" si="5"/>
        <v>***
&gt; [!4colonne]- [[Messaggi/2023/2023-03-25| ← Messaggio precedente]] | 25 aprile 2023 | [[Messaggi/2023/2023-05-25| Messaggio successivo → ]]</v>
      </c>
    </row>
    <row r="58" spans="1:13" x14ac:dyDescent="0.25">
      <c r="A58" s="68"/>
      <c r="B58" s="70">
        <v>45010</v>
      </c>
      <c r="C58" s="68" t="str">
        <f t="shared" si="6"/>
        <v>25</v>
      </c>
      <c r="D58" s="68" t="str">
        <f>IF(ISERROR(DAY(B58)),TEXT(MATCH(TRIM(SUBSTITUTE(SUBSTITUTE(SUBSTITUTE(SUBSTITUTE(SUBSTITUTE(SUBSTITUTE(SUBSTITUTE(SUBSTITUTE(SUBSTITUTE(SUBSTITUTE(SUBSTITUTE(B58,1,""),2,""),3,""),4,""),5,""),6,""),7,""),8,""),9,""),0,""),"-","")),{"gennaio","febbraio","marzo","aprile","maggio","giugno","luglio","agosto","settembre","ottobre","novembre","dicembre"},0),"00"),TEXT(MONTH(B58)*29,"mm"))</f>
        <v>03</v>
      </c>
      <c r="E58" s="68">
        <f t="shared" si="7"/>
        <v>2023</v>
      </c>
      <c r="G58" s="68" t="s">
        <v>918</v>
      </c>
      <c r="H58" s="68"/>
      <c r="I58" s="68" t="s">
        <v>919</v>
      </c>
      <c r="J58" s="68" t="s">
        <v>917</v>
      </c>
      <c r="K58" s="68"/>
      <c r="L58" s="68" t="s">
        <v>893</v>
      </c>
      <c r="M58" s="68" t="str">
        <f t="shared" si="5"/>
        <v>***
&gt; [!4colonne]- [[Messaggi/2023/2023-03-18| ← Messaggio precedente]] | 25 marzo 2023 | [[Messaggi/2023/2023-04-25| Messaggio successivo → ]]</v>
      </c>
    </row>
    <row r="59" spans="1:13" x14ac:dyDescent="0.25">
      <c r="A59" s="68"/>
      <c r="B59" s="70">
        <v>45003</v>
      </c>
      <c r="C59" s="68" t="str">
        <f t="shared" si="6"/>
        <v>18</v>
      </c>
      <c r="D59" s="68" t="str">
        <f>IF(ISERROR(DAY(B59)),TEXT(MATCH(TRIM(SUBSTITUTE(SUBSTITUTE(SUBSTITUTE(SUBSTITUTE(SUBSTITUTE(SUBSTITUTE(SUBSTITUTE(SUBSTITUTE(SUBSTITUTE(SUBSTITUTE(SUBSTITUTE(B59,1,""),2,""),3,""),4,""),5,""),6,""),7,""),8,""),9,""),0,""),"-","")),{"gennaio","febbraio","marzo","aprile","maggio","giugno","luglio","agosto","settembre","ottobre","novembre","dicembre"},0),"00"),TEXT(MONTH(B59)*29,"mm"))</f>
        <v>03</v>
      </c>
      <c r="E59" s="68">
        <f t="shared" si="7"/>
        <v>2023</v>
      </c>
      <c r="G59" s="68" t="s">
        <v>918</v>
      </c>
      <c r="H59" s="68"/>
      <c r="I59" s="68" t="s">
        <v>919</v>
      </c>
      <c r="J59" s="68" t="s">
        <v>917</v>
      </c>
      <c r="K59" s="68"/>
      <c r="L59" s="68" t="s">
        <v>893</v>
      </c>
      <c r="M59" s="68" t="str">
        <f t="shared" si="5"/>
        <v>***
&gt; [!4colonne]- [[Messaggi/2023/2023-02-25| ← Messaggio precedente]] | 18 marzo 2023 | [[Messaggi/2023/2023-03-25| Messaggio successivo → ]]</v>
      </c>
    </row>
    <row r="60" spans="1:13" x14ac:dyDescent="0.25">
      <c r="A60" s="68"/>
      <c r="B60" s="70">
        <v>44982</v>
      </c>
      <c r="C60" s="68" t="str">
        <f t="shared" si="6"/>
        <v>25</v>
      </c>
      <c r="D60" s="68" t="str">
        <f>IF(ISERROR(DAY(B60)),TEXT(MATCH(TRIM(SUBSTITUTE(SUBSTITUTE(SUBSTITUTE(SUBSTITUTE(SUBSTITUTE(SUBSTITUTE(SUBSTITUTE(SUBSTITUTE(SUBSTITUTE(SUBSTITUTE(SUBSTITUTE(B60,1,""),2,""),3,""),4,""),5,""),6,""),7,""),8,""),9,""),0,""),"-","")),{"gennaio","febbraio","marzo","aprile","maggio","giugno","luglio","agosto","settembre","ottobre","novembre","dicembre"},0),"00"),TEXT(MONTH(B60)*29,"mm"))</f>
        <v>02</v>
      </c>
      <c r="E60" s="68">
        <f t="shared" si="7"/>
        <v>2023</v>
      </c>
      <c r="G60" s="68" t="s">
        <v>918</v>
      </c>
      <c r="H60" s="68"/>
      <c r="I60" s="68" t="s">
        <v>919</v>
      </c>
      <c r="J60" s="68" t="s">
        <v>917</v>
      </c>
      <c r="K60" s="68"/>
      <c r="L60" s="68" t="s">
        <v>893</v>
      </c>
      <c r="M60" s="68" t="str">
        <f t="shared" si="5"/>
        <v>***
&gt; [!4colonne]- [[Messaggi/2023/2023-01-25| ← Messaggio precedente]] | 25 febbraio 2023 | [[Messaggi/2023/2023-03-18| Messaggio successivo → ]]</v>
      </c>
    </row>
    <row r="61" spans="1:13" s="37" customFormat="1" x14ac:dyDescent="0.25">
      <c r="A61" s="69"/>
      <c r="B61" s="71">
        <v>44951</v>
      </c>
      <c r="C61" s="69" t="str">
        <f t="shared" si="6"/>
        <v>25</v>
      </c>
      <c r="D61" s="69" t="str">
        <f>IF(ISERROR(DAY(B61)),TEXT(MATCH(TRIM(SUBSTITUTE(SUBSTITUTE(SUBSTITUTE(SUBSTITUTE(SUBSTITUTE(SUBSTITUTE(SUBSTITUTE(SUBSTITUTE(SUBSTITUTE(SUBSTITUTE(SUBSTITUTE(B61,1,""),2,""),3,""),4,""),5,""),6,""),7,""),8,""),9,""),0,""),"-","")),{"gennaio","febbraio","marzo","aprile","maggio","giugno","luglio","agosto","settembre","ottobre","novembre","dicembre"},0),"00"),TEXT(MONTH(B61)*29,"mm"))</f>
        <v>01</v>
      </c>
      <c r="E61" s="69">
        <f t="shared" si="7"/>
        <v>2023</v>
      </c>
      <c r="F61" s="66"/>
      <c r="G61" s="69" t="s">
        <v>918</v>
      </c>
      <c r="H61" s="69"/>
      <c r="I61" s="69" t="s">
        <v>919</v>
      </c>
      <c r="J61" s="69" t="s">
        <v>917</v>
      </c>
      <c r="K61" s="69"/>
      <c r="L61" s="69" t="s">
        <v>893</v>
      </c>
      <c r="M61" s="69" t="str">
        <f t="shared" si="5"/>
        <v>***
&gt; [!4colonne]- [[Messaggi/2022/2022-12-25| ← Messaggio precedente]] | 25 gennaio 2023 | [[Messaggi/2023/2023-02-25| Messaggio successivo → ]]</v>
      </c>
    </row>
    <row r="62" spans="1:13" x14ac:dyDescent="0.25">
      <c r="A62" s="68"/>
      <c r="B62" s="70">
        <v>44920</v>
      </c>
      <c r="C62" s="68" t="str">
        <f t="shared" si="6"/>
        <v>25</v>
      </c>
      <c r="D62" s="68" t="str">
        <f>IF(ISERROR(DAY(B62)),TEXT(MATCH(TRIM(SUBSTITUTE(SUBSTITUTE(SUBSTITUTE(SUBSTITUTE(SUBSTITUTE(SUBSTITUTE(SUBSTITUTE(SUBSTITUTE(SUBSTITUTE(SUBSTITUTE(SUBSTITUTE(B62,1,""),2,""),3,""),4,""),5,""),6,""),7,""),8,""),9,""),0,""),"-","")),{"gennaio","febbraio","marzo","aprile","maggio","giugno","luglio","agosto","settembre","ottobre","novembre","dicembre"},0),"00"),TEXT(MONTH(B62)*29,"mm"))</f>
        <v>12</v>
      </c>
      <c r="E62" s="68">
        <f t="shared" si="7"/>
        <v>2022</v>
      </c>
      <c r="G62" s="68" t="s">
        <v>918</v>
      </c>
      <c r="H62" s="68"/>
      <c r="I62" s="68" t="s">
        <v>919</v>
      </c>
      <c r="J62" s="68" t="s">
        <v>917</v>
      </c>
      <c r="K62" s="68"/>
      <c r="L62" s="68" t="s">
        <v>893</v>
      </c>
      <c r="M62" s="68" t="str">
        <f t="shared" si="5"/>
        <v>***
&gt; [!4colonne]- [[Messaggi/2022/2022-12-25| ← Messaggio precedente]] | 25 dicembre 2022 | [[Messaggi/2023/2023-01-25| Messaggio successivo → ]]</v>
      </c>
    </row>
    <row r="63" spans="1:13" x14ac:dyDescent="0.25">
      <c r="A63" s="68"/>
      <c r="B63" s="70">
        <v>44920</v>
      </c>
      <c r="C63" s="68" t="str">
        <f t="shared" si="6"/>
        <v>25</v>
      </c>
      <c r="D63" s="68" t="str">
        <f>IF(ISERROR(DAY(B63)),TEXT(MATCH(TRIM(SUBSTITUTE(SUBSTITUTE(SUBSTITUTE(SUBSTITUTE(SUBSTITUTE(SUBSTITUTE(SUBSTITUTE(SUBSTITUTE(SUBSTITUTE(SUBSTITUTE(SUBSTITUTE(B63,1,""),2,""),3,""),4,""),5,""),6,""),7,""),8,""),9,""),0,""),"-","")),{"gennaio","febbraio","marzo","aprile","maggio","giugno","luglio","agosto","settembre","ottobre","novembre","dicembre"},0),"00"),TEXT(MONTH(B63)*29,"mm"))</f>
        <v>12</v>
      </c>
      <c r="E63" s="68">
        <f t="shared" si="7"/>
        <v>2022</v>
      </c>
      <c r="G63" s="68" t="s">
        <v>918</v>
      </c>
      <c r="H63" s="68"/>
      <c r="I63" s="68" t="s">
        <v>919</v>
      </c>
      <c r="J63" s="68" t="s">
        <v>917</v>
      </c>
      <c r="K63" s="68"/>
      <c r="L63" s="68" t="s">
        <v>893</v>
      </c>
      <c r="M63" s="68" t="str">
        <f t="shared" si="5"/>
        <v>***
&gt; [!4colonne]- [[Messaggi/2022/2022-11-25| ← Messaggio precedente]] | 25 dicembre 2022 | [[Messaggi/2022/2022-12-25| Messaggio successivo → ]]</v>
      </c>
    </row>
    <row r="64" spans="1:13" x14ac:dyDescent="0.25">
      <c r="A64" s="68"/>
      <c r="B64" s="70">
        <v>44890</v>
      </c>
      <c r="C64" s="68" t="str">
        <f t="shared" si="6"/>
        <v>25</v>
      </c>
      <c r="D64" s="68" t="str">
        <f>IF(ISERROR(DAY(B64)),TEXT(MATCH(TRIM(SUBSTITUTE(SUBSTITUTE(SUBSTITUTE(SUBSTITUTE(SUBSTITUTE(SUBSTITUTE(SUBSTITUTE(SUBSTITUTE(SUBSTITUTE(SUBSTITUTE(SUBSTITUTE(B64,1,""),2,""),3,""),4,""),5,""),6,""),7,""),8,""),9,""),0,""),"-","")),{"gennaio","febbraio","marzo","aprile","maggio","giugno","luglio","agosto","settembre","ottobre","novembre","dicembre"},0),"00"),TEXT(MONTH(B64)*29,"mm"))</f>
        <v>11</v>
      </c>
      <c r="E64" s="68">
        <f t="shared" si="7"/>
        <v>2022</v>
      </c>
      <c r="G64" s="68" t="s">
        <v>918</v>
      </c>
      <c r="H64" s="68"/>
      <c r="I64" s="68" t="s">
        <v>919</v>
      </c>
      <c r="J64" s="68" t="s">
        <v>917</v>
      </c>
      <c r="K64" s="68"/>
      <c r="L64" s="68" t="s">
        <v>893</v>
      </c>
      <c r="M64" s="68" t="str">
        <f t="shared" si="5"/>
        <v>***
&gt; [!4colonne]- [[Messaggi/2022/2022-10-25| ← Messaggio precedente]] | 25 novembre 2022 | [[Messaggi/2022/2022-12-25| Messaggio successivo → ]]</v>
      </c>
    </row>
    <row r="65" spans="1:13" x14ac:dyDescent="0.25">
      <c r="A65" s="68"/>
      <c r="B65" s="70">
        <v>44859</v>
      </c>
      <c r="C65" s="68" t="str">
        <f t="shared" si="6"/>
        <v>25</v>
      </c>
      <c r="D65" s="68" t="str">
        <f>IF(ISERROR(DAY(B65)),TEXT(MATCH(TRIM(SUBSTITUTE(SUBSTITUTE(SUBSTITUTE(SUBSTITUTE(SUBSTITUTE(SUBSTITUTE(SUBSTITUTE(SUBSTITUTE(SUBSTITUTE(SUBSTITUTE(SUBSTITUTE(B65,1,""),2,""),3,""),4,""),5,""),6,""),7,""),8,""),9,""),0,""),"-","")),{"gennaio","febbraio","marzo","aprile","maggio","giugno","luglio","agosto","settembre","ottobre","novembre","dicembre"},0),"00"),TEXT(MONTH(B65)*29,"mm"))</f>
        <v>10</v>
      </c>
      <c r="E65" s="68">
        <f t="shared" si="7"/>
        <v>2022</v>
      </c>
      <c r="G65" s="68" t="s">
        <v>918</v>
      </c>
      <c r="H65" s="68"/>
      <c r="I65" s="68" t="s">
        <v>919</v>
      </c>
      <c r="J65" s="68" t="s">
        <v>917</v>
      </c>
      <c r="K65" s="68"/>
      <c r="L65" s="68" t="s">
        <v>893</v>
      </c>
      <c r="M65" s="68" t="str">
        <f t="shared" si="5"/>
        <v>***
&gt; [!4colonne]- [[Messaggi/2022/2022-09-25| ← Messaggio precedente]] | 25 ottobre 2022 | [[Messaggi/2022/2022-11-25| Messaggio successivo → ]]</v>
      </c>
    </row>
    <row r="66" spans="1:13" x14ac:dyDescent="0.25">
      <c r="A66" s="68"/>
      <c r="B66" s="70">
        <v>44829</v>
      </c>
      <c r="C66" s="68" t="str">
        <f t="shared" si="6"/>
        <v>25</v>
      </c>
      <c r="D66" s="68" t="str">
        <f>IF(ISERROR(DAY(B66)),TEXT(MATCH(TRIM(SUBSTITUTE(SUBSTITUTE(SUBSTITUTE(SUBSTITUTE(SUBSTITUTE(SUBSTITUTE(SUBSTITUTE(SUBSTITUTE(SUBSTITUTE(SUBSTITUTE(SUBSTITUTE(B66,1,""),2,""),3,""),4,""),5,""),6,""),7,""),8,""),9,""),0,""),"-","")),{"gennaio","febbraio","marzo","aprile","maggio","giugno","luglio","agosto","settembre","ottobre","novembre","dicembre"},0),"00"),TEXT(MONTH(B66)*29,"mm"))</f>
        <v>09</v>
      </c>
      <c r="E66" s="68">
        <f t="shared" si="7"/>
        <v>2022</v>
      </c>
      <c r="G66" s="68" t="s">
        <v>918</v>
      </c>
      <c r="H66" s="68"/>
      <c r="I66" s="68" t="s">
        <v>919</v>
      </c>
      <c r="J66" s="68" t="s">
        <v>917</v>
      </c>
      <c r="K66" s="68"/>
      <c r="L66" s="68" t="s">
        <v>893</v>
      </c>
      <c r="M66" s="68" t="str">
        <f t="shared" si="5"/>
        <v>***
&gt; [!4colonne]- [[Messaggi/2022/2022-08-25| ← Messaggio precedente]] | 25 settembre 2022 | [[Messaggi/2022/2022-10-25| Messaggio successivo → ]]</v>
      </c>
    </row>
    <row r="67" spans="1:13" x14ac:dyDescent="0.25">
      <c r="A67" s="68"/>
      <c r="B67" s="70">
        <v>44798</v>
      </c>
      <c r="C67" s="68" t="str">
        <f t="shared" si="6"/>
        <v>25</v>
      </c>
      <c r="D67" s="68" t="str">
        <f>IF(ISERROR(DAY(B67)),TEXT(MATCH(TRIM(SUBSTITUTE(SUBSTITUTE(SUBSTITUTE(SUBSTITUTE(SUBSTITUTE(SUBSTITUTE(SUBSTITUTE(SUBSTITUTE(SUBSTITUTE(SUBSTITUTE(SUBSTITUTE(B67,1,""),2,""),3,""),4,""),5,""),6,""),7,""),8,""),9,""),0,""),"-","")),{"gennaio","febbraio","marzo","aprile","maggio","giugno","luglio","agosto","settembre","ottobre","novembre","dicembre"},0),"00"),TEXT(MONTH(B67)*29,"mm"))</f>
        <v>08</v>
      </c>
      <c r="E67" s="68">
        <f t="shared" si="7"/>
        <v>2022</v>
      </c>
      <c r="G67" s="68" t="s">
        <v>918</v>
      </c>
      <c r="H67" s="68"/>
      <c r="I67" s="68" t="s">
        <v>919</v>
      </c>
      <c r="J67" s="68" t="s">
        <v>917</v>
      </c>
      <c r="K67" s="68"/>
      <c r="L67" s="68" t="s">
        <v>893</v>
      </c>
      <c r="M67" s="68" t="str">
        <f t="shared" si="5"/>
        <v>***
&gt; [!4colonne]- [[Messaggi/2022/2022-07-25| ← Messaggio precedente]] | 25 agosto 2022 | [[Messaggi/2022/2022-09-25| Messaggio successivo → ]]</v>
      </c>
    </row>
    <row r="68" spans="1:13" x14ac:dyDescent="0.25">
      <c r="A68" s="68"/>
      <c r="B68" s="70">
        <v>44767</v>
      </c>
      <c r="C68" s="68" t="str">
        <f t="shared" si="6"/>
        <v>25</v>
      </c>
      <c r="D68" s="68" t="str">
        <f>IF(ISERROR(DAY(B68)),TEXT(MATCH(TRIM(SUBSTITUTE(SUBSTITUTE(SUBSTITUTE(SUBSTITUTE(SUBSTITUTE(SUBSTITUTE(SUBSTITUTE(SUBSTITUTE(SUBSTITUTE(SUBSTITUTE(SUBSTITUTE(B68,1,""),2,""),3,""),4,""),5,""),6,""),7,""),8,""),9,""),0,""),"-","")),{"gennaio","febbraio","marzo","aprile","maggio","giugno","luglio","agosto","settembre","ottobre","novembre","dicembre"},0),"00"),TEXT(MONTH(B68)*29,"mm"))</f>
        <v>07</v>
      </c>
      <c r="E68" s="68">
        <f t="shared" si="7"/>
        <v>2022</v>
      </c>
      <c r="G68" s="68" t="s">
        <v>918</v>
      </c>
      <c r="H68" s="68"/>
      <c r="I68" s="68" t="s">
        <v>919</v>
      </c>
      <c r="J68" s="68" t="s">
        <v>917</v>
      </c>
      <c r="K68" s="68"/>
      <c r="L68" s="68" t="s">
        <v>893</v>
      </c>
      <c r="M68" s="68" t="str">
        <f t="shared" si="5"/>
        <v>***
&gt; [!4colonne]- [[Messaggi/2022/2022-06-25| ← Messaggio precedente]] | 25 luglio 2022 | [[Messaggi/2022/2022-08-25| Messaggio successivo → ]]</v>
      </c>
    </row>
    <row r="69" spans="1:13" x14ac:dyDescent="0.25">
      <c r="A69" s="68"/>
      <c r="B69" s="70">
        <v>44737</v>
      </c>
      <c r="C69" s="68" t="str">
        <f t="shared" si="6"/>
        <v>25</v>
      </c>
      <c r="D69" s="68" t="str">
        <f>IF(ISERROR(DAY(B69)),TEXT(MATCH(TRIM(SUBSTITUTE(SUBSTITUTE(SUBSTITUTE(SUBSTITUTE(SUBSTITUTE(SUBSTITUTE(SUBSTITUTE(SUBSTITUTE(SUBSTITUTE(SUBSTITUTE(SUBSTITUTE(B69,1,""),2,""),3,""),4,""),5,""),6,""),7,""),8,""),9,""),0,""),"-","")),{"gennaio","febbraio","marzo","aprile","maggio","giugno","luglio","agosto","settembre","ottobre","novembre","dicembre"},0),"00"),TEXT(MONTH(B69)*29,"mm"))</f>
        <v>06</v>
      </c>
      <c r="E69" s="68">
        <f t="shared" si="7"/>
        <v>2022</v>
      </c>
      <c r="G69" s="68" t="s">
        <v>918</v>
      </c>
      <c r="H69" s="68"/>
      <c r="I69" s="68" t="s">
        <v>919</v>
      </c>
      <c r="J69" s="68" t="s">
        <v>917</v>
      </c>
      <c r="K69" s="68"/>
      <c r="L69" s="68" t="s">
        <v>893</v>
      </c>
      <c r="M69" s="68" t="str">
        <f t="shared" si="5"/>
        <v>***
&gt; [!4colonne]- [[Messaggi/2022/2022-06-25| ← Messaggio precedente]] | 25 giugno 2022 | [[Messaggi/2022/2022-07-25| Messaggio successivo → ]]</v>
      </c>
    </row>
    <row r="70" spans="1:13" x14ac:dyDescent="0.25">
      <c r="A70" s="68"/>
      <c r="B70" s="70">
        <v>44737</v>
      </c>
      <c r="C70" s="68" t="str">
        <f t="shared" si="6"/>
        <v>25</v>
      </c>
      <c r="D70" s="68" t="str">
        <f>IF(ISERROR(DAY(B70)),TEXT(MATCH(TRIM(SUBSTITUTE(SUBSTITUTE(SUBSTITUTE(SUBSTITUTE(SUBSTITUTE(SUBSTITUTE(SUBSTITUTE(SUBSTITUTE(SUBSTITUTE(SUBSTITUTE(SUBSTITUTE(B70,1,""),2,""),3,""),4,""),5,""),6,""),7,""),8,""),9,""),0,""),"-","")),{"gennaio","febbraio","marzo","aprile","maggio","giugno","luglio","agosto","settembre","ottobre","novembre","dicembre"},0),"00"),TEXT(MONTH(B70)*29,"mm"))</f>
        <v>06</v>
      </c>
      <c r="E70" s="68">
        <f t="shared" si="7"/>
        <v>2022</v>
      </c>
      <c r="G70" s="68" t="s">
        <v>918</v>
      </c>
      <c r="H70" s="68"/>
      <c r="I70" s="68" t="s">
        <v>919</v>
      </c>
      <c r="J70" s="68" t="s">
        <v>917</v>
      </c>
      <c r="K70" s="68"/>
      <c r="L70" s="68" t="s">
        <v>893</v>
      </c>
      <c r="M70" s="68" t="str">
        <f t="shared" si="5"/>
        <v>***
&gt; [!4colonne]- [[Messaggi/2022/2022-05-25| ← Messaggio precedente]] | 25 giugno 2022 | [[Messaggi/2022/2022-06-25| Messaggio successivo → ]]</v>
      </c>
    </row>
    <row r="71" spans="1:13" x14ac:dyDescent="0.25">
      <c r="A71" s="68"/>
      <c r="B71" s="70">
        <v>44706</v>
      </c>
      <c r="C71" s="68" t="str">
        <f t="shared" si="6"/>
        <v>25</v>
      </c>
      <c r="D71" s="68" t="str">
        <f>IF(ISERROR(DAY(B71)),TEXT(MATCH(TRIM(SUBSTITUTE(SUBSTITUTE(SUBSTITUTE(SUBSTITUTE(SUBSTITUTE(SUBSTITUTE(SUBSTITUTE(SUBSTITUTE(SUBSTITUTE(SUBSTITUTE(SUBSTITUTE(B71,1,""),2,""),3,""),4,""),5,""),6,""),7,""),8,""),9,""),0,""),"-","")),{"gennaio","febbraio","marzo","aprile","maggio","giugno","luglio","agosto","settembre","ottobre","novembre","dicembre"},0),"00"),TEXT(MONTH(B71)*29,"mm"))</f>
        <v>05</v>
      </c>
      <c r="E71" s="68">
        <f t="shared" si="7"/>
        <v>2022</v>
      </c>
      <c r="G71" s="68" t="s">
        <v>918</v>
      </c>
      <c r="H71" s="68"/>
      <c r="I71" s="68" t="s">
        <v>919</v>
      </c>
      <c r="J71" s="68" t="s">
        <v>917</v>
      </c>
      <c r="K71" s="68"/>
      <c r="L71" s="68" t="s">
        <v>893</v>
      </c>
      <c r="M71" s="68" t="str">
        <f t="shared" si="5"/>
        <v>***
&gt; [!4colonne]- [[Messaggi/2022/2022-04-25| ← Messaggio precedente]] | 25 maggio 2022 | [[Messaggi/2022/2022-06-25| Messaggio successivo → ]]</v>
      </c>
    </row>
    <row r="72" spans="1:13" x14ac:dyDescent="0.25">
      <c r="A72" s="68"/>
      <c r="B72" s="70">
        <v>44676</v>
      </c>
      <c r="C72" s="68" t="str">
        <f t="shared" si="6"/>
        <v>25</v>
      </c>
      <c r="D72" s="68" t="str">
        <f>IF(ISERROR(DAY(B72)),TEXT(MATCH(TRIM(SUBSTITUTE(SUBSTITUTE(SUBSTITUTE(SUBSTITUTE(SUBSTITUTE(SUBSTITUTE(SUBSTITUTE(SUBSTITUTE(SUBSTITUTE(SUBSTITUTE(SUBSTITUTE(B72,1,""),2,""),3,""),4,""),5,""),6,""),7,""),8,""),9,""),0,""),"-","")),{"gennaio","febbraio","marzo","aprile","maggio","giugno","luglio","agosto","settembre","ottobre","novembre","dicembre"},0),"00"),TEXT(MONTH(B72)*29,"mm"))</f>
        <v>04</v>
      </c>
      <c r="E72" s="68">
        <f t="shared" si="7"/>
        <v>2022</v>
      </c>
      <c r="G72" s="68" t="s">
        <v>918</v>
      </c>
      <c r="H72" s="68"/>
      <c r="I72" s="68" t="s">
        <v>919</v>
      </c>
      <c r="J72" s="68" t="s">
        <v>917</v>
      </c>
      <c r="K72" s="68"/>
      <c r="L72" s="68" t="s">
        <v>893</v>
      </c>
      <c r="M72" s="68" t="str">
        <f t="shared" si="5"/>
        <v>***
&gt; [!4colonne]- [[Messaggi/2022/2022-03-25| ← Messaggio precedente]] | 25 aprile 2022 | [[Messaggi/2022/2022-05-25| Messaggio successivo → ]]</v>
      </c>
    </row>
    <row r="73" spans="1:13" x14ac:dyDescent="0.25">
      <c r="A73" s="68"/>
      <c r="B73" s="70">
        <v>44645</v>
      </c>
      <c r="C73" s="68" t="str">
        <f t="shared" si="6"/>
        <v>25</v>
      </c>
      <c r="D73" s="68" t="str">
        <f>IF(ISERROR(DAY(B73)),TEXT(MATCH(TRIM(SUBSTITUTE(SUBSTITUTE(SUBSTITUTE(SUBSTITUTE(SUBSTITUTE(SUBSTITUTE(SUBSTITUTE(SUBSTITUTE(SUBSTITUTE(SUBSTITUTE(SUBSTITUTE(B73,1,""),2,""),3,""),4,""),5,""),6,""),7,""),8,""),9,""),0,""),"-","")),{"gennaio","febbraio","marzo","aprile","maggio","giugno","luglio","agosto","settembre","ottobre","novembre","dicembre"},0),"00"),TEXT(MONTH(B73)*29,"mm"))</f>
        <v>03</v>
      </c>
      <c r="E73" s="68">
        <f t="shared" si="7"/>
        <v>2022</v>
      </c>
      <c r="G73" s="68" t="s">
        <v>918</v>
      </c>
      <c r="H73" s="68"/>
      <c r="I73" s="68" t="s">
        <v>919</v>
      </c>
      <c r="J73" s="68" t="s">
        <v>917</v>
      </c>
      <c r="K73" s="68"/>
      <c r="L73" s="68" t="s">
        <v>893</v>
      </c>
      <c r="M73" s="68" t="str">
        <f t="shared" si="5"/>
        <v>***
&gt; [!4colonne]- [[Messaggi/2022/2022-03-18| ← Messaggio precedente]] | 25 marzo 2022 | [[Messaggi/2022/2022-04-25| Messaggio successivo → ]]</v>
      </c>
    </row>
    <row r="74" spans="1:13" x14ac:dyDescent="0.25">
      <c r="A74" s="68"/>
      <c r="B74" s="70">
        <v>44638</v>
      </c>
      <c r="C74" s="68" t="str">
        <f t="shared" si="6"/>
        <v>18</v>
      </c>
      <c r="D74" s="68" t="str">
        <f>IF(ISERROR(DAY(B74)),TEXT(MATCH(TRIM(SUBSTITUTE(SUBSTITUTE(SUBSTITUTE(SUBSTITUTE(SUBSTITUTE(SUBSTITUTE(SUBSTITUTE(SUBSTITUTE(SUBSTITUTE(SUBSTITUTE(SUBSTITUTE(B74,1,""),2,""),3,""),4,""),5,""),6,""),7,""),8,""),9,""),0,""),"-","")),{"gennaio","febbraio","marzo","aprile","maggio","giugno","luglio","agosto","settembre","ottobre","novembre","dicembre"},0),"00"),TEXT(MONTH(B74)*29,"mm"))</f>
        <v>03</v>
      </c>
      <c r="E74" s="68">
        <f t="shared" si="7"/>
        <v>2022</v>
      </c>
      <c r="G74" s="68" t="s">
        <v>918</v>
      </c>
      <c r="H74" s="68"/>
      <c r="I74" s="68" t="s">
        <v>919</v>
      </c>
      <c r="J74" s="68" t="s">
        <v>917</v>
      </c>
      <c r="K74" s="68"/>
      <c r="L74" s="68" t="s">
        <v>893</v>
      </c>
      <c r="M74" s="68" t="str">
        <f t="shared" si="5"/>
        <v>***
&gt; [!4colonne]- [[Messaggi/2022/2022-02-25| ← Messaggio precedente]] | 18 marzo 2022 | [[Messaggi/2022/2022-03-25| Messaggio successivo → ]]</v>
      </c>
    </row>
    <row r="75" spans="1:13" x14ac:dyDescent="0.25">
      <c r="A75" s="68"/>
      <c r="B75" s="70">
        <v>44617</v>
      </c>
      <c r="C75" s="68" t="str">
        <f t="shared" si="6"/>
        <v>25</v>
      </c>
      <c r="D75" s="68" t="str">
        <f>IF(ISERROR(DAY(B75)),TEXT(MATCH(TRIM(SUBSTITUTE(SUBSTITUTE(SUBSTITUTE(SUBSTITUTE(SUBSTITUTE(SUBSTITUTE(SUBSTITUTE(SUBSTITUTE(SUBSTITUTE(SUBSTITUTE(SUBSTITUTE(B75,1,""),2,""),3,""),4,""),5,""),6,""),7,""),8,""),9,""),0,""),"-","")),{"gennaio","febbraio","marzo","aprile","maggio","giugno","luglio","agosto","settembre","ottobre","novembre","dicembre"},0),"00"),TEXT(MONTH(B75)*29,"mm"))</f>
        <v>02</v>
      </c>
      <c r="E75" s="68">
        <f t="shared" si="7"/>
        <v>2022</v>
      </c>
      <c r="G75" s="68" t="s">
        <v>918</v>
      </c>
      <c r="H75" s="68"/>
      <c r="I75" s="68" t="s">
        <v>919</v>
      </c>
      <c r="J75" s="68" t="s">
        <v>917</v>
      </c>
      <c r="K75" s="68"/>
      <c r="L75" s="68" t="s">
        <v>893</v>
      </c>
      <c r="M75" s="68" t="str">
        <f t="shared" si="5"/>
        <v>***
&gt; [!4colonne]- [[Messaggi/2022/2022-01-25| ← Messaggio precedente]] | 25 febbraio 2022 | [[Messaggi/2022/2022-03-18| Messaggio successivo → ]]</v>
      </c>
    </row>
    <row r="76" spans="1:13" s="37" customFormat="1" x14ac:dyDescent="0.25">
      <c r="A76" s="69"/>
      <c r="B76" s="71">
        <v>44586</v>
      </c>
      <c r="C76" s="69" t="str">
        <f t="shared" si="6"/>
        <v>25</v>
      </c>
      <c r="D76" s="69" t="str">
        <f>IF(ISERROR(DAY(B76)),TEXT(MATCH(TRIM(SUBSTITUTE(SUBSTITUTE(SUBSTITUTE(SUBSTITUTE(SUBSTITUTE(SUBSTITUTE(SUBSTITUTE(SUBSTITUTE(SUBSTITUTE(SUBSTITUTE(SUBSTITUTE(B76,1,""),2,""),3,""),4,""),5,""),6,""),7,""),8,""),9,""),0,""),"-","")),{"gennaio","febbraio","marzo","aprile","maggio","giugno","luglio","agosto","settembre","ottobre","novembre","dicembre"},0),"00"),TEXT(MONTH(B76)*29,"mm"))</f>
        <v>01</v>
      </c>
      <c r="E76" s="69">
        <f t="shared" si="7"/>
        <v>2022</v>
      </c>
      <c r="F76" s="66"/>
      <c r="G76" s="69" t="s">
        <v>918</v>
      </c>
      <c r="H76" s="69"/>
      <c r="I76" s="69" t="s">
        <v>919</v>
      </c>
      <c r="J76" s="69" t="s">
        <v>917</v>
      </c>
      <c r="K76" s="69"/>
      <c r="L76" s="69" t="s">
        <v>893</v>
      </c>
      <c r="M76" s="69" t="str">
        <f t="shared" si="5"/>
        <v>***
&gt; [!4colonne]- [[Messaggi/2021/2021-12-25| ← Messaggio precedente]] | 25 gennaio 2022 | [[Messaggi/2022/2022-02-25| Messaggio successivo → ]]</v>
      </c>
    </row>
    <row r="77" spans="1:13" x14ac:dyDescent="0.25">
      <c r="A77" s="68"/>
      <c r="B77" s="70">
        <v>44555</v>
      </c>
      <c r="C77" s="68" t="str">
        <f t="shared" si="6"/>
        <v>25</v>
      </c>
      <c r="D77" s="68" t="str">
        <f>IF(ISERROR(DAY(B77)),TEXT(MATCH(TRIM(SUBSTITUTE(SUBSTITUTE(SUBSTITUTE(SUBSTITUTE(SUBSTITUTE(SUBSTITUTE(SUBSTITUTE(SUBSTITUTE(SUBSTITUTE(SUBSTITUTE(SUBSTITUTE(B77,1,""),2,""),3,""),4,""),5,""),6,""),7,""),8,""),9,""),0,""),"-","")),{"gennaio","febbraio","marzo","aprile","maggio","giugno","luglio","agosto","settembre","ottobre","novembre","dicembre"},0),"00"),TEXT(MONTH(B77)*29,"mm"))</f>
        <v>12</v>
      </c>
      <c r="E77" s="68">
        <f t="shared" si="7"/>
        <v>2021</v>
      </c>
      <c r="G77" s="68" t="s">
        <v>918</v>
      </c>
      <c r="H77" s="68"/>
      <c r="I77" s="68" t="s">
        <v>919</v>
      </c>
      <c r="J77" s="68" t="s">
        <v>917</v>
      </c>
      <c r="K77" s="68"/>
      <c r="L77" s="68" t="s">
        <v>893</v>
      </c>
      <c r="M77" s="68" t="str">
        <f t="shared" si="5"/>
        <v>***
&gt; [!4colonne]- [[Messaggi/2021/2021-12-25| ← Messaggio precedente]] | 25 dicembre 2021 | [[Messaggi/2022/2022-01-25| Messaggio successivo → ]]</v>
      </c>
    </row>
    <row r="78" spans="1:13" x14ac:dyDescent="0.25">
      <c r="A78" s="68"/>
      <c r="B78" s="70">
        <v>44555</v>
      </c>
      <c r="C78" s="68" t="str">
        <f t="shared" si="6"/>
        <v>25</v>
      </c>
      <c r="D78" s="68" t="str">
        <f>IF(ISERROR(DAY(B78)),TEXT(MATCH(TRIM(SUBSTITUTE(SUBSTITUTE(SUBSTITUTE(SUBSTITUTE(SUBSTITUTE(SUBSTITUTE(SUBSTITUTE(SUBSTITUTE(SUBSTITUTE(SUBSTITUTE(SUBSTITUTE(B78,1,""),2,""),3,""),4,""),5,""),6,""),7,""),8,""),9,""),0,""),"-","")),{"gennaio","febbraio","marzo","aprile","maggio","giugno","luglio","agosto","settembre","ottobre","novembre","dicembre"},0),"00"),TEXT(MONTH(B78)*29,"mm"))</f>
        <v>12</v>
      </c>
      <c r="E78" s="68">
        <f t="shared" si="7"/>
        <v>2021</v>
      </c>
      <c r="G78" s="68" t="s">
        <v>918</v>
      </c>
      <c r="H78" s="68"/>
      <c r="I78" s="68" t="s">
        <v>919</v>
      </c>
      <c r="J78" s="68" t="s">
        <v>917</v>
      </c>
      <c r="K78" s="68"/>
      <c r="L78" s="68" t="s">
        <v>893</v>
      </c>
      <c r="M78" s="68" t="str">
        <f t="shared" si="5"/>
        <v>***
&gt; [!4colonne]- [[Messaggi/2021/2021-11-25| ← Messaggio precedente]] | 25 dicembre 2021 | [[Messaggi/2021/2021-12-25| Messaggio successivo → ]]</v>
      </c>
    </row>
    <row r="79" spans="1:13" x14ac:dyDescent="0.25">
      <c r="A79" s="68"/>
      <c r="B79" s="70">
        <v>44525</v>
      </c>
      <c r="C79" s="68" t="str">
        <f t="shared" si="6"/>
        <v>25</v>
      </c>
      <c r="D79" s="68" t="str">
        <f>IF(ISERROR(DAY(B79)),TEXT(MATCH(TRIM(SUBSTITUTE(SUBSTITUTE(SUBSTITUTE(SUBSTITUTE(SUBSTITUTE(SUBSTITUTE(SUBSTITUTE(SUBSTITUTE(SUBSTITUTE(SUBSTITUTE(SUBSTITUTE(B79,1,""),2,""),3,""),4,""),5,""),6,""),7,""),8,""),9,""),0,""),"-","")),{"gennaio","febbraio","marzo","aprile","maggio","giugno","luglio","agosto","settembre","ottobre","novembre","dicembre"},0),"00"),TEXT(MONTH(B79)*29,"mm"))</f>
        <v>11</v>
      </c>
      <c r="E79" s="68">
        <f t="shared" si="7"/>
        <v>2021</v>
      </c>
      <c r="G79" s="68" t="s">
        <v>918</v>
      </c>
      <c r="H79" s="68"/>
      <c r="I79" s="68" t="s">
        <v>919</v>
      </c>
      <c r="J79" s="68" t="s">
        <v>917</v>
      </c>
      <c r="K79" s="68"/>
      <c r="L79" s="68" t="s">
        <v>893</v>
      </c>
      <c r="M79" s="68" t="str">
        <f t="shared" si="5"/>
        <v>***
&gt; [!4colonne]- [[Messaggi/2021/2021-10-25| ← Messaggio precedente]] | 25 novembre 2021 | [[Messaggi/2021/2021-12-25| Messaggio successivo → ]]</v>
      </c>
    </row>
    <row r="80" spans="1:13" x14ac:dyDescent="0.25">
      <c r="A80" s="68"/>
      <c r="B80" s="70">
        <v>44494</v>
      </c>
      <c r="C80" s="68" t="str">
        <f t="shared" si="6"/>
        <v>25</v>
      </c>
      <c r="D80" s="68" t="str">
        <f>IF(ISERROR(DAY(B80)),TEXT(MATCH(TRIM(SUBSTITUTE(SUBSTITUTE(SUBSTITUTE(SUBSTITUTE(SUBSTITUTE(SUBSTITUTE(SUBSTITUTE(SUBSTITUTE(SUBSTITUTE(SUBSTITUTE(SUBSTITUTE(B80,1,""),2,""),3,""),4,""),5,""),6,""),7,""),8,""),9,""),0,""),"-","")),{"gennaio","febbraio","marzo","aprile","maggio","giugno","luglio","agosto","settembre","ottobre","novembre","dicembre"},0),"00"),TEXT(MONTH(B80)*29,"mm"))</f>
        <v>10</v>
      </c>
      <c r="E80" s="68">
        <f t="shared" si="7"/>
        <v>2021</v>
      </c>
      <c r="G80" s="68" t="s">
        <v>918</v>
      </c>
      <c r="H80" s="68"/>
      <c r="I80" s="68" t="s">
        <v>919</v>
      </c>
      <c r="J80" s="68" t="s">
        <v>917</v>
      </c>
      <c r="K80" s="68"/>
      <c r="L80" s="68" t="s">
        <v>893</v>
      </c>
      <c r="M80" s="68" t="str">
        <f t="shared" si="5"/>
        <v>***
&gt; [!4colonne]- [[Messaggi/2021/2021-09-25| ← Messaggio precedente]] | 25 ottobre 2021 | [[Messaggi/2021/2021-11-25| Messaggio successivo → ]]</v>
      </c>
    </row>
    <row r="81" spans="1:13" x14ac:dyDescent="0.25">
      <c r="A81" s="68"/>
      <c r="B81" s="70">
        <v>44464</v>
      </c>
      <c r="C81" s="68" t="str">
        <f t="shared" si="6"/>
        <v>25</v>
      </c>
      <c r="D81" s="68" t="str">
        <f>IF(ISERROR(DAY(B81)),TEXT(MATCH(TRIM(SUBSTITUTE(SUBSTITUTE(SUBSTITUTE(SUBSTITUTE(SUBSTITUTE(SUBSTITUTE(SUBSTITUTE(SUBSTITUTE(SUBSTITUTE(SUBSTITUTE(SUBSTITUTE(B81,1,""),2,""),3,""),4,""),5,""),6,""),7,""),8,""),9,""),0,""),"-","")),{"gennaio","febbraio","marzo","aprile","maggio","giugno","luglio","agosto","settembre","ottobre","novembre","dicembre"},0),"00"),TEXT(MONTH(B81)*29,"mm"))</f>
        <v>09</v>
      </c>
      <c r="E81" s="68">
        <f t="shared" si="7"/>
        <v>2021</v>
      </c>
      <c r="G81" s="68" t="s">
        <v>918</v>
      </c>
      <c r="H81" s="68"/>
      <c r="I81" s="68" t="s">
        <v>919</v>
      </c>
      <c r="J81" s="68" t="s">
        <v>917</v>
      </c>
      <c r="K81" s="68"/>
      <c r="L81" s="68" t="s">
        <v>893</v>
      </c>
      <c r="M81" s="68" t="str">
        <f t="shared" ref="M81:M144" si="8">_xlfn.CONCAT("***
&gt;",G81,E82,"/",E82,"-",D82,"-",C82,H81,I81," | ",TEXT(B81,"gg mmmm aaaa"),J81,E80,"/",E80,"-",D80,"-",C80,K81,L81)</f>
        <v>***
&gt; [!4colonne]- [[Messaggi/2021/2021-08-25| ← Messaggio precedente]] | 25 settembre 2021 | [[Messaggi/2021/2021-10-25| Messaggio successivo → ]]</v>
      </c>
    </row>
    <row r="82" spans="1:13" x14ac:dyDescent="0.25">
      <c r="A82" s="68"/>
      <c r="B82" s="70">
        <v>44433</v>
      </c>
      <c r="C82" s="68" t="str">
        <f t="shared" si="6"/>
        <v>25</v>
      </c>
      <c r="D82" s="68" t="str">
        <f>IF(ISERROR(DAY(B82)),TEXT(MATCH(TRIM(SUBSTITUTE(SUBSTITUTE(SUBSTITUTE(SUBSTITUTE(SUBSTITUTE(SUBSTITUTE(SUBSTITUTE(SUBSTITUTE(SUBSTITUTE(SUBSTITUTE(SUBSTITUTE(B82,1,""),2,""),3,""),4,""),5,""),6,""),7,""),8,""),9,""),0,""),"-","")),{"gennaio","febbraio","marzo","aprile","maggio","giugno","luglio","agosto","settembre","ottobre","novembre","dicembre"},0),"00"),TEXT(MONTH(B82)*29,"mm"))</f>
        <v>08</v>
      </c>
      <c r="E82" s="68">
        <f t="shared" si="7"/>
        <v>2021</v>
      </c>
      <c r="G82" s="68" t="s">
        <v>918</v>
      </c>
      <c r="H82" s="68"/>
      <c r="I82" s="68" t="s">
        <v>919</v>
      </c>
      <c r="J82" s="68" t="s">
        <v>917</v>
      </c>
      <c r="K82" s="68"/>
      <c r="L82" s="68" t="s">
        <v>893</v>
      </c>
      <c r="M82" s="68" t="str">
        <f t="shared" si="8"/>
        <v>***
&gt; [!4colonne]- [[Messaggi/2021/2021-08-06| ← Messaggio precedente]] | 25 agosto 2021 | [[Messaggi/2021/2021-09-25| Messaggio successivo → ]]</v>
      </c>
    </row>
    <row r="83" spans="1:13" x14ac:dyDescent="0.25">
      <c r="A83" s="68"/>
      <c r="B83" s="70">
        <v>44414</v>
      </c>
      <c r="C83" s="68" t="str">
        <f t="shared" si="6"/>
        <v>06</v>
      </c>
      <c r="D83" s="68" t="str">
        <f>IF(ISERROR(DAY(B83)),TEXT(MATCH(TRIM(SUBSTITUTE(SUBSTITUTE(SUBSTITUTE(SUBSTITUTE(SUBSTITUTE(SUBSTITUTE(SUBSTITUTE(SUBSTITUTE(SUBSTITUTE(SUBSTITUTE(SUBSTITUTE(B83,1,""),2,""),3,""),4,""),5,""),6,""),7,""),8,""),9,""),0,""),"-","")),{"gennaio","febbraio","marzo","aprile","maggio","giugno","luglio","agosto","settembre","ottobre","novembre","dicembre"},0),"00"),TEXT(MONTH(B83)*29,"mm"))</f>
        <v>08</v>
      </c>
      <c r="E83" s="68">
        <f t="shared" si="7"/>
        <v>2021</v>
      </c>
      <c r="G83" s="68" t="s">
        <v>918</v>
      </c>
      <c r="H83" s="68"/>
      <c r="I83" s="68" t="s">
        <v>919</v>
      </c>
      <c r="J83" s="68" t="s">
        <v>917</v>
      </c>
      <c r="K83" s="68"/>
      <c r="L83" s="68" t="s">
        <v>893</v>
      </c>
      <c r="M83" s="68" t="str">
        <f t="shared" si="8"/>
        <v>***
&gt; [!4colonne]- [[Messaggi/2021/2021-07-25| ← Messaggio precedente]] | 06 agosto 2021 | [[Messaggi/2021/2021-08-25| Messaggio successivo → ]]</v>
      </c>
    </row>
    <row r="84" spans="1:13" x14ac:dyDescent="0.25">
      <c r="A84" s="68"/>
      <c r="B84" s="70">
        <v>44402</v>
      </c>
      <c r="C84" s="68" t="str">
        <f t="shared" si="6"/>
        <v>25</v>
      </c>
      <c r="D84" s="68" t="str">
        <f>IF(ISERROR(DAY(B84)),TEXT(MATCH(TRIM(SUBSTITUTE(SUBSTITUTE(SUBSTITUTE(SUBSTITUTE(SUBSTITUTE(SUBSTITUTE(SUBSTITUTE(SUBSTITUTE(SUBSTITUTE(SUBSTITUTE(SUBSTITUTE(B84,1,""),2,""),3,""),4,""),5,""),6,""),7,""),8,""),9,""),0,""),"-","")),{"gennaio","febbraio","marzo","aprile","maggio","giugno","luglio","agosto","settembre","ottobre","novembre","dicembre"},0),"00"),TEXT(MONTH(B84)*29,"mm"))</f>
        <v>07</v>
      </c>
      <c r="E84" s="68">
        <f t="shared" si="7"/>
        <v>2021</v>
      </c>
      <c r="G84" s="68" t="s">
        <v>918</v>
      </c>
      <c r="H84" s="68"/>
      <c r="I84" s="68" t="s">
        <v>919</v>
      </c>
      <c r="J84" s="68" t="s">
        <v>917</v>
      </c>
      <c r="K84" s="68"/>
      <c r="L84" s="68" t="s">
        <v>893</v>
      </c>
      <c r="M84" s="68" t="str">
        <f t="shared" si="8"/>
        <v>***
&gt; [!4colonne]- [[Messaggi/2021/2021-06-25| ← Messaggio precedente]] | 25 luglio 2021 | [[Messaggi/2021/2021-08-06| Messaggio successivo → ]]</v>
      </c>
    </row>
    <row r="85" spans="1:13" x14ac:dyDescent="0.25">
      <c r="A85" s="68"/>
      <c r="B85" s="70">
        <v>44372</v>
      </c>
      <c r="C85" s="68" t="str">
        <f t="shared" si="6"/>
        <v>25</v>
      </c>
      <c r="D85" s="68" t="str">
        <f>IF(ISERROR(DAY(B85)),TEXT(MATCH(TRIM(SUBSTITUTE(SUBSTITUTE(SUBSTITUTE(SUBSTITUTE(SUBSTITUTE(SUBSTITUTE(SUBSTITUTE(SUBSTITUTE(SUBSTITUTE(SUBSTITUTE(SUBSTITUTE(B85,1,""),2,""),3,""),4,""),5,""),6,""),7,""),8,""),9,""),0,""),"-","")),{"gennaio","febbraio","marzo","aprile","maggio","giugno","luglio","agosto","settembre","ottobre","novembre","dicembre"},0),"00"),TEXT(MONTH(B85)*29,"mm"))</f>
        <v>06</v>
      </c>
      <c r="E85" s="68">
        <f t="shared" si="7"/>
        <v>2021</v>
      </c>
      <c r="G85" s="68" t="s">
        <v>918</v>
      </c>
      <c r="H85" s="68"/>
      <c r="I85" s="68" t="s">
        <v>919</v>
      </c>
      <c r="J85" s="68" t="s">
        <v>917</v>
      </c>
      <c r="K85" s="68"/>
      <c r="L85" s="68" t="s">
        <v>893</v>
      </c>
      <c r="M85" s="68" t="str">
        <f t="shared" si="8"/>
        <v>***
&gt; [!4colonne]- [[Messaggi/2021/2021-06-25| ← Messaggio precedente]] | 25 giugno 2021 | [[Messaggi/2021/2021-07-25| Messaggio successivo → ]]</v>
      </c>
    </row>
    <row r="86" spans="1:13" x14ac:dyDescent="0.25">
      <c r="A86" s="68"/>
      <c r="B86" s="70">
        <v>44372</v>
      </c>
      <c r="C86" s="68" t="str">
        <f t="shared" si="6"/>
        <v>25</v>
      </c>
      <c r="D86" s="68" t="str">
        <f>IF(ISERROR(DAY(B86)),TEXT(MATCH(TRIM(SUBSTITUTE(SUBSTITUTE(SUBSTITUTE(SUBSTITUTE(SUBSTITUTE(SUBSTITUTE(SUBSTITUTE(SUBSTITUTE(SUBSTITUTE(SUBSTITUTE(SUBSTITUTE(B86,1,""),2,""),3,""),4,""),5,""),6,""),7,""),8,""),9,""),0,""),"-","")),{"gennaio","febbraio","marzo","aprile","maggio","giugno","luglio","agosto","settembre","ottobre","novembre","dicembre"},0),"00"),TEXT(MONTH(B86)*29,"mm"))</f>
        <v>06</v>
      </c>
      <c r="E86" s="68">
        <f t="shared" si="7"/>
        <v>2021</v>
      </c>
      <c r="G86" s="68" t="s">
        <v>918</v>
      </c>
      <c r="H86" s="68"/>
      <c r="I86" s="68" t="s">
        <v>919</v>
      </c>
      <c r="J86" s="68" t="s">
        <v>917</v>
      </c>
      <c r="K86" s="68"/>
      <c r="L86" s="68" t="s">
        <v>893</v>
      </c>
      <c r="M86" s="68" t="str">
        <f t="shared" si="8"/>
        <v>***
&gt; [!4colonne]- [[Messaggi/2021/2021-05-25| ← Messaggio precedente]] | 25 giugno 2021 | [[Messaggi/2021/2021-06-25| Messaggio successivo → ]]</v>
      </c>
    </row>
    <row r="87" spans="1:13" x14ac:dyDescent="0.25">
      <c r="A87" s="68"/>
      <c r="B87" s="70">
        <v>44341</v>
      </c>
      <c r="C87" s="68" t="str">
        <f t="shared" si="6"/>
        <v>25</v>
      </c>
      <c r="D87" s="68" t="str">
        <f>IF(ISERROR(DAY(B87)),TEXT(MATCH(TRIM(SUBSTITUTE(SUBSTITUTE(SUBSTITUTE(SUBSTITUTE(SUBSTITUTE(SUBSTITUTE(SUBSTITUTE(SUBSTITUTE(SUBSTITUTE(SUBSTITUTE(SUBSTITUTE(B87,1,""),2,""),3,""),4,""),5,""),6,""),7,""),8,""),9,""),0,""),"-","")),{"gennaio","febbraio","marzo","aprile","maggio","giugno","luglio","agosto","settembre","ottobre","novembre","dicembre"},0),"00"),TEXT(MONTH(B87)*29,"mm"))</f>
        <v>05</v>
      </c>
      <c r="E87" s="68">
        <f t="shared" ref="E87:E118" si="9">YEAR(B87)</f>
        <v>2021</v>
      </c>
      <c r="G87" s="68" t="s">
        <v>918</v>
      </c>
      <c r="H87" s="68"/>
      <c r="I87" s="68" t="s">
        <v>919</v>
      </c>
      <c r="J87" s="68" t="s">
        <v>917</v>
      </c>
      <c r="K87" s="68"/>
      <c r="L87" s="68" t="s">
        <v>893</v>
      </c>
      <c r="M87" s="68" t="str">
        <f t="shared" si="8"/>
        <v>***
&gt; [!4colonne]- [[Messaggi/2021/2021-04-25| ← Messaggio precedente]] | 25 maggio 2021 | [[Messaggi/2021/2021-06-25| Messaggio successivo → ]]</v>
      </c>
    </row>
    <row r="88" spans="1:13" x14ac:dyDescent="0.25">
      <c r="A88" s="68"/>
      <c r="B88" s="70">
        <v>44311</v>
      </c>
      <c r="C88" s="68" t="str">
        <f t="shared" si="6"/>
        <v>25</v>
      </c>
      <c r="D88" s="68" t="str">
        <f>IF(ISERROR(DAY(B88)),TEXT(MATCH(TRIM(SUBSTITUTE(SUBSTITUTE(SUBSTITUTE(SUBSTITUTE(SUBSTITUTE(SUBSTITUTE(SUBSTITUTE(SUBSTITUTE(SUBSTITUTE(SUBSTITUTE(SUBSTITUTE(B88,1,""),2,""),3,""),4,""),5,""),6,""),7,""),8,""),9,""),0,""),"-","")),{"gennaio","febbraio","marzo","aprile","maggio","giugno","luglio","agosto","settembre","ottobre","novembre","dicembre"},0),"00"),TEXT(MONTH(B88)*29,"mm"))</f>
        <v>04</v>
      </c>
      <c r="E88" s="68">
        <f t="shared" si="9"/>
        <v>2021</v>
      </c>
      <c r="G88" s="68" t="s">
        <v>918</v>
      </c>
      <c r="H88" s="68"/>
      <c r="I88" s="68" t="s">
        <v>919</v>
      </c>
      <c r="J88" s="68" t="s">
        <v>917</v>
      </c>
      <c r="K88" s="68"/>
      <c r="L88" s="68" t="s">
        <v>893</v>
      </c>
      <c r="M88" s="68" t="str">
        <f t="shared" si="8"/>
        <v>***
&gt; [!4colonne]- [[Messaggi/2021/2021-03-25| ← Messaggio precedente]] | 25 aprile 2021 | [[Messaggi/2021/2021-05-25| Messaggio successivo → ]]</v>
      </c>
    </row>
    <row r="89" spans="1:13" x14ac:dyDescent="0.25">
      <c r="A89" s="68"/>
      <c r="B89" s="70">
        <v>44280</v>
      </c>
      <c r="C89" s="68" t="str">
        <f t="shared" si="6"/>
        <v>25</v>
      </c>
      <c r="D89" s="68" t="str">
        <f>IF(ISERROR(DAY(B89)),TEXT(MATCH(TRIM(SUBSTITUTE(SUBSTITUTE(SUBSTITUTE(SUBSTITUTE(SUBSTITUTE(SUBSTITUTE(SUBSTITUTE(SUBSTITUTE(SUBSTITUTE(SUBSTITUTE(SUBSTITUTE(B89,1,""),2,""),3,""),4,""),5,""),6,""),7,""),8,""),9,""),0,""),"-","")),{"gennaio","febbraio","marzo","aprile","maggio","giugno","luglio","agosto","settembre","ottobre","novembre","dicembre"},0),"00"),TEXT(MONTH(B89)*29,"mm"))</f>
        <v>03</v>
      </c>
      <c r="E89" s="68">
        <f t="shared" si="9"/>
        <v>2021</v>
      </c>
      <c r="G89" s="68" t="s">
        <v>918</v>
      </c>
      <c r="H89" s="68"/>
      <c r="I89" s="68" t="s">
        <v>919</v>
      </c>
      <c r="J89" s="68" t="s">
        <v>917</v>
      </c>
      <c r="K89" s="68"/>
      <c r="L89" s="68" t="s">
        <v>893</v>
      </c>
      <c r="M89" s="68" t="str">
        <f t="shared" si="8"/>
        <v>***
&gt; [!4colonne]- [[Messaggi/2021/2021-03-18| ← Messaggio precedente]] | 25 marzo 2021 | [[Messaggi/2021/2021-04-25| Messaggio successivo → ]]</v>
      </c>
    </row>
    <row r="90" spans="1:13" x14ac:dyDescent="0.25">
      <c r="A90" s="68"/>
      <c r="B90" s="70">
        <v>44273</v>
      </c>
      <c r="C90" s="68" t="str">
        <f t="shared" si="6"/>
        <v>18</v>
      </c>
      <c r="D90" s="68" t="str">
        <f>IF(ISERROR(DAY(B90)),TEXT(MATCH(TRIM(SUBSTITUTE(SUBSTITUTE(SUBSTITUTE(SUBSTITUTE(SUBSTITUTE(SUBSTITUTE(SUBSTITUTE(SUBSTITUTE(SUBSTITUTE(SUBSTITUTE(SUBSTITUTE(B90,1,""),2,""),3,""),4,""),5,""),6,""),7,""),8,""),9,""),0,""),"-","")),{"gennaio","febbraio","marzo","aprile","maggio","giugno","luglio","agosto","settembre","ottobre","novembre","dicembre"},0),"00"),TEXT(MONTH(B90)*29,"mm"))</f>
        <v>03</v>
      </c>
      <c r="E90" s="68">
        <f t="shared" si="9"/>
        <v>2021</v>
      </c>
      <c r="G90" s="68" t="s">
        <v>918</v>
      </c>
      <c r="H90" s="68"/>
      <c r="I90" s="68" t="s">
        <v>919</v>
      </c>
      <c r="J90" s="68" t="s">
        <v>917</v>
      </c>
      <c r="K90" s="68"/>
      <c r="L90" s="68" t="s">
        <v>893</v>
      </c>
      <c r="M90" s="68" t="str">
        <f t="shared" si="8"/>
        <v>***
&gt; [!4colonne]- [[Messaggi/2021/2021-02-25| ← Messaggio precedente]] | 18 marzo 2021 | [[Messaggi/2021/2021-03-25| Messaggio successivo → ]]</v>
      </c>
    </row>
    <row r="91" spans="1:13" x14ac:dyDescent="0.25">
      <c r="A91" s="68"/>
      <c r="B91" s="70">
        <v>44252</v>
      </c>
      <c r="C91" s="68" t="str">
        <f t="shared" si="6"/>
        <v>25</v>
      </c>
      <c r="D91" s="68" t="str">
        <f>IF(ISERROR(DAY(B91)),TEXT(MATCH(TRIM(SUBSTITUTE(SUBSTITUTE(SUBSTITUTE(SUBSTITUTE(SUBSTITUTE(SUBSTITUTE(SUBSTITUTE(SUBSTITUTE(SUBSTITUTE(SUBSTITUTE(SUBSTITUTE(B91,1,""),2,""),3,""),4,""),5,""),6,""),7,""),8,""),9,""),0,""),"-","")),{"gennaio","febbraio","marzo","aprile","maggio","giugno","luglio","agosto","settembre","ottobre","novembre","dicembre"},0),"00"),TEXT(MONTH(B91)*29,"mm"))</f>
        <v>02</v>
      </c>
      <c r="E91" s="68">
        <f t="shared" si="9"/>
        <v>2021</v>
      </c>
      <c r="G91" s="68" t="s">
        <v>918</v>
      </c>
      <c r="H91" s="68"/>
      <c r="I91" s="68" t="s">
        <v>919</v>
      </c>
      <c r="J91" s="68" t="s">
        <v>917</v>
      </c>
      <c r="K91" s="68"/>
      <c r="L91" s="68" t="s">
        <v>893</v>
      </c>
      <c r="M91" s="68" t="str">
        <f t="shared" si="8"/>
        <v>***
&gt; [!4colonne]- [[Messaggi/2021/2021-01-25| ← Messaggio precedente]] | 25 febbraio 2021 | [[Messaggi/2021/2021-03-18| Messaggio successivo → ]]</v>
      </c>
    </row>
    <row r="92" spans="1:13" s="37" customFormat="1" x14ac:dyDescent="0.25">
      <c r="A92" s="69"/>
      <c r="B92" s="71">
        <v>44221</v>
      </c>
      <c r="C92" s="69" t="str">
        <f t="shared" si="6"/>
        <v>25</v>
      </c>
      <c r="D92" s="69" t="str">
        <f>IF(ISERROR(DAY(B92)),TEXT(MATCH(TRIM(SUBSTITUTE(SUBSTITUTE(SUBSTITUTE(SUBSTITUTE(SUBSTITUTE(SUBSTITUTE(SUBSTITUTE(SUBSTITUTE(SUBSTITUTE(SUBSTITUTE(SUBSTITUTE(B92,1,""),2,""),3,""),4,""),5,""),6,""),7,""),8,""),9,""),0,""),"-","")),{"gennaio","febbraio","marzo","aprile","maggio","giugno","luglio","agosto","settembre","ottobre","novembre","dicembre"},0),"00"),TEXT(MONTH(B92)*29,"mm"))</f>
        <v>01</v>
      </c>
      <c r="E92" s="69">
        <f t="shared" si="9"/>
        <v>2021</v>
      </c>
      <c r="F92" s="66"/>
      <c r="G92" s="69" t="s">
        <v>918</v>
      </c>
      <c r="H92" s="69"/>
      <c r="I92" s="69" t="s">
        <v>919</v>
      </c>
      <c r="J92" s="69" t="s">
        <v>917</v>
      </c>
      <c r="K92" s="69"/>
      <c r="L92" s="69" t="s">
        <v>893</v>
      </c>
      <c r="M92" s="69" t="str">
        <f t="shared" si="8"/>
        <v>***
&gt; [!4colonne]- [[Messaggi/2020/2020-12-25| ← Messaggio precedente]] | 25 gennaio 2021 | [[Messaggi/2021/2021-02-25| Messaggio successivo → ]]</v>
      </c>
    </row>
    <row r="93" spans="1:13" x14ac:dyDescent="0.25">
      <c r="A93" s="68"/>
      <c r="B93" s="70">
        <v>44190</v>
      </c>
      <c r="C93" s="68" t="str">
        <f t="shared" si="6"/>
        <v>25</v>
      </c>
      <c r="D93" s="68" t="str">
        <f>IF(ISERROR(DAY(B93)),TEXT(MATCH(TRIM(SUBSTITUTE(SUBSTITUTE(SUBSTITUTE(SUBSTITUTE(SUBSTITUTE(SUBSTITUTE(SUBSTITUTE(SUBSTITUTE(SUBSTITUTE(SUBSTITUTE(SUBSTITUTE(B93,1,""),2,""),3,""),4,""),5,""),6,""),7,""),8,""),9,""),0,""),"-","")),{"gennaio","febbraio","marzo","aprile","maggio","giugno","luglio","agosto","settembre","ottobre","novembre","dicembre"},0),"00"),TEXT(MONTH(B93)*29,"mm"))</f>
        <v>12</v>
      </c>
      <c r="E93" s="68">
        <f t="shared" si="9"/>
        <v>2020</v>
      </c>
      <c r="G93" s="68" t="s">
        <v>918</v>
      </c>
      <c r="H93" s="68"/>
      <c r="I93" s="68" t="s">
        <v>919</v>
      </c>
      <c r="J93" s="68" t="s">
        <v>917</v>
      </c>
      <c r="K93" s="68"/>
      <c r="L93" s="68" t="s">
        <v>893</v>
      </c>
      <c r="M93" s="68" t="str">
        <f t="shared" si="8"/>
        <v>***
&gt; [!4colonne]- [[Messaggi/2020/2020-12-25| ← Messaggio precedente]] | 25 dicembre 2020 | [[Messaggi/2021/2021-01-25| Messaggio successivo → ]]</v>
      </c>
    </row>
    <row r="94" spans="1:13" x14ac:dyDescent="0.25">
      <c r="A94" s="68"/>
      <c r="B94" s="70">
        <v>44190</v>
      </c>
      <c r="C94" s="68" t="str">
        <f t="shared" si="6"/>
        <v>25</v>
      </c>
      <c r="D94" s="68" t="str">
        <f>IF(ISERROR(DAY(B94)),TEXT(MATCH(TRIM(SUBSTITUTE(SUBSTITUTE(SUBSTITUTE(SUBSTITUTE(SUBSTITUTE(SUBSTITUTE(SUBSTITUTE(SUBSTITUTE(SUBSTITUTE(SUBSTITUTE(SUBSTITUTE(B94,1,""),2,""),3,""),4,""),5,""),6,""),7,""),8,""),9,""),0,""),"-","")),{"gennaio","febbraio","marzo","aprile","maggio","giugno","luglio","agosto","settembre","ottobre","novembre","dicembre"},0),"00"),TEXT(MONTH(B94)*29,"mm"))</f>
        <v>12</v>
      </c>
      <c r="E94" s="68">
        <f t="shared" si="9"/>
        <v>2020</v>
      </c>
      <c r="G94" s="68" t="s">
        <v>918</v>
      </c>
      <c r="H94" s="68"/>
      <c r="I94" s="68" t="s">
        <v>919</v>
      </c>
      <c r="J94" s="68" t="s">
        <v>917</v>
      </c>
      <c r="K94" s="68"/>
      <c r="L94" s="68" t="s">
        <v>893</v>
      </c>
      <c r="M94" s="68" t="str">
        <f t="shared" si="8"/>
        <v>***
&gt; [!4colonne]- [[Messaggi/2020/2020-11-25| ← Messaggio precedente]] | 25 dicembre 2020 | [[Messaggi/2020/2020-12-25| Messaggio successivo → ]]</v>
      </c>
    </row>
    <row r="95" spans="1:13" x14ac:dyDescent="0.25">
      <c r="A95" s="68"/>
      <c r="B95" s="70">
        <v>44160</v>
      </c>
      <c r="C95" s="68" t="str">
        <f t="shared" si="6"/>
        <v>25</v>
      </c>
      <c r="D95" s="68" t="str">
        <f>IF(ISERROR(DAY(B95)),TEXT(MATCH(TRIM(SUBSTITUTE(SUBSTITUTE(SUBSTITUTE(SUBSTITUTE(SUBSTITUTE(SUBSTITUTE(SUBSTITUTE(SUBSTITUTE(SUBSTITUTE(SUBSTITUTE(SUBSTITUTE(B95,1,""),2,""),3,""),4,""),5,""),6,""),7,""),8,""),9,""),0,""),"-","")),{"gennaio","febbraio","marzo","aprile","maggio","giugno","luglio","agosto","settembre","ottobre","novembre","dicembre"},0),"00"),TEXT(MONTH(B95)*29,"mm"))</f>
        <v>11</v>
      </c>
      <c r="E95" s="68">
        <f t="shared" si="9"/>
        <v>2020</v>
      </c>
      <c r="G95" s="68" t="s">
        <v>918</v>
      </c>
      <c r="H95" s="68"/>
      <c r="I95" s="68" t="s">
        <v>919</v>
      </c>
      <c r="J95" s="68" t="s">
        <v>917</v>
      </c>
      <c r="K95" s="68"/>
      <c r="L95" s="68" t="s">
        <v>893</v>
      </c>
      <c r="M95" s="68" t="str">
        <f t="shared" si="8"/>
        <v>***
&gt; [!4colonne]- [[Messaggi/2020/2020-10-25| ← Messaggio precedente]] | 25 novembre 2020 | [[Messaggi/2020/2020-12-25| Messaggio successivo → ]]</v>
      </c>
    </row>
    <row r="96" spans="1:13" x14ac:dyDescent="0.25">
      <c r="A96" s="68"/>
      <c r="B96" s="70">
        <v>44129</v>
      </c>
      <c r="C96" s="68" t="str">
        <f t="shared" si="6"/>
        <v>25</v>
      </c>
      <c r="D96" s="68" t="str">
        <f>IF(ISERROR(DAY(B96)),TEXT(MATCH(TRIM(SUBSTITUTE(SUBSTITUTE(SUBSTITUTE(SUBSTITUTE(SUBSTITUTE(SUBSTITUTE(SUBSTITUTE(SUBSTITUTE(SUBSTITUTE(SUBSTITUTE(SUBSTITUTE(B96,1,""),2,""),3,""),4,""),5,""),6,""),7,""),8,""),9,""),0,""),"-","")),{"gennaio","febbraio","marzo","aprile","maggio","giugno","luglio","agosto","settembre","ottobre","novembre","dicembre"},0),"00"),TEXT(MONTH(B96)*29,"mm"))</f>
        <v>10</v>
      </c>
      <c r="E96" s="68">
        <f t="shared" si="9"/>
        <v>2020</v>
      </c>
      <c r="G96" s="68" t="s">
        <v>918</v>
      </c>
      <c r="H96" s="68"/>
      <c r="I96" s="68" t="s">
        <v>919</v>
      </c>
      <c r="J96" s="68" t="s">
        <v>917</v>
      </c>
      <c r="K96" s="68"/>
      <c r="L96" s="68" t="s">
        <v>893</v>
      </c>
      <c r="M96" s="68" t="str">
        <f t="shared" si="8"/>
        <v>***
&gt; [!4colonne]- [[Messaggi/2020/2020-09-25| ← Messaggio precedente]] | 25 ottobre 2020 | [[Messaggi/2020/2020-11-25| Messaggio successivo → ]]</v>
      </c>
    </row>
    <row r="97" spans="1:13" x14ac:dyDescent="0.25">
      <c r="A97" s="68"/>
      <c r="B97" s="70">
        <v>44099</v>
      </c>
      <c r="C97" s="68" t="str">
        <f t="shared" si="6"/>
        <v>25</v>
      </c>
      <c r="D97" s="68" t="str">
        <f>IF(ISERROR(DAY(B97)),TEXT(MATCH(TRIM(SUBSTITUTE(SUBSTITUTE(SUBSTITUTE(SUBSTITUTE(SUBSTITUTE(SUBSTITUTE(SUBSTITUTE(SUBSTITUTE(SUBSTITUTE(SUBSTITUTE(SUBSTITUTE(B97,1,""),2,""),3,""),4,""),5,""),6,""),7,""),8,""),9,""),0,""),"-","")),{"gennaio","febbraio","marzo","aprile","maggio","giugno","luglio","agosto","settembre","ottobre","novembre","dicembre"},0),"00"),TEXT(MONTH(B97)*29,"mm"))</f>
        <v>09</v>
      </c>
      <c r="E97" s="68">
        <f t="shared" si="9"/>
        <v>2020</v>
      </c>
      <c r="G97" s="68" t="s">
        <v>918</v>
      </c>
      <c r="H97" s="68"/>
      <c r="I97" s="68" t="s">
        <v>919</v>
      </c>
      <c r="J97" s="68" t="s">
        <v>917</v>
      </c>
      <c r="K97" s="68"/>
      <c r="L97" s="68" t="s">
        <v>893</v>
      </c>
      <c r="M97" s="68" t="str">
        <f t="shared" si="8"/>
        <v>***
&gt; [!4colonne]- [[Messaggi/2020/2020-08-25| ← Messaggio precedente]] | 25 settembre 2020 | [[Messaggi/2020/2020-10-25| Messaggio successivo → ]]</v>
      </c>
    </row>
    <row r="98" spans="1:13" x14ac:dyDescent="0.25">
      <c r="A98" s="68"/>
      <c r="B98" s="70">
        <v>44068</v>
      </c>
      <c r="C98" s="68" t="str">
        <f t="shared" si="6"/>
        <v>25</v>
      </c>
      <c r="D98" s="68" t="str">
        <f>IF(ISERROR(DAY(B98)),TEXT(MATCH(TRIM(SUBSTITUTE(SUBSTITUTE(SUBSTITUTE(SUBSTITUTE(SUBSTITUTE(SUBSTITUTE(SUBSTITUTE(SUBSTITUTE(SUBSTITUTE(SUBSTITUTE(SUBSTITUTE(B98,1,""),2,""),3,""),4,""),5,""),6,""),7,""),8,""),9,""),0,""),"-","")),{"gennaio","febbraio","marzo","aprile","maggio","giugno","luglio","agosto","settembre","ottobre","novembre","dicembre"},0),"00"),TEXT(MONTH(B98)*29,"mm"))</f>
        <v>08</v>
      </c>
      <c r="E98" s="68">
        <f t="shared" si="9"/>
        <v>2020</v>
      </c>
      <c r="G98" s="68" t="s">
        <v>918</v>
      </c>
      <c r="H98" s="68"/>
      <c r="I98" s="68" t="s">
        <v>919</v>
      </c>
      <c r="J98" s="68" t="s">
        <v>917</v>
      </c>
      <c r="K98" s="68"/>
      <c r="L98" s="68" t="s">
        <v>893</v>
      </c>
      <c r="M98" s="68" t="str">
        <f t="shared" si="8"/>
        <v>***
&gt; [!4colonne]- [[Messaggi/2020/2020-07-25| ← Messaggio precedente]] | 25 agosto 2020 | [[Messaggi/2020/2020-09-25| Messaggio successivo → ]]</v>
      </c>
    </row>
    <row r="99" spans="1:13" x14ac:dyDescent="0.25">
      <c r="A99" s="68"/>
      <c r="B99" s="70">
        <v>44037</v>
      </c>
      <c r="C99" s="68" t="str">
        <f t="shared" si="6"/>
        <v>25</v>
      </c>
      <c r="D99" s="68" t="str">
        <f>IF(ISERROR(DAY(B99)),TEXT(MATCH(TRIM(SUBSTITUTE(SUBSTITUTE(SUBSTITUTE(SUBSTITUTE(SUBSTITUTE(SUBSTITUTE(SUBSTITUTE(SUBSTITUTE(SUBSTITUTE(SUBSTITUTE(SUBSTITUTE(B99,1,""),2,""),3,""),4,""),5,""),6,""),7,""),8,""),9,""),0,""),"-","")),{"gennaio","febbraio","marzo","aprile","maggio","giugno","luglio","agosto","settembre","ottobre","novembre","dicembre"},0),"00"),TEXT(MONTH(B99)*29,"mm"))</f>
        <v>07</v>
      </c>
      <c r="E99" s="68">
        <f t="shared" si="9"/>
        <v>2020</v>
      </c>
      <c r="G99" s="68" t="s">
        <v>918</v>
      </c>
      <c r="H99" s="68"/>
      <c r="I99" s="68" t="s">
        <v>919</v>
      </c>
      <c r="J99" s="68" t="s">
        <v>917</v>
      </c>
      <c r="K99" s="68"/>
      <c r="L99" s="68" t="s">
        <v>893</v>
      </c>
      <c r="M99" s="68" t="str">
        <f t="shared" si="8"/>
        <v>***
&gt; [!4colonne]- [[Messaggi/2020/2020-06-25| ← Messaggio precedente]] | 25 luglio 2020 | [[Messaggi/2020/2020-08-25| Messaggio successivo → ]]</v>
      </c>
    </row>
    <row r="100" spans="1:13" x14ac:dyDescent="0.25">
      <c r="A100" s="68"/>
      <c r="B100" s="70">
        <v>44007</v>
      </c>
      <c r="C100" s="68" t="str">
        <f t="shared" si="6"/>
        <v>25</v>
      </c>
      <c r="D100" s="68" t="str">
        <f>IF(ISERROR(DAY(B100)),TEXT(MATCH(TRIM(SUBSTITUTE(SUBSTITUTE(SUBSTITUTE(SUBSTITUTE(SUBSTITUTE(SUBSTITUTE(SUBSTITUTE(SUBSTITUTE(SUBSTITUTE(SUBSTITUTE(SUBSTITUTE(B100,1,""),2,""),3,""),4,""),5,""),6,""),7,""),8,""),9,""),0,""),"-","")),{"gennaio","febbraio","marzo","aprile","maggio","giugno","luglio","agosto","settembre","ottobre","novembre","dicembre"},0),"00"),TEXT(MONTH(B100)*29,"mm"))</f>
        <v>06</v>
      </c>
      <c r="E100" s="68">
        <f t="shared" si="9"/>
        <v>2020</v>
      </c>
      <c r="G100" s="68" t="s">
        <v>918</v>
      </c>
      <c r="H100" s="68"/>
      <c r="I100" s="68" t="s">
        <v>919</v>
      </c>
      <c r="J100" s="68" t="s">
        <v>917</v>
      </c>
      <c r="K100" s="68"/>
      <c r="L100" s="68" t="s">
        <v>893</v>
      </c>
      <c r="M100" s="68" t="str">
        <f t="shared" si="8"/>
        <v>***
&gt; [!4colonne]- [[Messaggi/2020/2020-06-25| ← Messaggio precedente]] | 25 giugno 2020 | [[Messaggi/2020/2020-07-25| Messaggio successivo → ]]</v>
      </c>
    </row>
    <row r="101" spans="1:13" x14ac:dyDescent="0.25">
      <c r="A101" s="68"/>
      <c r="B101" s="70">
        <v>44007</v>
      </c>
      <c r="C101" s="68" t="str">
        <f t="shared" si="6"/>
        <v>25</v>
      </c>
      <c r="D101" s="68" t="str">
        <f>IF(ISERROR(DAY(B101)),TEXT(MATCH(TRIM(SUBSTITUTE(SUBSTITUTE(SUBSTITUTE(SUBSTITUTE(SUBSTITUTE(SUBSTITUTE(SUBSTITUTE(SUBSTITUTE(SUBSTITUTE(SUBSTITUTE(SUBSTITUTE(B101,1,""),2,""),3,""),4,""),5,""),6,""),7,""),8,""),9,""),0,""),"-","")),{"gennaio","febbraio","marzo","aprile","maggio","giugno","luglio","agosto","settembre","ottobre","novembre","dicembre"},0),"00"),TEXT(MONTH(B101)*29,"mm"))</f>
        <v>06</v>
      </c>
      <c r="E101" s="68">
        <f t="shared" si="9"/>
        <v>2020</v>
      </c>
      <c r="G101" s="68" t="s">
        <v>918</v>
      </c>
      <c r="H101" s="68"/>
      <c r="I101" s="68" t="s">
        <v>919</v>
      </c>
      <c r="J101" s="68" t="s">
        <v>917</v>
      </c>
      <c r="K101" s="68"/>
      <c r="L101" s="68" t="s">
        <v>893</v>
      </c>
      <c r="M101" s="68" t="str">
        <f t="shared" si="8"/>
        <v>***
&gt; [!4colonne]- [[Messaggi/2020/2020-05-25| ← Messaggio precedente]] | 25 giugno 2020 | [[Messaggi/2020/2020-06-25| Messaggio successivo → ]]</v>
      </c>
    </row>
    <row r="102" spans="1:13" x14ac:dyDescent="0.25">
      <c r="A102" s="68"/>
      <c r="B102" s="70">
        <v>43976</v>
      </c>
      <c r="C102" s="68" t="str">
        <f t="shared" si="6"/>
        <v>25</v>
      </c>
      <c r="D102" s="68" t="str">
        <f>IF(ISERROR(DAY(B102)),TEXT(MATCH(TRIM(SUBSTITUTE(SUBSTITUTE(SUBSTITUTE(SUBSTITUTE(SUBSTITUTE(SUBSTITUTE(SUBSTITUTE(SUBSTITUTE(SUBSTITUTE(SUBSTITUTE(SUBSTITUTE(B102,1,""),2,""),3,""),4,""),5,""),6,""),7,""),8,""),9,""),0,""),"-","")),{"gennaio","febbraio","marzo","aprile","maggio","giugno","luglio","agosto","settembre","ottobre","novembre","dicembre"},0),"00"),TEXT(MONTH(B102)*29,"mm"))</f>
        <v>05</v>
      </c>
      <c r="E102" s="68">
        <f t="shared" si="9"/>
        <v>2020</v>
      </c>
      <c r="G102" s="68" t="s">
        <v>918</v>
      </c>
      <c r="H102" s="68"/>
      <c r="I102" s="68" t="s">
        <v>919</v>
      </c>
      <c r="J102" s="68" t="s">
        <v>917</v>
      </c>
      <c r="K102" s="68"/>
      <c r="L102" s="68" t="s">
        <v>893</v>
      </c>
      <c r="M102" s="68" t="str">
        <f t="shared" si="8"/>
        <v>***
&gt; [!4colonne]- [[Messaggi/2020/2020-04-25| ← Messaggio precedente]] | 25 maggio 2020 | [[Messaggi/2020/2020-06-25| Messaggio successivo → ]]</v>
      </c>
    </row>
    <row r="103" spans="1:13" x14ac:dyDescent="0.25">
      <c r="A103" s="68"/>
      <c r="B103" s="70">
        <v>43946</v>
      </c>
      <c r="C103" s="68" t="str">
        <f t="shared" si="6"/>
        <v>25</v>
      </c>
      <c r="D103" s="68" t="str">
        <f>IF(ISERROR(DAY(B103)),TEXT(MATCH(TRIM(SUBSTITUTE(SUBSTITUTE(SUBSTITUTE(SUBSTITUTE(SUBSTITUTE(SUBSTITUTE(SUBSTITUTE(SUBSTITUTE(SUBSTITUTE(SUBSTITUTE(SUBSTITUTE(B103,1,""),2,""),3,""),4,""),5,""),6,""),7,""),8,""),9,""),0,""),"-","")),{"gennaio","febbraio","marzo","aprile","maggio","giugno","luglio","agosto","settembre","ottobre","novembre","dicembre"},0),"00"),TEXT(MONTH(B103)*29,"mm"))</f>
        <v>04</v>
      </c>
      <c r="E103" s="68">
        <f t="shared" si="9"/>
        <v>2020</v>
      </c>
      <c r="G103" s="68" t="s">
        <v>918</v>
      </c>
      <c r="H103" s="68"/>
      <c r="I103" s="68" t="s">
        <v>919</v>
      </c>
      <c r="J103" s="68" t="s">
        <v>917</v>
      </c>
      <c r="K103" s="68"/>
      <c r="L103" s="68" t="s">
        <v>893</v>
      </c>
      <c r="M103" s="68" t="str">
        <f t="shared" si="8"/>
        <v>***
&gt; [!4colonne]- [[Messaggi/2020/2020-03-25| ← Messaggio precedente]] | 25 aprile 2020 | [[Messaggi/2020/2020-05-25| Messaggio successivo → ]]</v>
      </c>
    </row>
    <row r="104" spans="1:13" x14ac:dyDescent="0.25">
      <c r="A104" s="68"/>
      <c r="B104" s="70">
        <v>43915</v>
      </c>
      <c r="C104" s="68" t="str">
        <f t="shared" si="6"/>
        <v>25</v>
      </c>
      <c r="D104" s="68" t="str">
        <f>IF(ISERROR(DAY(B104)),TEXT(MATCH(TRIM(SUBSTITUTE(SUBSTITUTE(SUBSTITUTE(SUBSTITUTE(SUBSTITUTE(SUBSTITUTE(SUBSTITUTE(SUBSTITUTE(SUBSTITUTE(SUBSTITUTE(SUBSTITUTE(B104,1,""),2,""),3,""),4,""),5,""),6,""),7,""),8,""),9,""),0,""),"-","")),{"gennaio","febbraio","marzo","aprile","maggio","giugno","luglio","agosto","settembre","ottobre","novembre","dicembre"},0),"00"),TEXT(MONTH(B104)*29,"mm"))</f>
        <v>03</v>
      </c>
      <c r="E104" s="68">
        <f t="shared" si="9"/>
        <v>2020</v>
      </c>
      <c r="G104" s="68" t="s">
        <v>918</v>
      </c>
      <c r="H104" s="68"/>
      <c r="I104" s="68" t="s">
        <v>919</v>
      </c>
      <c r="J104" s="68" t="s">
        <v>917</v>
      </c>
      <c r="K104" s="68"/>
      <c r="L104" s="68" t="s">
        <v>893</v>
      </c>
      <c r="M104" s="68" t="str">
        <f t="shared" si="8"/>
        <v>***
&gt; [!4colonne]- [[Messaggi/2020/2020-03-18| ← Messaggio precedente]] | 25 marzo 2020 | [[Messaggi/2020/2020-04-25| Messaggio successivo → ]]</v>
      </c>
    </row>
    <row r="105" spans="1:13" x14ac:dyDescent="0.25">
      <c r="A105" s="68"/>
      <c r="B105" s="70">
        <v>43908</v>
      </c>
      <c r="C105" s="68" t="str">
        <f t="shared" si="6"/>
        <v>18</v>
      </c>
      <c r="D105" s="68" t="str">
        <f>IF(ISERROR(DAY(B105)),TEXT(MATCH(TRIM(SUBSTITUTE(SUBSTITUTE(SUBSTITUTE(SUBSTITUTE(SUBSTITUTE(SUBSTITUTE(SUBSTITUTE(SUBSTITUTE(SUBSTITUTE(SUBSTITUTE(SUBSTITUTE(B105,1,""),2,""),3,""),4,""),5,""),6,""),7,""),8,""),9,""),0,""),"-","")),{"gennaio","febbraio","marzo","aprile","maggio","giugno","luglio","agosto","settembre","ottobre","novembre","dicembre"},0),"00"),TEXT(MONTH(B105)*29,"mm"))</f>
        <v>03</v>
      </c>
      <c r="E105" s="68">
        <f t="shared" si="9"/>
        <v>2020</v>
      </c>
      <c r="G105" s="68" t="s">
        <v>918</v>
      </c>
      <c r="H105" s="68"/>
      <c r="I105" s="68" t="s">
        <v>919</v>
      </c>
      <c r="J105" s="68" t="s">
        <v>917</v>
      </c>
      <c r="K105" s="68"/>
      <c r="L105" s="68" t="s">
        <v>893</v>
      </c>
      <c r="M105" s="68" t="str">
        <f t="shared" si="8"/>
        <v>***
&gt; [!4colonne]- [[Messaggi/2020/2020-02-25| ← Messaggio precedente]] | 18 marzo 2020 | [[Messaggi/2020/2020-03-25| Messaggio successivo → ]]</v>
      </c>
    </row>
    <row r="106" spans="1:13" x14ac:dyDescent="0.25">
      <c r="A106" s="68"/>
      <c r="B106" s="70">
        <v>43886</v>
      </c>
      <c r="C106" s="68" t="str">
        <f t="shared" si="6"/>
        <v>25</v>
      </c>
      <c r="D106" s="68" t="str">
        <f>IF(ISERROR(DAY(B106)),TEXT(MATCH(TRIM(SUBSTITUTE(SUBSTITUTE(SUBSTITUTE(SUBSTITUTE(SUBSTITUTE(SUBSTITUTE(SUBSTITUTE(SUBSTITUTE(SUBSTITUTE(SUBSTITUTE(SUBSTITUTE(B106,1,""),2,""),3,""),4,""),5,""),6,""),7,""),8,""),9,""),0,""),"-","")),{"gennaio","febbraio","marzo","aprile","maggio","giugno","luglio","agosto","settembre","ottobre","novembre","dicembre"},0),"00"),TEXT(MONTH(B106)*29,"mm"))</f>
        <v>02</v>
      </c>
      <c r="E106" s="68">
        <f t="shared" si="9"/>
        <v>2020</v>
      </c>
      <c r="G106" s="68" t="s">
        <v>918</v>
      </c>
      <c r="H106" s="68"/>
      <c r="I106" s="68" t="s">
        <v>919</v>
      </c>
      <c r="J106" s="68" t="s">
        <v>917</v>
      </c>
      <c r="K106" s="68"/>
      <c r="L106" s="68" t="s">
        <v>893</v>
      </c>
      <c r="M106" s="68" t="str">
        <f t="shared" si="8"/>
        <v>***
&gt; [!4colonne]- [[Messaggi/2020/2020-01-25| ← Messaggio precedente]] | 25 febbraio 2020 | [[Messaggi/2020/2020-03-18| Messaggio successivo → ]]</v>
      </c>
    </row>
    <row r="107" spans="1:13" s="37" customFormat="1" x14ac:dyDescent="0.25">
      <c r="A107" s="69"/>
      <c r="B107" s="71">
        <v>43855</v>
      </c>
      <c r="C107" s="69" t="str">
        <f t="shared" si="6"/>
        <v>25</v>
      </c>
      <c r="D107" s="69" t="str">
        <f>IF(ISERROR(DAY(B107)),TEXT(MATCH(TRIM(SUBSTITUTE(SUBSTITUTE(SUBSTITUTE(SUBSTITUTE(SUBSTITUTE(SUBSTITUTE(SUBSTITUTE(SUBSTITUTE(SUBSTITUTE(SUBSTITUTE(SUBSTITUTE(B107,1,""),2,""),3,""),4,""),5,""),6,""),7,""),8,""),9,""),0,""),"-","")),{"gennaio","febbraio","marzo","aprile","maggio","giugno","luglio","agosto","settembre","ottobre","novembre","dicembre"},0),"00"),TEXT(MONTH(B107)*29,"mm"))</f>
        <v>01</v>
      </c>
      <c r="E107" s="69">
        <f t="shared" si="9"/>
        <v>2020</v>
      </c>
      <c r="F107" s="66"/>
      <c r="G107" s="69" t="s">
        <v>918</v>
      </c>
      <c r="H107" s="69"/>
      <c r="I107" s="69" t="s">
        <v>919</v>
      </c>
      <c r="J107" s="69" t="s">
        <v>917</v>
      </c>
      <c r="K107" s="69"/>
      <c r="L107" s="69" t="s">
        <v>893</v>
      </c>
      <c r="M107" s="69" t="str">
        <f t="shared" si="8"/>
        <v>***
&gt; [!4colonne]- [[Messaggi/2019/2019-12-25| ← Messaggio precedente]] | 25 gennaio 2020 | [[Messaggi/2020/2020-02-25| Messaggio successivo → ]]</v>
      </c>
    </row>
    <row r="108" spans="1:13" x14ac:dyDescent="0.25">
      <c r="A108" s="68"/>
      <c r="B108" s="70">
        <v>43824</v>
      </c>
      <c r="C108" s="68" t="str">
        <f t="shared" si="6"/>
        <v>25</v>
      </c>
      <c r="D108" s="68" t="str">
        <f>IF(ISERROR(DAY(B108)),TEXT(MATCH(TRIM(SUBSTITUTE(SUBSTITUTE(SUBSTITUTE(SUBSTITUTE(SUBSTITUTE(SUBSTITUTE(SUBSTITUTE(SUBSTITUTE(SUBSTITUTE(SUBSTITUTE(SUBSTITUTE(B108,1,""),2,""),3,""),4,""),5,""),6,""),7,""),8,""),9,""),0,""),"-","")),{"gennaio","febbraio","marzo","aprile","maggio","giugno","luglio","agosto","settembre","ottobre","novembre","dicembre"},0),"00"),TEXT(MONTH(B108)*29,"mm"))</f>
        <v>12</v>
      </c>
      <c r="E108" s="68">
        <f t="shared" si="9"/>
        <v>2019</v>
      </c>
      <c r="G108" s="68" t="s">
        <v>918</v>
      </c>
      <c r="H108" s="68"/>
      <c r="I108" s="68" t="s">
        <v>919</v>
      </c>
      <c r="J108" s="68" t="s">
        <v>917</v>
      </c>
      <c r="K108" s="68"/>
      <c r="L108" s="68" t="s">
        <v>893</v>
      </c>
      <c r="M108" s="68" t="str">
        <f t="shared" si="8"/>
        <v>***
&gt; [!4colonne]- [[Messaggi/2019/2019-12-25| ← Messaggio precedente]] | 25 dicembre 2019 | [[Messaggi/2020/2020-01-25| Messaggio successivo → ]]</v>
      </c>
    </row>
    <row r="109" spans="1:13" x14ac:dyDescent="0.25">
      <c r="A109" s="68"/>
      <c r="B109" s="70">
        <v>43824</v>
      </c>
      <c r="C109" s="68" t="str">
        <f t="shared" si="6"/>
        <v>25</v>
      </c>
      <c r="D109" s="68" t="str">
        <f>IF(ISERROR(DAY(B109)),TEXT(MATCH(TRIM(SUBSTITUTE(SUBSTITUTE(SUBSTITUTE(SUBSTITUTE(SUBSTITUTE(SUBSTITUTE(SUBSTITUTE(SUBSTITUTE(SUBSTITUTE(SUBSTITUTE(SUBSTITUTE(B109,1,""),2,""),3,""),4,""),5,""),6,""),7,""),8,""),9,""),0,""),"-","")),{"gennaio","febbraio","marzo","aprile","maggio","giugno","luglio","agosto","settembre","ottobre","novembre","dicembre"},0),"00"),TEXT(MONTH(B109)*29,"mm"))</f>
        <v>12</v>
      </c>
      <c r="E109" s="68">
        <f t="shared" si="9"/>
        <v>2019</v>
      </c>
      <c r="G109" s="68" t="s">
        <v>918</v>
      </c>
      <c r="H109" s="68"/>
      <c r="I109" s="68" t="s">
        <v>919</v>
      </c>
      <c r="J109" s="68" t="s">
        <v>917</v>
      </c>
      <c r="K109" s="68"/>
      <c r="L109" s="68" t="s">
        <v>893</v>
      </c>
      <c r="M109" s="68" t="str">
        <f t="shared" si="8"/>
        <v>***
&gt; [!4colonne]- [[Messaggi/2019/2019-11-25| ← Messaggio precedente]] | 25 dicembre 2019 | [[Messaggi/2019/2019-12-25| Messaggio successivo → ]]</v>
      </c>
    </row>
    <row r="110" spans="1:13" x14ac:dyDescent="0.25">
      <c r="A110" s="68"/>
      <c r="B110" s="70">
        <v>43794</v>
      </c>
      <c r="C110" s="68" t="str">
        <f t="shared" si="6"/>
        <v>25</v>
      </c>
      <c r="D110" s="68" t="str">
        <f>IF(ISERROR(DAY(B110)),TEXT(MATCH(TRIM(SUBSTITUTE(SUBSTITUTE(SUBSTITUTE(SUBSTITUTE(SUBSTITUTE(SUBSTITUTE(SUBSTITUTE(SUBSTITUTE(SUBSTITUTE(SUBSTITUTE(SUBSTITUTE(B110,1,""),2,""),3,""),4,""),5,""),6,""),7,""),8,""),9,""),0,""),"-","")),{"gennaio","febbraio","marzo","aprile","maggio","giugno","luglio","agosto","settembre","ottobre","novembre","dicembre"},0),"00"),TEXT(MONTH(B110)*29,"mm"))</f>
        <v>11</v>
      </c>
      <c r="E110" s="68">
        <f t="shared" si="9"/>
        <v>2019</v>
      </c>
      <c r="G110" s="68" t="s">
        <v>918</v>
      </c>
      <c r="H110" s="68"/>
      <c r="I110" s="68" t="s">
        <v>919</v>
      </c>
      <c r="J110" s="68" t="s">
        <v>917</v>
      </c>
      <c r="K110" s="68"/>
      <c r="L110" s="68" t="s">
        <v>893</v>
      </c>
      <c r="M110" s="68" t="str">
        <f t="shared" si="8"/>
        <v>***
&gt; [!4colonne]- [[Messaggi/2019/2019-10-25| ← Messaggio precedente]] | 25 novembre 2019 | [[Messaggi/2019/2019-12-25| Messaggio successivo → ]]</v>
      </c>
    </row>
    <row r="111" spans="1:13" x14ac:dyDescent="0.25">
      <c r="A111" s="68"/>
      <c r="B111" s="70">
        <v>43763</v>
      </c>
      <c r="C111" s="68" t="str">
        <f t="shared" si="6"/>
        <v>25</v>
      </c>
      <c r="D111" s="68" t="str">
        <f>IF(ISERROR(DAY(B111)),TEXT(MATCH(TRIM(SUBSTITUTE(SUBSTITUTE(SUBSTITUTE(SUBSTITUTE(SUBSTITUTE(SUBSTITUTE(SUBSTITUTE(SUBSTITUTE(SUBSTITUTE(SUBSTITUTE(SUBSTITUTE(B111,1,""),2,""),3,""),4,""),5,""),6,""),7,""),8,""),9,""),0,""),"-","")),{"gennaio","febbraio","marzo","aprile","maggio","giugno","luglio","agosto","settembre","ottobre","novembre","dicembre"},0),"00"),TEXT(MONTH(B111)*29,"mm"))</f>
        <v>10</v>
      </c>
      <c r="E111" s="68">
        <f t="shared" si="9"/>
        <v>2019</v>
      </c>
      <c r="G111" s="68" t="s">
        <v>918</v>
      </c>
      <c r="H111" s="68"/>
      <c r="I111" s="68" t="s">
        <v>919</v>
      </c>
      <c r="J111" s="68" t="s">
        <v>917</v>
      </c>
      <c r="K111" s="68"/>
      <c r="L111" s="68" t="s">
        <v>893</v>
      </c>
      <c r="M111" s="68" t="str">
        <f t="shared" si="8"/>
        <v>***
&gt; [!4colonne]- [[Messaggi/2019/2019-09-25| ← Messaggio precedente]] | 25 ottobre 2019 | [[Messaggi/2019/2019-11-25| Messaggio successivo → ]]</v>
      </c>
    </row>
    <row r="112" spans="1:13" x14ac:dyDescent="0.25">
      <c r="A112" s="68"/>
      <c r="B112" s="70">
        <v>43733</v>
      </c>
      <c r="C112" s="68" t="str">
        <f t="shared" si="6"/>
        <v>25</v>
      </c>
      <c r="D112" s="68" t="str">
        <f>IF(ISERROR(DAY(B112)),TEXT(MATCH(TRIM(SUBSTITUTE(SUBSTITUTE(SUBSTITUTE(SUBSTITUTE(SUBSTITUTE(SUBSTITUTE(SUBSTITUTE(SUBSTITUTE(SUBSTITUTE(SUBSTITUTE(SUBSTITUTE(B112,1,""),2,""),3,""),4,""),5,""),6,""),7,""),8,""),9,""),0,""),"-","")),{"gennaio","febbraio","marzo","aprile","maggio","giugno","luglio","agosto","settembre","ottobre","novembre","dicembre"},0),"00"),TEXT(MONTH(B112)*29,"mm"))</f>
        <v>09</v>
      </c>
      <c r="E112" s="68">
        <f t="shared" si="9"/>
        <v>2019</v>
      </c>
      <c r="G112" s="68" t="s">
        <v>918</v>
      </c>
      <c r="H112" s="68"/>
      <c r="I112" s="68" t="s">
        <v>919</v>
      </c>
      <c r="J112" s="68" t="s">
        <v>917</v>
      </c>
      <c r="K112" s="68"/>
      <c r="L112" s="68" t="s">
        <v>893</v>
      </c>
      <c r="M112" s="68" t="str">
        <f t="shared" si="8"/>
        <v>***
&gt; [!4colonne]- [[Messaggi/2019/2019-08-25| ← Messaggio precedente]] | 25 settembre 2019 | [[Messaggi/2019/2019-10-25| Messaggio successivo → ]]</v>
      </c>
    </row>
    <row r="113" spans="1:13" x14ac:dyDescent="0.25">
      <c r="A113" s="68"/>
      <c r="B113" s="70">
        <v>43702</v>
      </c>
      <c r="C113" s="68" t="str">
        <f t="shared" si="6"/>
        <v>25</v>
      </c>
      <c r="D113" s="68" t="str">
        <f>IF(ISERROR(DAY(B113)),TEXT(MATCH(TRIM(SUBSTITUTE(SUBSTITUTE(SUBSTITUTE(SUBSTITUTE(SUBSTITUTE(SUBSTITUTE(SUBSTITUTE(SUBSTITUTE(SUBSTITUTE(SUBSTITUTE(SUBSTITUTE(B113,1,""),2,""),3,""),4,""),5,""),6,""),7,""),8,""),9,""),0,""),"-","")),{"gennaio","febbraio","marzo","aprile","maggio","giugno","luglio","agosto","settembre","ottobre","novembre","dicembre"},0),"00"),TEXT(MONTH(B113)*29,"mm"))</f>
        <v>08</v>
      </c>
      <c r="E113" s="68">
        <f t="shared" si="9"/>
        <v>2019</v>
      </c>
      <c r="G113" s="68" t="s">
        <v>918</v>
      </c>
      <c r="H113" s="68"/>
      <c r="I113" s="68" t="s">
        <v>919</v>
      </c>
      <c r="J113" s="68" t="s">
        <v>917</v>
      </c>
      <c r="K113" s="68"/>
      <c r="L113" s="68" t="s">
        <v>893</v>
      </c>
      <c r="M113" s="68" t="str">
        <f t="shared" si="8"/>
        <v>***
&gt; [!4colonne]- [[Messaggi/2019/2019-07-25| ← Messaggio precedente]] | 25 agosto 2019 | [[Messaggi/2019/2019-09-25| Messaggio successivo → ]]</v>
      </c>
    </row>
    <row r="114" spans="1:13" x14ac:dyDescent="0.25">
      <c r="A114" s="68"/>
      <c r="B114" s="70">
        <v>43671</v>
      </c>
      <c r="C114" s="68" t="str">
        <f t="shared" si="6"/>
        <v>25</v>
      </c>
      <c r="D114" s="68" t="str">
        <f>IF(ISERROR(DAY(B114)),TEXT(MATCH(TRIM(SUBSTITUTE(SUBSTITUTE(SUBSTITUTE(SUBSTITUTE(SUBSTITUTE(SUBSTITUTE(SUBSTITUTE(SUBSTITUTE(SUBSTITUTE(SUBSTITUTE(SUBSTITUTE(B114,1,""),2,""),3,""),4,""),5,""),6,""),7,""),8,""),9,""),0,""),"-","")),{"gennaio","febbraio","marzo","aprile","maggio","giugno","luglio","agosto","settembre","ottobre","novembre","dicembre"},0),"00"),TEXT(MONTH(B114)*29,"mm"))</f>
        <v>07</v>
      </c>
      <c r="E114" s="68">
        <f t="shared" si="9"/>
        <v>2019</v>
      </c>
      <c r="G114" s="68" t="s">
        <v>918</v>
      </c>
      <c r="H114" s="68"/>
      <c r="I114" s="68" t="s">
        <v>919</v>
      </c>
      <c r="J114" s="68" t="s">
        <v>917</v>
      </c>
      <c r="K114" s="68"/>
      <c r="L114" s="68" t="s">
        <v>893</v>
      </c>
      <c r="M114" s="68" t="str">
        <f t="shared" si="8"/>
        <v>***
&gt; [!4colonne]- [[Messaggi/2019/2019-06-25| ← Messaggio precedente]] | 25 luglio 2019 | [[Messaggi/2019/2019-08-25| Messaggio successivo → ]]</v>
      </c>
    </row>
    <row r="115" spans="1:13" x14ac:dyDescent="0.25">
      <c r="A115" s="68"/>
      <c r="B115" s="70">
        <v>43641</v>
      </c>
      <c r="C115" s="68" t="str">
        <f t="shared" si="6"/>
        <v>25</v>
      </c>
      <c r="D115" s="68" t="str">
        <f>IF(ISERROR(DAY(B115)),TEXT(MATCH(TRIM(SUBSTITUTE(SUBSTITUTE(SUBSTITUTE(SUBSTITUTE(SUBSTITUTE(SUBSTITUTE(SUBSTITUTE(SUBSTITUTE(SUBSTITUTE(SUBSTITUTE(SUBSTITUTE(B115,1,""),2,""),3,""),4,""),5,""),6,""),7,""),8,""),9,""),0,""),"-","")),{"gennaio","febbraio","marzo","aprile","maggio","giugno","luglio","agosto","settembre","ottobre","novembre","dicembre"},0),"00"),TEXT(MONTH(B115)*29,"mm"))</f>
        <v>06</v>
      </c>
      <c r="E115" s="68">
        <f t="shared" si="9"/>
        <v>2019</v>
      </c>
      <c r="G115" s="68" t="s">
        <v>918</v>
      </c>
      <c r="H115" s="68"/>
      <c r="I115" s="68" t="s">
        <v>919</v>
      </c>
      <c r="J115" s="68" t="s">
        <v>917</v>
      </c>
      <c r="K115" s="68"/>
      <c r="L115" s="68" t="s">
        <v>893</v>
      </c>
      <c r="M115" s="68" t="str">
        <f t="shared" si="8"/>
        <v>***
&gt; [!4colonne]- [[Messaggi/2019/2019-06-25| ← Messaggio precedente]] | 25 giugno 2019 | [[Messaggi/2019/2019-07-25| Messaggio successivo → ]]</v>
      </c>
    </row>
    <row r="116" spans="1:13" x14ac:dyDescent="0.25">
      <c r="A116" s="68"/>
      <c r="B116" s="70">
        <v>43641</v>
      </c>
      <c r="C116" s="68" t="str">
        <f t="shared" si="6"/>
        <v>25</v>
      </c>
      <c r="D116" s="68" t="str">
        <f>IF(ISERROR(DAY(B116)),TEXT(MATCH(TRIM(SUBSTITUTE(SUBSTITUTE(SUBSTITUTE(SUBSTITUTE(SUBSTITUTE(SUBSTITUTE(SUBSTITUTE(SUBSTITUTE(SUBSTITUTE(SUBSTITUTE(SUBSTITUTE(B116,1,""),2,""),3,""),4,""),5,""),6,""),7,""),8,""),9,""),0,""),"-","")),{"gennaio","febbraio","marzo","aprile","maggio","giugno","luglio","agosto","settembre","ottobre","novembre","dicembre"},0),"00"),TEXT(MONTH(B116)*29,"mm"))</f>
        <v>06</v>
      </c>
      <c r="E116" s="68">
        <f t="shared" si="9"/>
        <v>2019</v>
      </c>
      <c r="G116" s="68" t="s">
        <v>918</v>
      </c>
      <c r="H116" s="68"/>
      <c r="I116" s="68" t="s">
        <v>919</v>
      </c>
      <c r="J116" s="68" t="s">
        <v>917</v>
      </c>
      <c r="K116" s="68"/>
      <c r="L116" s="68" t="s">
        <v>893</v>
      </c>
      <c r="M116" s="68" t="str">
        <f t="shared" si="8"/>
        <v>***
&gt; [!4colonne]- [[Messaggi/2019/2019-05-25| ← Messaggio precedente]] | 25 giugno 2019 | [[Messaggi/2019/2019-06-25| Messaggio successivo → ]]</v>
      </c>
    </row>
    <row r="117" spans="1:13" x14ac:dyDescent="0.25">
      <c r="A117" s="68"/>
      <c r="B117" s="70">
        <v>43610</v>
      </c>
      <c r="C117" s="68" t="str">
        <f t="shared" si="6"/>
        <v>25</v>
      </c>
      <c r="D117" s="68" t="str">
        <f>IF(ISERROR(DAY(B117)),TEXT(MATCH(TRIM(SUBSTITUTE(SUBSTITUTE(SUBSTITUTE(SUBSTITUTE(SUBSTITUTE(SUBSTITUTE(SUBSTITUTE(SUBSTITUTE(SUBSTITUTE(SUBSTITUTE(SUBSTITUTE(B117,1,""),2,""),3,""),4,""),5,""),6,""),7,""),8,""),9,""),0,""),"-","")),{"gennaio","febbraio","marzo","aprile","maggio","giugno","luglio","agosto","settembre","ottobre","novembre","dicembre"},0),"00"),TEXT(MONTH(B117)*29,"mm"))</f>
        <v>05</v>
      </c>
      <c r="E117" s="68">
        <f t="shared" si="9"/>
        <v>2019</v>
      </c>
      <c r="G117" s="68" t="s">
        <v>918</v>
      </c>
      <c r="H117" s="68"/>
      <c r="I117" s="68" t="s">
        <v>919</v>
      </c>
      <c r="J117" s="68" t="s">
        <v>917</v>
      </c>
      <c r="K117" s="68"/>
      <c r="L117" s="68" t="s">
        <v>893</v>
      </c>
      <c r="M117" s="68" t="str">
        <f t="shared" si="8"/>
        <v>***
&gt; [!4colonne]- [[Messaggi/2019/2019-04-25| ← Messaggio precedente]] | 25 maggio 2019 | [[Messaggi/2019/2019-06-25| Messaggio successivo → ]]</v>
      </c>
    </row>
    <row r="118" spans="1:13" x14ac:dyDescent="0.25">
      <c r="A118" s="68"/>
      <c r="B118" s="70">
        <v>43580</v>
      </c>
      <c r="C118" s="68" t="str">
        <f t="shared" si="6"/>
        <v>25</v>
      </c>
      <c r="D118" s="68" t="str">
        <f>IF(ISERROR(DAY(B118)),TEXT(MATCH(TRIM(SUBSTITUTE(SUBSTITUTE(SUBSTITUTE(SUBSTITUTE(SUBSTITUTE(SUBSTITUTE(SUBSTITUTE(SUBSTITUTE(SUBSTITUTE(SUBSTITUTE(SUBSTITUTE(B118,1,""),2,""),3,""),4,""),5,""),6,""),7,""),8,""),9,""),0,""),"-","")),{"gennaio","febbraio","marzo","aprile","maggio","giugno","luglio","agosto","settembre","ottobre","novembre","dicembre"},0),"00"),TEXT(MONTH(B118)*29,"mm"))</f>
        <v>04</v>
      </c>
      <c r="E118" s="68">
        <f t="shared" si="9"/>
        <v>2019</v>
      </c>
      <c r="G118" s="68" t="s">
        <v>918</v>
      </c>
      <c r="H118" s="68"/>
      <c r="I118" s="68" t="s">
        <v>919</v>
      </c>
      <c r="J118" s="68" t="s">
        <v>917</v>
      </c>
      <c r="K118" s="68"/>
      <c r="L118" s="68" t="s">
        <v>893</v>
      </c>
      <c r="M118" s="68" t="str">
        <f t="shared" si="8"/>
        <v>***
&gt; [!4colonne]- [[Messaggi/2019/2019-03-25| ← Messaggio precedente]] | 25 aprile 2019 | [[Messaggi/2019/2019-05-25| Messaggio successivo → ]]</v>
      </c>
    </row>
    <row r="119" spans="1:13" x14ac:dyDescent="0.25">
      <c r="A119" s="68"/>
      <c r="B119" s="70">
        <v>43549</v>
      </c>
      <c r="C119" s="68" t="str">
        <f t="shared" si="6"/>
        <v>25</v>
      </c>
      <c r="D119" s="68" t="str">
        <f>IF(ISERROR(DAY(B119)),TEXT(MATCH(TRIM(SUBSTITUTE(SUBSTITUTE(SUBSTITUTE(SUBSTITUTE(SUBSTITUTE(SUBSTITUTE(SUBSTITUTE(SUBSTITUTE(SUBSTITUTE(SUBSTITUTE(SUBSTITUTE(B119,1,""),2,""),3,""),4,""),5,""),6,""),7,""),8,""),9,""),0,""),"-","")),{"gennaio","febbraio","marzo","aprile","maggio","giugno","luglio","agosto","settembre","ottobre","novembre","dicembre"},0),"00"),TEXT(MONTH(B119)*29,"mm"))</f>
        <v>03</v>
      </c>
      <c r="E119" s="68">
        <f t="shared" ref="E119:E137" si="10">YEAR(B119)</f>
        <v>2019</v>
      </c>
      <c r="G119" s="68" t="s">
        <v>918</v>
      </c>
      <c r="H119" s="68"/>
      <c r="I119" s="68" t="s">
        <v>919</v>
      </c>
      <c r="J119" s="68" t="s">
        <v>917</v>
      </c>
      <c r="K119" s="68"/>
      <c r="L119" s="68" t="s">
        <v>893</v>
      </c>
      <c r="M119" s="68" t="str">
        <f t="shared" si="8"/>
        <v>***
&gt; [!4colonne]- [[Messaggi/2019/2019-03-18| ← Messaggio precedente]] | 25 marzo 2019 | [[Messaggi/2019/2019-04-25| Messaggio successivo → ]]</v>
      </c>
    </row>
    <row r="120" spans="1:13" x14ac:dyDescent="0.25">
      <c r="A120" s="68"/>
      <c r="B120" s="70">
        <v>43542</v>
      </c>
      <c r="C120" s="68" t="str">
        <f t="shared" si="6"/>
        <v>18</v>
      </c>
      <c r="D120" s="68" t="str">
        <f>IF(ISERROR(DAY(B120)),TEXT(MATCH(TRIM(SUBSTITUTE(SUBSTITUTE(SUBSTITUTE(SUBSTITUTE(SUBSTITUTE(SUBSTITUTE(SUBSTITUTE(SUBSTITUTE(SUBSTITUTE(SUBSTITUTE(SUBSTITUTE(B120,1,""),2,""),3,""),4,""),5,""),6,""),7,""),8,""),9,""),0,""),"-","")),{"gennaio","febbraio","marzo","aprile","maggio","giugno","luglio","agosto","settembre","ottobre","novembre","dicembre"},0),"00"),TEXT(MONTH(B120)*29,"mm"))</f>
        <v>03</v>
      </c>
      <c r="E120" s="68">
        <f t="shared" si="10"/>
        <v>2019</v>
      </c>
      <c r="G120" s="68" t="s">
        <v>918</v>
      </c>
      <c r="H120" s="68"/>
      <c r="I120" s="68" t="s">
        <v>919</v>
      </c>
      <c r="J120" s="68" t="s">
        <v>917</v>
      </c>
      <c r="K120" s="68"/>
      <c r="L120" s="68" t="s">
        <v>893</v>
      </c>
      <c r="M120" s="68" t="str">
        <f t="shared" si="8"/>
        <v>***
&gt; [!4colonne]- [[Messaggi/2019/2019-02-25| ← Messaggio precedente]] | 18 marzo 2019 | [[Messaggi/2019/2019-03-25| Messaggio successivo → ]]</v>
      </c>
    </row>
    <row r="121" spans="1:13" x14ac:dyDescent="0.25">
      <c r="A121" s="68"/>
      <c r="B121" s="70">
        <v>43521</v>
      </c>
      <c r="C121" s="68" t="str">
        <f t="shared" si="6"/>
        <v>25</v>
      </c>
      <c r="D121" s="68" t="str">
        <f>IF(ISERROR(DAY(B121)),TEXT(MATCH(TRIM(SUBSTITUTE(SUBSTITUTE(SUBSTITUTE(SUBSTITUTE(SUBSTITUTE(SUBSTITUTE(SUBSTITUTE(SUBSTITUTE(SUBSTITUTE(SUBSTITUTE(SUBSTITUTE(B121,1,""),2,""),3,""),4,""),5,""),6,""),7,""),8,""),9,""),0,""),"-","")),{"gennaio","febbraio","marzo","aprile","maggio","giugno","luglio","agosto","settembre","ottobre","novembre","dicembre"},0),"00"),TEXT(MONTH(B121)*29,"mm"))</f>
        <v>02</v>
      </c>
      <c r="E121" s="68">
        <f t="shared" si="10"/>
        <v>2019</v>
      </c>
      <c r="G121" s="68" t="s">
        <v>918</v>
      </c>
      <c r="H121" s="68"/>
      <c r="I121" s="68" t="s">
        <v>919</v>
      </c>
      <c r="J121" s="68" t="s">
        <v>917</v>
      </c>
      <c r="K121" s="68"/>
      <c r="L121" s="68" t="s">
        <v>893</v>
      </c>
      <c r="M121" s="68" t="str">
        <f t="shared" si="8"/>
        <v>***
&gt; [!4colonne]- [[Messaggi/2019/2019-01-25| ← Messaggio precedente]] | 25 febbraio 2019 | [[Messaggi/2019/2019-03-18| Messaggio successivo → ]]</v>
      </c>
    </row>
    <row r="122" spans="1:13" s="37" customFormat="1" x14ac:dyDescent="0.25">
      <c r="A122" s="69"/>
      <c r="B122" s="71">
        <v>43490</v>
      </c>
      <c r="C122" s="69" t="str">
        <f t="shared" ref="C122:C168" si="11">TEXT(DAY(B122),"gg")</f>
        <v>25</v>
      </c>
      <c r="D122" s="69" t="str">
        <f>IF(ISERROR(DAY(B122)),TEXT(MATCH(TRIM(SUBSTITUTE(SUBSTITUTE(SUBSTITUTE(SUBSTITUTE(SUBSTITUTE(SUBSTITUTE(SUBSTITUTE(SUBSTITUTE(SUBSTITUTE(SUBSTITUTE(SUBSTITUTE(B122,1,""),2,""),3,""),4,""),5,""),6,""),7,""),8,""),9,""),0,""),"-","")),{"gennaio","febbraio","marzo","aprile","maggio","giugno","luglio","agosto","settembre","ottobre","novembre","dicembre"},0),"00"),TEXT(MONTH(B122)*29,"mm"))</f>
        <v>01</v>
      </c>
      <c r="E122" s="69">
        <f t="shared" si="10"/>
        <v>2019</v>
      </c>
      <c r="F122" s="66"/>
      <c r="G122" s="69" t="s">
        <v>918</v>
      </c>
      <c r="H122" s="69"/>
      <c r="I122" s="69" t="s">
        <v>919</v>
      </c>
      <c r="J122" s="69" t="s">
        <v>917</v>
      </c>
      <c r="K122" s="69"/>
      <c r="L122" s="69" t="s">
        <v>893</v>
      </c>
      <c r="M122" s="69" t="str">
        <f t="shared" si="8"/>
        <v>***
&gt; [!4colonne]- [[Messaggi/2018/2018-12-25| ← Messaggio precedente]] | 25 gennaio 2019 | [[Messaggi/2019/2019-02-25| Messaggio successivo → ]]</v>
      </c>
    </row>
    <row r="123" spans="1:13" x14ac:dyDescent="0.25">
      <c r="A123" s="68"/>
      <c r="B123" s="70">
        <v>43459</v>
      </c>
      <c r="C123" s="68" t="str">
        <f t="shared" si="11"/>
        <v>25</v>
      </c>
      <c r="D123" s="68" t="str">
        <f>IF(ISERROR(DAY(B123)),TEXT(MATCH(TRIM(SUBSTITUTE(SUBSTITUTE(SUBSTITUTE(SUBSTITUTE(SUBSTITUTE(SUBSTITUTE(SUBSTITUTE(SUBSTITUTE(SUBSTITUTE(SUBSTITUTE(SUBSTITUTE(B123,1,""),2,""),3,""),4,""),5,""),6,""),7,""),8,""),9,""),0,""),"-","")),{"gennaio","febbraio","marzo","aprile","maggio","giugno","luglio","agosto","settembre","ottobre","novembre","dicembre"},0),"00"),TEXT(MONTH(B123)*29,"mm"))</f>
        <v>12</v>
      </c>
      <c r="E123" s="68">
        <f t="shared" si="10"/>
        <v>2018</v>
      </c>
      <c r="G123" s="68" t="s">
        <v>918</v>
      </c>
      <c r="H123" s="68"/>
      <c r="I123" s="68" t="s">
        <v>919</v>
      </c>
      <c r="J123" s="68" t="s">
        <v>917</v>
      </c>
      <c r="K123" s="68"/>
      <c r="L123" s="68" t="s">
        <v>893</v>
      </c>
      <c r="M123" s="68" t="str">
        <f t="shared" si="8"/>
        <v>***
&gt; [!4colonne]- [[Messaggi/2018/2018-12-25| ← Messaggio precedente]] | 25 dicembre 2018 | [[Messaggi/2019/2019-01-25| Messaggio successivo → ]]</v>
      </c>
    </row>
    <row r="124" spans="1:13" x14ac:dyDescent="0.25">
      <c r="A124" s="68"/>
      <c r="B124" s="70">
        <v>43459</v>
      </c>
      <c r="C124" s="68" t="str">
        <f t="shared" si="11"/>
        <v>25</v>
      </c>
      <c r="D124" s="68" t="str">
        <f>IF(ISERROR(DAY(B124)),TEXT(MATCH(TRIM(SUBSTITUTE(SUBSTITUTE(SUBSTITUTE(SUBSTITUTE(SUBSTITUTE(SUBSTITUTE(SUBSTITUTE(SUBSTITUTE(SUBSTITUTE(SUBSTITUTE(SUBSTITUTE(B124,1,""),2,""),3,""),4,""),5,""),6,""),7,""),8,""),9,""),0,""),"-","")),{"gennaio","febbraio","marzo","aprile","maggio","giugno","luglio","agosto","settembre","ottobre","novembre","dicembre"},0),"00"),TEXT(MONTH(B124)*29,"mm"))</f>
        <v>12</v>
      </c>
      <c r="E124" s="68">
        <f t="shared" si="10"/>
        <v>2018</v>
      </c>
      <c r="G124" s="68" t="s">
        <v>918</v>
      </c>
      <c r="H124" s="68"/>
      <c r="I124" s="68" t="s">
        <v>919</v>
      </c>
      <c r="J124" s="68" t="s">
        <v>917</v>
      </c>
      <c r="K124" s="68"/>
      <c r="L124" s="68" t="s">
        <v>893</v>
      </c>
      <c r="M124" s="68" t="str">
        <f t="shared" si="8"/>
        <v>***
&gt; [!4colonne]- [[Messaggi/2018/2018-11-25| ← Messaggio precedente]] | 25 dicembre 2018 | [[Messaggi/2018/2018-12-25| Messaggio successivo → ]]</v>
      </c>
    </row>
    <row r="125" spans="1:13" x14ac:dyDescent="0.25">
      <c r="A125" s="68"/>
      <c r="B125" s="70">
        <v>43429</v>
      </c>
      <c r="C125" s="68" t="str">
        <f t="shared" si="11"/>
        <v>25</v>
      </c>
      <c r="D125" s="68" t="str">
        <f>IF(ISERROR(DAY(B125)),TEXT(MATCH(TRIM(SUBSTITUTE(SUBSTITUTE(SUBSTITUTE(SUBSTITUTE(SUBSTITUTE(SUBSTITUTE(SUBSTITUTE(SUBSTITUTE(SUBSTITUTE(SUBSTITUTE(SUBSTITUTE(B125,1,""),2,""),3,""),4,""),5,""),6,""),7,""),8,""),9,""),0,""),"-","")),{"gennaio","febbraio","marzo","aprile","maggio","giugno","luglio","agosto","settembre","ottobre","novembre","dicembre"},0),"00"),TEXT(MONTH(B125)*29,"mm"))</f>
        <v>11</v>
      </c>
      <c r="E125" s="68">
        <f t="shared" si="10"/>
        <v>2018</v>
      </c>
      <c r="G125" s="68" t="s">
        <v>918</v>
      </c>
      <c r="H125" s="68"/>
      <c r="I125" s="68" t="s">
        <v>919</v>
      </c>
      <c r="J125" s="68" t="s">
        <v>917</v>
      </c>
      <c r="K125" s="68"/>
      <c r="L125" s="68" t="s">
        <v>893</v>
      </c>
      <c r="M125" s="68" t="str">
        <f t="shared" si="8"/>
        <v>***
&gt; [!4colonne]- [[Messaggi/2018/2018-10-25| ← Messaggio precedente]] | 25 novembre 2018 | [[Messaggi/2018/2018-12-25| Messaggio successivo → ]]</v>
      </c>
    </row>
    <row r="126" spans="1:13" x14ac:dyDescent="0.25">
      <c r="A126" s="68"/>
      <c r="B126" s="70">
        <v>43398</v>
      </c>
      <c r="C126" s="68" t="str">
        <f t="shared" si="11"/>
        <v>25</v>
      </c>
      <c r="D126" s="68" t="str">
        <f>IF(ISERROR(DAY(B126)),TEXT(MATCH(TRIM(SUBSTITUTE(SUBSTITUTE(SUBSTITUTE(SUBSTITUTE(SUBSTITUTE(SUBSTITUTE(SUBSTITUTE(SUBSTITUTE(SUBSTITUTE(SUBSTITUTE(SUBSTITUTE(B126,1,""),2,""),3,""),4,""),5,""),6,""),7,""),8,""),9,""),0,""),"-","")),{"gennaio","febbraio","marzo","aprile","maggio","giugno","luglio","agosto","settembre","ottobre","novembre","dicembre"},0),"00"),TEXT(MONTH(B126)*29,"mm"))</f>
        <v>10</v>
      </c>
      <c r="E126" s="68">
        <f t="shared" si="10"/>
        <v>2018</v>
      </c>
      <c r="G126" s="68" t="s">
        <v>918</v>
      </c>
      <c r="H126" s="68"/>
      <c r="I126" s="68" t="s">
        <v>919</v>
      </c>
      <c r="J126" s="68" t="s">
        <v>917</v>
      </c>
      <c r="K126" s="68"/>
      <c r="L126" s="68" t="s">
        <v>893</v>
      </c>
      <c r="M126" s="68" t="str">
        <f t="shared" si="8"/>
        <v>***
&gt; [!4colonne]- [[Messaggi/2018/2018-09-25| ← Messaggio precedente]] | 25 ottobre 2018 | [[Messaggi/2018/2018-11-25| Messaggio successivo → ]]</v>
      </c>
    </row>
    <row r="127" spans="1:13" x14ac:dyDescent="0.25">
      <c r="A127" s="68"/>
      <c r="B127" s="70">
        <v>43368</v>
      </c>
      <c r="C127" s="68" t="str">
        <f t="shared" si="11"/>
        <v>25</v>
      </c>
      <c r="D127" s="68" t="str">
        <f>IF(ISERROR(DAY(B127)),TEXT(MATCH(TRIM(SUBSTITUTE(SUBSTITUTE(SUBSTITUTE(SUBSTITUTE(SUBSTITUTE(SUBSTITUTE(SUBSTITUTE(SUBSTITUTE(SUBSTITUTE(SUBSTITUTE(SUBSTITUTE(B127,1,""),2,""),3,""),4,""),5,""),6,""),7,""),8,""),9,""),0,""),"-","")),{"gennaio","febbraio","marzo","aprile","maggio","giugno","luglio","agosto","settembre","ottobre","novembre","dicembre"},0),"00"),TEXT(MONTH(B127)*29,"mm"))</f>
        <v>09</v>
      </c>
      <c r="E127" s="68">
        <f t="shared" si="10"/>
        <v>2018</v>
      </c>
      <c r="G127" s="68" t="s">
        <v>918</v>
      </c>
      <c r="H127" s="68"/>
      <c r="I127" s="68" t="s">
        <v>919</v>
      </c>
      <c r="J127" s="68" t="s">
        <v>917</v>
      </c>
      <c r="K127" s="68"/>
      <c r="L127" s="68" t="s">
        <v>893</v>
      </c>
      <c r="M127" s="68" t="str">
        <f t="shared" si="8"/>
        <v>***
&gt; [!4colonne]- [[Messaggi/2018/2018-08-25| ← Messaggio precedente]] | 25 settembre 2018 | [[Messaggi/2018/2018-10-25| Messaggio successivo → ]]</v>
      </c>
    </row>
    <row r="128" spans="1:13" x14ac:dyDescent="0.25">
      <c r="A128" s="68"/>
      <c r="B128" s="70">
        <v>43337</v>
      </c>
      <c r="C128" s="68" t="str">
        <f t="shared" si="11"/>
        <v>25</v>
      </c>
      <c r="D128" s="68" t="str">
        <f>IF(ISERROR(DAY(B128)),TEXT(MATCH(TRIM(SUBSTITUTE(SUBSTITUTE(SUBSTITUTE(SUBSTITUTE(SUBSTITUTE(SUBSTITUTE(SUBSTITUTE(SUBSTITUTE(SUBSTITUTE(SUBSTITUTE(SUBSTITUTE(B128,1,""),2,""),3,""),4,""),5,""),6,""),7,""),8,""),9,""),0,""),"-","")),{"gennaio","febbraio","marzo","aprile","maggio","giugno","luglio","agosto","settembre","ottobre","novembre","dicembre"},0),"00"),TEXT(MONTH(B128)*29,"mm"))</f>
        <v>08</v>
      </c>
      <c r="E128" s="68">
        <f t="shared" si="10"/>
        <v>2018</v>
      </c>
      <c r="G128" s="68" t="s">
        <v>918</v>
      </c>
      <c r="H128" s="68"/>
      <c r="I128" s="68" t="s">
        <v>919</v>
      </c>
      <c r="J128" s="68" t="s">
        <v>917</v>
      </c>
      <c r="K128" s="68"/>
      <c r="L128" s="68" t="s">
        <v>893</v>
      </c>
      <c r="M128" s="68" t="str">
        <f t="shared" si="8"/>
        <v>***
&gt; [!4colonne]- [[Messaggi/2018/2018-07-25| ← Messaggio precedente]] | 25 agosto 2018 | [[Messaggi/2018/2018-09-25| Messaggio successivo → ]]</v>
      </c>
    </row>
    <row r="129" spans="1:13" x14ac:dyDescent="0.25">
      <c r="A129" s="68"/>
      <c r="B129" s="70">
        <v>43306</v>
      </c>
      <c r="C129" s="68" t="str">
        <f t="shared" si="11"/>
        <v>25</v>
      </c>
      <c r="D129" s="68" t="str">
        <f>IF(ISERROR(DAY(B129)),TEXT(MATCH(TRIM(SUBSTITUTE(SUBSTITUTE(SUBSTITUTE(SUBSTITUTE(SUBSTITUTE(SUBSTITUTE(SUBSTITUTE(SUBSTITUTE(SUBSTITUTE(SUBSTITUTE(SUBSTITUTE(B129,1,""),2,""),3,""),4,""),5,""),6,""),7,""),8,""),9,""),0,""),"-","")),{"gennaio","febbraio","marzo","aprile","maggio","giugno","luglio","agosto","settembre","ottobre","novembre","dicembre"},0),"00"),TEXT(MONTH(B129)*29,"mm"))</f>
        <v>07</v>
      </c>
      <c r="E129" s="68">
        <f t="shared" si="10"/>
        <v>2018</v>
      </c>
      <c r="G129" s="68" t="s">
        <v>918</v>
      </c>
      <c r="H129" s="68"/>
      <c r="I129" s="68" t="s">
        <v>919</v>
      </c>
      <c r="J129" s="68" t="s">
        <v>917</v>
      </c>
      <c r="K129" s="68"/>
      <c r="L129" s="68" t="s">
        <v>893</v>
      </c>
      <c r="M129" s="68" t="str">
        <f t="shared" si="8"/>
        <v>***
&gt; [!4colonne]- [[Messaggi/2018/2018-06-25| ← Messaggio precedente]] | 25 luglio 2018 | [[Messaggi/2018/2018-08-25| Messaggio successivo → ]]</v>
      </c>
    </row>
    <row r="130" spans="1:13" x14ac:dyDescent="0.25">
      <c r="A130" s="68"/>
      <c r="B130" s="70">
        <v>43276</v>
      </c>
      <c r="C130" s="68" t="str">
        <f t="shared" si="11"/>
        <v>25</v>
      </c>
      <c r="D130" s="68" t="str">
        <f>IF(ISERROR(DAY(B130)),TEXT(MATCH(TRIM(SUBSTITUTE(SUBSTITUTE(SUBSTITUTE(SUBSTITUTE(SUBSTITUTE(SUBSTITUTE(SUBSTITUTE(SUBSTITUTE(SUBSTITUTE(SUBSTITUTE(SUBSTITUTE(B130,1,""),2,""),3,""),4,""),5,""),6,""),7,""),8,""),9,""),0,""),"-","")),{"gennaio","febbraio","marzo","aprile","maggio","giugno","luglio","agosto","settembre","ottobre","novembre","dicembre"},0),"00"),TEXT(MONTH(B130)*29,"mm"))</f>
        <v>06</v>
      </c>
      <c r="E130" s="68">
        <f t="shared" si="10"/>
        <v>2018</v>
      </c>
      <c r="G130" s="68" t="s">
        <v>918</v>
      </c>
      <c r="H130" s="68"/>
      <c r="I130" s="68" t="s">
        <v>919</v>
      </c>
      <c r="J130" s="68" t="s">
        <v>917</v>
      </c>
      <c r="K130" s="68"/>
      <c r="L130" s="68" t="s">
        <v>893</v>
      </c>
      <c r="M130" s="68" t="str">
        <f t="shared" si="8"/>
        <v>***
&gt; [!4colonne]- [[Messaggi/2018/2018-06-25| ← Messaggio precedente]] | 25 giugno 2018 | [[Messaggi/2018/2018-07-25| Messaggio successivo → ]]</v>
      </c>
    </row>
    <row r="131" spans="1:13" x14ac:dyDescent="0.25">
      <c r="A131" s="68"/>
      <c r="B131" s="70">
        <v>43276</v>
      </c>
      <c r="C131" s="68" t="str">
        <f t="shared" si="11"/>
        <v>25</v>
      </c>
      <c r="D131" s="68" t="str">
        <f>IF(ISERROR(DAY(B131)),TEXT(MATCH(TRIM(SUBSTITUTE(SUBSTITUTE(SUBSTITUTE(SUBSTITUTE(SUBSTITUTE(SUBSTITUTE(SUBSTITUTE(SUBSTITUTE(SUBSTITUTE(SUBSTITUTE(SUBSTITUTE(B131,1,""),2,""),3,""),4,""),5,""),6,""),7,""),8,""),9,""),0,""),"-","")),{"gennaio","febbraio","marzo","aprile","maggio","giugno","luglio","agosto","settembre","ottobre","novembre","dicembre"},0),"00"),TEXT(MONTH(B131)*29,"mm"))</f>
        <v>06</v>
      </c>
      <c r="E131" s="68">
        <f t="shared" si="10"/>
        <v>2018</v>
      </c>
      <c r="G131" s="68" t="s">
        <v>918</v>
      </c>
      <c r="H131" s="68"/>
      <c r="I131" s="68" t="s">
        <v>919</v>
      </c>
      <c r="J131" s="68" t="s">
        <v>917</v>
      </c>
      <c r="K131" s="68"/>
      <c r="L131" s="68" t="s">
        <v>893</v>
      </c>
      <c r="M131" s="68" t="str">
        <f t="shared" si="8"/>
        <v>***
&gt; [!4colonne]- [[Messaggi/2018/2018-05-25| ← Messaggio precedente]] | 25 giugno 2018 | [[Messaggi/2018/2018-06-25| Messaggio successivo → ]]</v>
      </c>
    </row>
    <row r="132" spans="1:13" x14ac:dyDescent="0.25">
      <c r="A132" s="68"/>
      <c r="B132" s="70">
        <v>43245</v>
      </c>
      <c r="C132" s="68" t="str">
        <f t="shared" si="11"/>
        <v>25</v>
      </c>
      <c r="D132" s="68" t="str">
        <f>IF(ISERROR(DAY(B132)),TEXT(MATCH(TRIM(SUBSTITUTE(SUBSTITUTE(SUBSTITUTE(SUBSTITUTE(SUBSTITUTE(SUBSTITUTE(SUBSTITUTE(SUBSTITUTE(SUBSTITUTE(SUBSTITUTE(SUBSTITUTE(B132,1,""),2,""),3,""),4,""),5,""),6,""),7,""),8,""),9,""),0,""),"-","")),{"gennaio","febbraio","marzo","aprile","maggio","giugno","luglio","agosto","settembre","ottobre","novembre","dicembre"},0),"00"),TEXT(MONTH(B132)*29,"mm"))</f>
        <v>05</v>
      </c>
      <c r="E132" s="68">
        <f t="shared" si="10"/>
        <v>2018</v>
      </c>
      <c r="G132" s="68" t="s">
        <v>918</v>
      </c>
      <c r="H132" s="68"/>
      <c r="I132" s="68" t="s">
        <v>919</v>
      </c>
      <c r="J132" s="68" t="s">
        <v>917</v>
      </c>
      <c r="K132" s="68"/>
      <c r="L132" s="68" t="s">
        <v>893</v>
      </c>
      <c r="M132" s="68" t="str">
        <f t="shared" si="8"/>
        <v>***
&gt; [!4colonne]- [[Messaggi/2018/2018-04-25| ← Messaggio precedente]] | 25 maggio 2018 | [[Messaggi/2018/2018-06-25| Messaggio successivo → ]]</v>
      </c>
    </row>
    <row r="133" spans="1:13" x14ac:dyDescent="0.25">
      <c r="A133" s="68"/>
      <c r="B133" s="70">
        <v>43215</v>
      </c>
      <c r="C133" s="68" t="str">
        <f t="shared" si="11"/>
        <v>25</v>
      </c>
      <c r="D133" s="68" t="str">
        <f>IF(ISERROR(DAY(B133)),TEXT(MATCH(TRIM(SUBSTITUTE(SUBSTITUTE(SUBSTITUTE(SUBSTITUTE(SUBSTITUTE(SUBSTITUTE(SUBSTITUTE(SUBSTITUTE(SUBSTITUTE(SUBSTITUTE(SUBSTITUTE(B133,1,""),2,""),3,""),4,""),5,""),6,""),7,""),8,""),9,""),0,""),"-","")),{"gennaio","febbraio","marzo","aprile","maggio","giugno","luglio","agosto","settembre","ottobre","novembre","dicembre"},0),"00"),TEXT(MONTH(B133)*29,"mm"))</f>
        <v>04</v>
      </c>
      <c r="E133" s="68">
        <f t="shared" si="10"/>
        <v>2018</v>
      </c>
      <c r="G133" s="68" t="s">
        <v>918</v>
      </c>
      <c r="H133" s="68"/>
      <c r="I133" s="68" t="s">
        <v>919</v>
      </c>
      <c r="J133" s="68" t="s">
        <v>917</v>
      </c>
      <c r="K133" s="68"/>
      <c r="L133" s="68" t="s">
        <v>893</v>
      </c>
      <c r="M133" s="68" t="str">
        <f t="shared" si="8"/>
        <v>***
&gt; [!4colonne]- [[Messaggi/2018/2018-03-25| ← Messaggio precedente]] | 25 aprile 2018 | [[Messaggi/2018/2018-05-25| Messaggio successivo → ]]</v>
      </c>
    </row>
    <row r="134" spans="1:13" x14ac:dyDescent="0.25">
      <c r="A134" s="68"/>
      <c r="B134" s="70">
        <v>43184</v>
      </c>
      <c r="C134" s="68" t="str">
        <f t="shared" si="11"/>
        <v>25</v>
      </c>
      <c r="D134" s="68" t="str">
        <f>IF(ISERROR(DAY(B134)),TEXT(MATCH(TRIM(SUBSTITUTE(SUBSTITUTE(SUBSTITUTE(SUBSTITUTE(SUBSTITUTE(SUBSTITUTE(SUBSTITUTE(SUBSTITUTE(SUBSTITUTE(SUBSTITUTE(SUBSTITUTE(B134,1,""),2,""),3,""),4,""),5,""),6,""),7,""),8,""),9,""),0,""),"-","")),{"gennaio","febbraio","marzo","aprile","maggio","giugno","luglio","agosto","settembre","ottobre","novembre","dicembre"},0),"00"),TEXT(MONTH(B134)*29,"mm"))</f>
        <v>03</v>
      </c>
      <c r="E134" s="68">
        <f t="shared" si="10"/>
        <v>2018</v>
      </c>
      <c r="G134" s="68" t="s">
        <v>918</v>
      </c>
      <c r="H134" s="68"/>
      <c r="I134" s="68" t="s">
        <v>919</v>
      </c>
      <c r="J134" s="68" t="s">
        <v>917</v>
      </c>
      <c r="K134" s="68"/>
      <c r="L134" s="68" t="s">
        <v>893</v>
      </c>
      <c r="M134" s="68" t="str">
        <f t="shared" si="8"/>
        <v>***
&gt; [!4colonne]- [[Messaggi/2018/2018-03-18| ← Messaggio precedente]] | 25 marzo 2018 | [[Messaggi/2018/2018-04-25| Messaggio successivo → ]]</v>
      </c>
    </row>
    <row r="135" spans="1:13" x14ac:dyDescent="0.25">
      <c r="A135" s="68"/>
      <c r="B135" s="70">
        <v>43177</v>
      </c>
      <c r="C135" s="68" t="str">
        <f t="shared" si="11"/>
        <v>18</v>
      </c>
      <c r="D135" s="68" t="str">
        <f>IF(ISERROR(DAY(B135)),TEXT(MATCH(TRIM(SUBSTITUTE(SUBSTITUTE(SUBSTITUTE(SUBSTITUTE(SUBSTITUTE(SUBSTITUTE(SUBSTITUTE(SUBSTITUTE(SUBSTITUTE(SUBSTITUTE(SUBSTITUTE(B135,1,""),2,""),3,""),4,""),5,""),6,""),7,""),8,""),9,""),0,""),"-","")),{"gennaio","febbraio","marzo","aprile","maggio","giugno","luglio","agosto","settembre","ottobre","novembre","dicembre"},0),"00"),TEXT(MONTH(B135)*29,"mm"))</f>
        <v>03</v>
      </c>
      <c r="E135" s="68">
        <f t="shared" si="10"/>
        <v>2018</v>
      </c>
      <c r="G135" s="68" t="s">
        <v>918</v>
      </c>
      <c r="H135" s="68"/>
      <c r="I135" s="68" t="s">
        <v>919</v>
      </c>
      <c r="J135" s="68" t="s">
        <v>917</v>
      </c>
      <c r="K135" s="68"/>
      <c r="L135" s="68" t="s">
        <v>893</v>
      </c>
      <c r="M135" s="68" t="str">
        <f t="shared" si="8"/>
        <v>***
&gt; [!4colonne]- [[Messaggi/2018/2018-02-25| ← Messaggio precedente]] | 18 marzo 2018 | [[Messaggi/2018/2018-03-25| Messaggio successivo → ]]</v>
      </c>
    </row>
    <row r="136" spans="1:13" x14ac:dyDescent="0.25">
      <c r="A136" s="68"/>
      <c r="B136" s="70">
        <v>43156</v>
      </c>
      <c r="C136" s="68" t="str">
        <f t="shared" si="11"/>
        <v>25</v>
      </c>
      <c r="D136" s="68" t="str">
        <f>IF(ISERROR(DAY(B136)),TEXT(MATCH(TRIM(SUBSTITUTE(SUBSTITUTE(SUBSTITUTE(SUBSTITUTE(SUBSTITUTE(SUBSTITUTE(SUBSTITUTE(SUBSTITUTE(SUBSTITUTE(SUBSTITUTE(SUBSTITUTE(B136,1,""),2,""),3,""),4,""),5,""),6,""),7,""),8,""),9,""),0,""),"-","")),{"gennaio","febbraio","marzo","aprile","maggio","giugno","luglio","agosto","settembre","ottobre","novembre","dicembre"},0),"00"),TEXT(MONTH(B136)*29,"mm"))</f>
        <v>02</v>
      </c>
      <c r="E136" s="68">
        <f t="shared" si="10"/>
        <v>2018</v>
      </c>
      <c r="G136" s="68" t="s">
        <v>918</v>
      </c>
      <c r="H136" s="68"/>
      <c r="I136" s="68" t="s">
        <v>919</v>
      </c>
      <c r="J136" s="68" t="s">
        <v>917</v>
      </c>
      <c r="K136" s="68"/>
      <c r="L136" s="68" t="s">
        <v>893</v>
      </c>
      <c r="M136" s="68" t="str">
        <f t="shared" si="8"/>
        <v>***
&gt; [!4colonne]- [[Messaggi/2018/2018-01-25| ← Messaggio precedente]] | 25 febbraio 2018 | [[Messaggi/2018/2018-03-18| Messaggio successivo → ]]</v>
      </c>
    </row>
    <row r="137" spans="1:13" s="37" customFormat="1" x14ac:dyDescent="0.25">
      <c r="A137" s="69"/>
      <c r="B137" s="71">
        <v>43125</v>
      </c>
      <c r="C137" s="69" t="str">
        <f t="shared" si="11"/>
        <v>25</v>
      </c>
      <c r="D137" s="69" t="str">
        <f>IF(ISERROR(DAY(B137)),TEXT(MATCH(TRIM(SUBSTITUTE(SUBSTITUTE(SUBSTITUTE(SUBSTITUTE(SUBSTITUTE(SUBSTITUTE(SUBSTITUTE(SUBSTITUTE(SUBSTITUTE(SUBSTITUTE(SUBSTITUTE(B137,1,""),2,""),3,""),4,""),5,""),6,""),7,""),8,""),9,""),0,""),"-","")),{"gennaio","febbraio","marzo","aprile","maggio","giugno","luglio","agosto","settembre","ottobre","novembre","dicembre"},0),"00"),TEXT(MONTH(B137)*29,"mm"))</f>
        <v>01</v>
      </c>
      <c r="E137" s="69">
        <f t="shared" si="10"/>
        <v>2018</v>
      </c>
      <c r="F137" s="66"/>
      <c r="G137" s="69" t="s">
        <v>918</v>
      </c>
      <c r="H137" s="69"/>
      <c r="I137" s="69" t="s">
        <v>919</v>
      </c>
      <c r="J137" s="69" t="s">
        <v>917</v>
      </c>
      <c r="K137" s="69"/>
      <c r="L137" s="69" t="s">
        <v>893</v>
      </c>
      <c r="M137" s="69" t="str">
        <f t="shared" si="8"/>
        <v>***
&gt; [!4colonne]- [[Messaggi/2017/2017-12-25| ← Messaggio precedente]] | 25 gennaio 2018 | [[Messaggi/2018/2018-02-25| Messaggio successivo → ]]</v>
      </c>
    </row>
    <row r="138" spans="1:13" x14ac:dyDescent="0.25">
      <c r="A138" s="68"/>
      <c r="B138" s="70">
        <v>43094</v>
      </c>
      <c r="C138" s="68" t="str">
        <f t="shared" si="11"/>
        <v>25</v>
      </c>
      <c r="D138" s="68" t="str">
        <f>IF(ISERROR(DAY(B138)),TEXT(MATCH(TRIM(SUBSTITUTE(SUBSTITUTE(SUBSTITUTE(SUBSTITUTE(SUBSTITUTE(SUBSTITUTE(SUBSTITUTE(SUBSTITUTE(SUBSTITUTE(SUBSTITUTE(SUBSTITUTE(B138,1,""),2,""),3,""),4,""),5,""),6,""),7,""),8,""),9,""),0,""),"-","")),{"gennaio","febbraio","marzo","aprile","maggio","giugno","luglio","agosto","settembre","ottobre","novembre","dicembre"},0),"00"),TEXT(MONTH(B138)*29,"mm"))</f>
        <v>12</v>
      </c>
      <c r="E138" s="68">
        <f t="shared" ref="E138:E168" si="12">YEAR(B138)</f>
        <v>2017</v>
      </c>
      <c r="G138" s="68" t="s">
        <v>918</v>
      </c>
      <c r="H138" s="68"/>
      <c r="I138" s="68" t="s">
        <v>919</v>
      </c>
      <c r="J138" s="68" t="s">
        <v>917</v>
      </c>
      <c r="K138" s="68"/>
      <c r="L138" s="68" t="s">
        <v>893</v>
      </c>
      <c r="M138" s="68" t="str">
        <f t="shared" si="8"/>
        <v>***
&gt; [!4colonne]- [[Messaggi/2017/2017-12-25| ← Messaggio precedente]] | 25 dicembre 2017 | [[Messaggi/2018/2018-01-25| Messaggio successivo → ]]</v>
      </c>
    </row>
    <row r="139" spans="1:13" x14ac:dyDescent="0.25">
      <c r="A139" s="68"/>
      <c r="B139" s="70">
        <v>43094</v>
      </c>
      <c r="C139" s="68" t="str">
        <f t="shared" si="11"/>
        <v>25</v>
      </c>
      <c r="D139" s="68" t="str">
        <f>IF(ISERROR(DAY(B139)),TEXT(MATCH(TRIM(SUBSTITUTE(SUBSTITUTE(SUBSTITUTE(SUBSTITUTE(SUBSTITUTE(SUBSTITUTE(SUBSTITUTE(SUBSTITUTE(SUBSTITUTE(SUBSTITUTE(SUBSTITUTE(B139,1,""),2,""),3,""),4,""),5,""),6,""),7,""),8,""),9,""),0,""),"-","")),{"gennaio","febbraio","marzo","aprile","maggio","giugno","luglio","agosto","settembre","ottobre","novembre","dicembre"},0),"00"),TEXT(MONTH(B139)*29,"mm"))</f>
        <v>12</v>
      </c>
      <c r="E139" s="68">
        <f t="shared" si="12"/>
        <v>2017</v>
      </c>
      <c r="G139" s="68" t="s">
        <v>918</v>
      </c>
      <c r="H139" s="68"/>
      <c r="I139" s="68" t="s">
        <v>919</v>
      </c>
      <c r="J139" s="68" t="s">
        <v>917</v>
      </c>
      <c r="K139" s="68"/>
      <c r="L139" s="68" t="s">
        <v>893</v>
      </c>
      <c r="M139" s="68" t="str">
        <f t="shared" si="8"/>
        <v>***
&gt; [!4colonne]- [[Messaggi/2017/2017-11-25| ← Messaggio precedente]] | 25 dicembre 2017 | [[Messaggi/2017/2017-12-25| Messaggio successivo → ]]</v>
      </c>
    </row>
    <row r="140" spans="1:13" x14ac:dyDescent="0.25">
      <c r="A140" s="68"/>
      <c r="B140" s="70">
        <v>43064</v>
      </c>
      <c r="C140" s="68" t="str">
        <f t="shared" si="11"/>
        <v>25</v>
      </c>
      <c r="D140" s="68" t="str">
        <f>IF(ISERROR(DAY(B140)),TEXT(MATCH(TRIM(SUBSTITUTE(SUBSTITUTE(SUBSTITUTE(SUBSTITUTE(SUBSTITUTE(SUBSTITUTE(SUBSTITUTE(SUBSTITUTE(SUBSTITUTE(SUBSTITUTE(SUBSTITUTE(B140,1,""),2,""),3,""),4,""),5,""),6,""),7,""),8,""),9,""),0,""),"-","")),{"gennaio","febbraio","marzo","aprile","maggio","giugno","luglio","agosto","settembre","ottobre","novembre","dicembre"},0),"00"),TEXT(MONTH(B140)*29,"mm"))</f>
        <v>11</v>
      </c>
      <c r="E140" s="68">
        <f t="shared" si="12"/>
        <v>2017</v>
      </c>
      <c r="G140" s="68" t="s">
        <v>918</v>
      </c>
      <c r="H140" s="68"/>
      <c r="I140" s="68" t="s">
        <v>919</v>
      </c>
      <c r="J140" s="68" t="s">
        <v>917</v>
      </c>
      <c r="K140" s="68"/>
      <c r="L140" s="68" t="s">
        <v>893</v>
      </c>
      <c r="M140" s="68" t="str">
        <f t="shared" si="8"/>
        <v>***
&gt; [!4colonne]- [[Messaggi/2017/2017-10-25| ← Messaggio precedente]] | 25 novembre 2017 | [[Messaggi/2017/2017-12-25| Messaggio successivo → ]]</v>
      </c>
    </row>
    <row r="141" spans="1:13" x14ac:dyDescent="0.25">
      <c r="A141" s="68"/>
      <c r="B141" s="70">
        <v>43033</v>
      </c>
      <c r="C141" s="68" t="str">
        <f t="shared" si="11"/>
        <v>25</v>
      </c>
      <c r="D141" s="68" t="str">
        <f>IF(ISERROR(DAY(B141)),TEXT(MATCH(TRIM(SUBSTITUTE(SUBSTITUTE(SUBSTITUTE(SUBSTITUTE(SUBSTITUTE(SUBSTITUTE(SUBSTITUTE(SUBSTITUTE(SUBSTITUTE(SUBSTITUTE(SUBSTITUTE(B141,1,""),2,""),3,""),4,""),5,""),6,""),7,""),8,""),9,""),0,""),"-","")),{"gennaio","febbraio","marzo","aprile","maggio","giugno","luglio","agosto","settembre","ottobre","novembre","dicembre"},0),"00"),TEXT(MONTH(B141)*29,"mm"))</f>
        <v>10</v>
      </c>
      <c r="E141" s="68">
        <f t="shared" si="12"/>
        <v>2017</v>
      </c>
      <c r="G141" s="68" t="s">
        <v>918</v>
      </c>
      <c r="H141" s="68"/>
      <c r="I141" s="68" t="s">
        <v>919</v>
      </c>
      <c r="J141" s="68" t="s">
        <v>917</v>
      </c>
      <c r="K141" s="68"/>
      <c r="L141" s="68" t="s">
        <v>893</v>
      </c>
      <c r="M141" s="68" t="str">
        <f t="shared" si="8"/>
        <v>***
&gt; [!4colonne]- [[Messaggi/2017/2017-09-25| ← Messaggio precedente]] | 25 ottobre 2017 | [[Messaggi/2017/2017-11-25| Messaggio successivo → ]]</v>
      </c>
    </row>
    <row r="142" spans="1:13" x14ac:dyDescent="0.25">
      <c r="A142" s="68"/>
      <c r="B142" s="70">
        <v>43003</v>
      </c>
      <c r="C142" s="68" t="str">
        <f t="shared" si="11"/>
        <v>25</v>
      </c>
      <c r="D142" s="68" t="str">
        <f>IF(ISERROR(DAY(B142)),TEXT(MATCH(TRIM(SUBSTITUTE(SUBSTITUTE(SUBSTITUTE(SUBSTITUTE(SUBSTITUTE(SUBSTITUTE(SUBSTITUTE(SUBSTITUTE(SUBSTITUTE(SUBSTITUTE(SUBSTITUTE(B142,1,""),2,""),3,""),4,""),5,""),6,""),7,""),8,""),9,""),0,""),"-","")),{"gennaio","febbraio","marzo","aprile","maggio","giugno","luglio","agosto","settembre","ottobre","novembre","dicembre"},0),"00"),TEXT(MONTH(B142)*29,"mm"))</f>
        <v>09</v>
      </c>
      <c r="E142" s="68">
        <f t="shared" si="12"/>
        <v>2017</v>
      </c>
      <c r="G142" s="68" t="s">
        <v>918</v>
      </c>
      <c r="H142" s="68"/>
      <c r="I142" s="68" t="s">
        <v>919</v>
      </c>
      <c r="J142" s="68" t="s">
        <v>917</v>
      </c>
      <c r="K142" s="68"/>
      <c r="L142" s="68" t="s">
        <v>893</v>
      </c>
      <c r="M142" s="68" t="str">
        <f t="shared" si="8"/>
        <v>***
&gt; [!4colonne]- [[Messaggi/2017/2017-08-25| ← Messaggio precedente]] | 25 settembre 2017 | [[Messaggi/2017/2017-10-25| Messaggio successivo → ]]</v>
      </c>
    </row>
    <row r="143" spans="1:13" x14ac:dyDescent="0.25">
      <c r="A143" s="68"/>
      <c r="B143" s="70">
        <v>42972</v>
      </c>
      <c r="C143" s="68" t="str">
        <f t="shared" si="11"/>
        <v>25</v>
      </c>
      <c r="D143" s="68" t="str">
        <f>IF(ISERROR(DAY(B143)),TEXT(MATCH(TRIM(SUBSTITUTE(SUBSTITUTE(SUBSTITUTE(SUBSTITUTE(SUBSTITUTE(SUBSTITUTE(SUBSTITUTE(SUBSTITUTE(SUBSTITUTE(SUBSTITUTE(SUBSTITUTE(B143,1,""),2,""),3,""),4,""),5,""),6,""),7,""),8,""),9,""),0,""),"-","")),{"gennaio","febbraio","marzo","aprile","maggio","giugno","luglio","agosto","settembre","ottobre","novembre","dicembre"},0),"00"),TEXT(MONTH(B143)*29,"mm"))</f>
        <v>08</v>
      </c>
      <c r="E143" s="68">
        <f t="shared" si="12"/>
        <v>2017</v>
      </c>
      <c r="G143" s="68" t="s">
        <v>918</v>
      </c>
      <c r="H143" s="68"/>
      <c r="I143" s="68" t="s">
        <v>919</v>
      </c>
      <c r="J143" s="68" t="s">
        <v>917</v>
      </c>
      <c r="K143" s="68"/>
      <c r="L143" s="68" t="s">
        <v>893</v>
      </c>
      <c r="M143" s="68" t="str">
        <f t="shared" si="8"/>
        <v>***
&gt; [!4colonne]- [[Messaggi/2017/2017-07-25| ← Messaggio precedente]] | 25 agosto 2017 | [[Messaggi/2017/2017-09-25| Messaggio successivo → ]]</v>
      </c>
    </row>
    <row r="144" spans="1:13" x14ac:dyDescent="0.25">
      <c r="A144" s="68"/>
      <c r="B144" s="70">
        <v>42941</v>
      </c>
      <c r="C144" s="68" t="str">
        <f t="shared" si="11"/>
        <v>25</v>
      </c>
      <c r="D144" s="68" t="str">
        <f>IF(ISERROR(DAY(B144)),TEXT(MATCH(TRIM(SUBSTITUTE(SUBSTITUTE(SUBSTITUTE(SUBSTITUTE(SUBSTITUTE(SUBSTITUTE(SUBSTITUTE(SUBSTITUTE(SUBSTITUTE(SUBSTITUTE(SUBSTITUTE(B144,1,""),2,""),3,""),4,""),5,""),6,""),7,""),8,""),9,""),0,""),"-","")),{"gennaio","febbraio","marzo","aprile","maggio","giugno","luglio","agosto","settembre","ottobre","novembre","dicembre"},0),"00"),TEXT(MONTH(B144)*29,"mm"))</f>
        <v>07</v>
      </c>
      <c r="E144" s="68">
        <f t="shared" si="12"/>
        <v>2017</v>
      </c>
      <c r="G144" s="68" t="s">
        <v>918</v>
      </c>
      <c r="H144" s="68"/>
      <c r="I144" s="68" t="s">
        <v>919</v>
      </c>
      <c r="J144" s="68" t="s">
        <v>917</v>
      </c>
      <c r="K144" s="68"/>
      <c r="L144" s="68" t="s">
        <v>893</v>
      </c>
      <c r="M144" s="68" t="str">
        <f t="shared" si="8"/>
        <v>***
&gt; [!4colonne]- [[Messaggi/2017/2017-06-25| ← Messaggio precedente]] | 25 luglio 2017 | [[Messaggi/2017/2017-08-25| Messaggio successivo → ]]</v>
      </c>
    </row>
    <row r="145" spans="1:13" x14ac:dyDescent="0.25">
      <c r="A145" s="68"/>
      <c r="B145" s="70">
        <v>42911</v>
      </c>
      <c r="C145" s="68" t="str">
        <f t="shared" si="11"/>
        <v>25</v>
      </c>
      <c r="D145" s="68" t="str">
        <f>IF(ISERROR(DAY(B145)),TEXT(MATCH(TRIM(SUBSTITUTE(SUBSTITUTE(SUBSTITUTE(SUBSTITUTE(SUBSTITUTE(SUBSTITUTE(SUBSTITUTE(SUBSTITUTE(SUBSTITUTE(SUBSTITUTE(SUBSTITUTE(B145,1,""),2,""),3,""),4,""),5,""),6,""),7,""),8,""),9,""),0,""),"-","")),{"gennaio","febbraio","marzo","aprile","maggio","giugno","luglio","agosto","settembre","ottobre","novembre","dicembre"},0),"00"),TEXT(MONTH(B145)*29,"mm"))</f>
        <v>06</v>
      </c>
      <c r="E145" s="68">
        <f t="shared" si="12"/>
        <v>2017</v>
      </c>
      <c r="G145" s="68" t="s">
        <v>918</v>
      </c>
      <c r="H145" s="68"/>
      <c r="I145" s="68" t="s">
        <v>919</v>
      </c>
      <c r="J145" s="68" t="s">
        <v>917</v>
      </c>
      <c r="K145" s="68"/>
      <c r="L145" s="68" t="s">
        <v>893</v>
      </c>
      <c r="M145" s="68" t="str">
        <f t="shared" ref="M145:M195" si="13">_xlfn.CONCAT("***
&gt;",G145,E146,"/",E146,"-",D146,"-",C146,H145,I145," | ",TEXT(B145,"gg mmmm aaaa"),J145,E144,"/",E144,"-",D144,"-",C144,K145,L145)</f>
        <v>***
&gt; [!4colonne]- [[Messaggi/2017/2017-06-25| ← Messaggio precedente]] | 25 giugno 2017 | [[Messaggi/2017/2017-07-25| Messaggio successivo → ]]</v>
      </c>
    </row>
    <row r="146" spans="1:13" x14ac:dyDescent="0.25">
      <c r="A146" s="68"/>
      <c r="B146" s="70">
        <v>42911</v>
      </c>
      <c r="C146" s="68" t="str">
        <f t="shared" si="11"/>
        <v>25</v>
      </c>
      <c r="D146" s="68" t="str">
        <f>IF(ISERROR(DAY(B146)),TEXT(MATCH(TRIM(SUBSTITUTE(SUBSTITUTE(SUBSTITUTE(SUBSTITUTE(SUBSTITUTE(SUBSTITUTE(SUBSTITUTE(SUBSTITUTE(SUBSTITUTE(SUBSTITUTE(SUBSTITUTE(B146,1,""),2,""),3,""),4,""),5,""),6,""),7,""),8,""),9,""),0,""),"-","")),{"gennaio","febbraio","marzo","aprile","maggio","giugno","luglio","agosto","settembre","ottobre","novembre","dicembre"},0),"00"),TEXT(MONTH(B146)*29,"mm"))</f>
        <v>06</v>
      </c>
      <c r="E146" s="68">
        <f t="shared" si="12"/>
        <v>2017</v>
      </c>
      <c r="G146" s="68" t="s">
        <v>918</v>
      </c>
      <c r="H146" s="68"/>
      <c r="I146" s="68" t="s">
        <v>919</v>
      </c>
      <c r="J146" s="68" t="s">
        <v>917</v>
      </c>
      <c r="K146" s="68"/>
      <c r="L146" s="68" t="s">
        <v>893</v>
      </c>
      <c r="M146" s="68" t="str">
        <f t="shared" si="13"/>
        <v>***
&gt; [!4colonne]- [[Messaggi/2017/2017-05-25| ← Messaggio precedente]] | 25 giugno 2017 | [[Messaggi/2017/2017-06-25| Messaggio successivo → ]]</v>
      </c>
    </row>
    <row r="147" spans="1:13" x14ac:dyDescent="0.25">
      <c r="A147" s="68"/>
      <c r="B147" s="70">
        <v>42880</v>
      </c>
      <c r="C147" s="68" t="str">
        <f t="shared" si="11"/>
        <v>25</v>
      </c>
      <c r="D147" s="68" t="str">
        <f>IF(ISERROR(DAY(B147)),TEXT(MATCH(TRIM(SUBSTITUTE(SUBSTITUTE(SUBSTITUTE(SUBSTITUTE(SUBSTITUTE(SUBSTITUTE(SUBSTITUTE(SUBSTITUTE(SUBSTITUTE(SUBSTITUTE(SUBSTITUTE(B147,1,""),2,""),3,""),4,""),5,""),6,""),7,""),8,""),9,""),0,""),"-","")),{"gennaio","febbraio","marzo","aprile","maggio","giugno","luglio","agosto","settembre","ottobre","novembre","dicembre"},0),"00"),TEXT(MONTH(B147)*29,"mm"))</f>
        <v>05</v>
      </c>
      <c r="E147" s="68">
        <f t="shared" si="12"/>
        <v>2017</v>
      </c>
      <c r="G147" s="68" t="s">
        <v>918</v>
      </c>
      <c r="H147" s="68"/>
      <c r="I147" s="68" t="s">
        <v>919</v>
      </c>
      <c r="J147" s="68" t="s">
        <v>917</v>
      </c>
      <c r="K147" s="68"/>
      <c r="L147" s="68" t="s">
        <v>893</v>
      </c>
      <c r="M147" s="68" t="str">
        <f t="shared" si="13"/>
        <v>***
&gt; [!4colonne]- [[Messaggi/2017/2017-04-25| ← Messaggio precedente]] | 25 maggio 2017 | [[Messaggi/2017/2017-06-25| Messaggio successivo → ]]</v>
      </c>
    </row>
    <row r="148" spans="1:13" x14ac:dyDescent="0.25">
      <c r="A148" s="68"/>
      <c r="B148" s="70">
        <v>42850</v>
      </c>
      <c r="C148" s="68" t="str">
        <f t="shared" si="11"/>
        <v>25</v>
      </c>
      <c r="D148" s="68" t="str">
        <f>IF(ISERROR(DAY(B148)),TEXT(MATCH(TRIM(SUBSTITUTE(SUBSTITUTE(SUBSTITUTE(SUBSTITUTE(SUBSTITUTE(SUBSTITUTE(SUBSTITUTE(SUBSTITUTE(SUBSTITUTE(SUBSTITUTE(SUBSTITUTE(B148,1,""),2,""),3,""),4,""),5,""),6,""),7,""),8,""),9,""),0,""),"-","")),{"gennaio","febbraio","marzo","aprile","maggio","giugno","luglio","agosto","settembre","ottobre","novembre","dicembre"},0),"00"),TEXT(MONTH(B148)*29,"mm"))</f>
        <v>04</v>
      </c>
      <c r="E148" s="68">
        <f t="shared" si="12"/>
        <v>2017</v>
      </c>
      <c r="G148" s="68" t="s">
        <v>918</v>
      </c>
      <c r="H148" s="68"/>
      <c r="I148" s="68" t="s">
        <v>919</v>
      </c>
      <c r="J148" s="68" t="s">
        <v>917</v>
      </c>
      <c r="K148" s="68"/>
      <c r="L148" s="68" t="s">
        <v>893</v>
      </c>
      <c r="M148" s="68" t="str">
        <f t="shared" si="13"/>
        <v>***
&gt; [!4colonne]- [[Messaggi/2017/2017-03-25| ← Messaggio precedente]] | 25 aprile 2017 | [[Messaggi/2017/2017-05-25| Messaggio successivo → ]]</v>
      </c>
    </row>
    <row r="149" spans="1:13" x14ac:dyDescent="0.25">
      <c r="A149" s="68"/>
      <c r="B149" s="70">
        <v>42819</v>
      </c>
      <c r="C149" s="68" t="str">
        <f t="shared" si="11"/>
        <v>25</v>
      </c>
      <c r="D149" s="68" t="str">
        <f>IF(ISERROR(DAY(B149)),TEXT(MATCH(TRIM(SUBSTITUTE(SUBSTITUTE(SUBSTITUTE(SUBSTITUTE(SUBSTITUTE(SUBSTITUTE(SUBSTITUTE(SUBSTITUTE(SUBSTITUTE(SUBSTITUTE(SUBSTITUTE(B149,1,""),2,""),3,""),4,""),5,""),6,""),7,""),8,""),9,""),0,""),"-","")),{"gennaio","febbraio","marzo","aprile","maggio","giugno","luglio","agosto","settembre","ottobre","novembre","dicembre"},0),"00"),TEXT(MONTH(B149)*29,"mm"))</f>
        <v>03</v>
      </c>
      <c r="E149" s="68">
        <f t="shared" si="12"/>
        <v>2017</v>
      </c>
      <c r="G149" s="68" t="s">
        <v>918</v>
      </c>
      <c r="H149" s="68"/>
      <c r="I149" s="68" t="s">
        <v>919</v>
      </c>
      <c r="J149" s="68" t="s">
        <v>917</v>
      </c>
      <c r="K149" s="68"/>
      <c r="L149" s="68" t="s">
        <v>893</v>
      </c>
      <c r="M149" s="68" t="str">
        <f t="shared" si="13"/>
        <v>***
&gt; [!4colonne]- [[Messaggi/2017/2017-03-18| ← Messaggio precedente]] | 25 marzo 2017 | [[Messaggi/2017/2017-04-25| Messaggio successivo → ]]</v>
      </c>
    </row>
    <row r="150" spans="1:13" x14ac:dyDescent="0.25">
      <c r="A150" s="68"/>
      <c r="B150" s="70">
        <v>42812</v>
      </c>
      <c r="C150" s="68" t="str">
        <f t="shared" si="11"/>
        <v>18</v>
      </c>
      <c r="D150" s="68" t="str">
        <f>IF(ISERROR(DAY(B150)),TEXT(MATCH(TRIM(SUBSTITUTE(SUBSTITUTE(SUBSTITUTE(SUBSTITUTE(SUBSTITUTE(SUBSTITUTE(SUBSTITUTE(SUBSTITUTE(SUBSTITUTE(SUBSTITUTE(SUBSTITUTE(B150,1,""),2,""),3,""),4,""),5,""),6,""),7,""),8,""),9,""),0,""),"-","")),{"gennaio","febbraio","marzo","aprile","maggio","giugno","luglio","agosto","settembre","ottobre","novembre","dicembre"},0),"00"),TEXT(MONTH(B150)*29,"mm"))</f>
        <v>03</v>
      </c>
      <c r="E150" s="68">
        <f t="shared" si="12"/>
        <v>2017</v>
      </c>
      <c r="G150" s="68" t="s">
        <v>918</v>
      </c>
      <c r="H150" s="68"/>
      <c r="I150" s="68" t="s">
        <v>919</v>
      </c>
      <c r="J150" s="68" t="s">
        <v>917</v>
      </c>
      <c r="K150" s="68"/>
      <c r="L150" s="68" t="s">
        <v>893</v>
      </c>
      <c r="M150" s="68" t="str">
        <f t="shared" si="13"/>
        <v>***
&gt; [!4colonne]- [[Messaggi/2017/2017-02-25| ← Messaggio precedente]] | 18 marzo 2017 | [[Messaggi/2017/2017-03-25| Messaggio successivo → ]]</v>
      </c>
    </row>
    <row r="151" spans="1:13" x14ac:dyDescent="0.25">
      <c r="A151" s="68"/>
      <c r="B151" s="70">
        <v>42791</v>
      </c>
      <c r="C151" s="68" t="str">
        <f t="shared" si="11"/>
        <v>25</v>
      </c>
      <c r="D151" s="68" t="str">
        <f>IF(ISERROR(DAY(B151)),TEXT(MATCH(TRIM(SUBSTITUTE(SUBSTITUTE(SUBSTITUTE(SUBSTITUTE(SUBSTITUTE(SUBSTITUTE(SUBSTITUTE(SUBSTITUTE(SUBSTITUTE(SUBSTITUTE(SUBSTITUTE(B151,1,""),2,""),3,""),4,""),5,""),6,""),7,""),8,""),9,""),0,""),"-","")),{"gennaio","febbraio","marzo","aprile","maggio","giugno","luglio","agosto","settembre","ottobre","novembre","dicembre"},0),"00"),TEXT(MONTH(B151)*29,"mm"))</f>
        <v>02</v>
      </c>
      <c r="E151" s="68">
        <f t="shared" si="12"/>
        <v>2017</v>
      </c>
      <c r="G151" s="68" t="s">
        <v>918</v>
      </c>
      <c r="H151" s="68"/>
      <c r="I151" s="68" t="s">
        <v>919</v>
      </c>
      <c r="J151" s="68" t="s">
        <v>917</v>
      </c>
      <c r="K151" s="68"/>
      <c r="L151" s="68" t="s">
        <v>893</v>
      </c>
      <c r="M151" s="68" t="str">
        <f t="shared" si="13"/>
        <v>***
&gt; [!4colonne]- [[Messaggi/2017/2017-01-25| ← Messaggio precedente]] | 25 febbraio 2017 | [[Messaggi/2017/2017-03-18| Messaggio successivo → ]]</v>
      </c>
    </row>
    <row r="152" spans="1:13" s="37" customFormat="1" x14ac:dyDescent="0.25">
      <c r="A152" s="69"/>
      <c r="B152" s="71">
        <v>42760</v>
      </c>
      <c r="C152" s="69" t="str">
        <f t="shared" si="11"/>
        <v>25</v>
      </c>
      <c r="D152" s="69" t="str">
        <f>IF(ISERROR(DAY(B152)),TEXT(MATCH(TRIM(SUBSTITUTE(SUBSTITUTE(SUBSTITUTE(SUBSTITUTE(SUBSTITUTE(SUBSTITUTE(SUBSTITUTE(SUBSTITUTE(SUBSTITUTE(SUBSTITUTE(SUBSTITUTE(B152,1,""),2,""),3,""),4,""),5,""),6,""),7,""),8,""),9,""),0,""),"-","")),{"gennaio","febbraio","marzo","aprile","maggio","giugno","luglio","agosto","settembre","ottobre","novembre","dicembre"},0),"00"),TEXT(MONTH(B152)*29,"mm"))</f>
        <v>01</v>
      </c>
      <c r="E152" s="69">
        <f t="shared" si="12"/>
        <v>2017</v>
      </c>
      <c r="F152" s="66"/>
      <c r="G152" s="69" t="s">
        <v>918</v>
      </c>
      <c r="H152" s="69"/>
      <c r="I152" s="69" t="s">
        <v>919</v>
      </c>
      <c r="J152" s="69" t="s">
        <v>917</v>
      </c>
      <c r="K152" s="69"/>
      <c r="L152" s="69" t="s">
        <v>893</v>
      </c>
      <c r="M152" s="69" t="str">
        <f t="shared" si="13"/>
        <v>***
&gt; [!4colonne]- [[Messaggi/2016/2016-12-25| ← Messaggio precedente]] | 25 gennaio 2017 | [[Messaggi/2017/2017-02-25| Messaggio successivo → ]]</v>
      </c>
    </row>
    <row r="153" spans="1:13" x14ac:dyDescent="0.25">
      <c r="A153" s="68"/>
      <c r="B153" s="70">
        <v>42729</v>
      </c>
      <c r="C153" s="68" t="str">
        <f t="shared" si="11"/>
        <v>25</v>
      </c>
      <c r="D153" s="68" t="str">
        <f>IF(ISERROR(DAY(B153)),TEXT(MATCH(TRIM(SUBSTITUTE(SUBSTITUTE(SUBSTITUTE(SUBSTITUTE(SUBSTITUTE(SUBSTITUTE(SUBSTITUTE(SUBSTITUTE(SUBSTITUTE(SUBSTITUTE(SUBSTITUTE(B153,1,""),2,""),3,""),4,""),5,""),6,""),7,""),8,""),9,""),0,""),"-","")),{"gennaio","febbraio","marzo","aprile","maggio","giugno","luglio","agosto","settembre","ottobre","novembre","dicembre"},0),"00"),TEXT(MONTH(B153)*29,"mm"))</f>
        <v>12</v>
      </c>
      <c r="E153" s="68">
        <f t="shared" si="12"/>
        <v>2016</v>
      </c>
      <c r="G153" s="68" t="s">
        <v>918</v>
      </c>
      <c r="H153" s="68"/>
      <c r="I153" s="68" t="s">
        <v>919</v>
      </c>
      <c r="J153" s="68" t="s">
        <v>917</v>
      </c>
      <c r="K153" s="68"/>
      <c r="L153" s="68" t="s">
        <v>893</v>
      </c>
      <c r="M153" s="68" t="str">
        <f t="shared" si="13"/>
        <v>***
&gt; [!4colonne]- [[Messaggi/2016/2016-12-25| ← Messaggio precedente]] | 25 dicembre 2016 | [[Messaggi/2017/2017-01-25| Messaggio successivo → ]]</v>
      </c>
    </row>
    <row r="154" spans="1:13" x14ac:dyDescent="0.25">
      <c r="A154" s="68"/>
      <c r="B154" s="70">
        <v>42729</v>
      </c>
      <c r="C154" s="68" t="str">
        <f t="shared" si="11"/>
        <v>25</v>
      </c>
      <c r="D154" s="68" t="str">
        <f>IF(ISERROR(DAY(B154)),TEXT(MATCH(TRIM(SUBSTITUTE(SUBSTITUTE(SUBSTITUTE(SUBSTITUTE(SUBSTITUTE(SUBSTITUTE(SUBSTITUTE(SUBSTITUTE(SUBSTITUTE(SUBSTITUTE(SUBSTITUTE(B154,1,""),2,""),3,""),4,""),5,""),6,""),7,""),8,""),9,""),0,""),"-","")),{"gennaio","febbraio","marzo","aprile","maggio","giugno","luglio","agosto","settembre","ottobre","novembre","dicembre"},0),"00"),TEXT(MONTH(B154)*29,"mm"))</f>
        <v>12</v>
      </c>
      <c r="E154" s="68">
        <f t="shared" si="12"/>
        <v>2016</v>
      </c>
      <c r="G154" s="68" t="s">
        <v>918</v>
      </c>
      <c r="H154" s="68"/>
      <c r="I154" s="68" t="s">
        <v>919</v>
      </c>
      <c r="J154" s="68" t="s">
        <v>917</v>
      </c>
      <c r="K154" s="68"/>
      <c r="L154" s="68" t="s">
        <v>893</v>
      </c>
      <c r="M154" s="68" t="str">
        <f t="shared" si="13"/>
        <v>***
&gt; [!4colonne]- [[Messaggi/2016/2016-11-25| ← Messaggio precedente]] | 25 dicembre 2016 | [[Messaggi/2016/2016-12-25| Messaggio successivo → ]]</v>
      </c>
    </row>
    <row r="155" spans="1:13" x14ac:dyDescent="0.25">
      <c r="A155" s="68"/>
      <c r="B155" s="70">
        <v>42699</v>
      </c>
      <c r="C155" s="68" t="str">
        <f t="shared" si="11"/>
        <v>25</v>
      </c>
      <c r="D155" s="68" t="str">
        <f>IF(ISERROR(DAY(B155)),TEXT(MATCH(TRIM(SUBSTITUTE(SUBSTITUTE(SUBSTITUTE(SUBSTITUTE(SUBSTITUTE(SUBSTITUTE(SUBSTITUTE(SUBSTITUTE(SUBSTITUTE(SUBSTITUTE(SUBSTITUTE(B155,1,""),2,""),3,""),4,""),5,""),6,""),7,""),8,""),9,""),0,""),"-","")),{"gennaio","febbraio","marzo","aprile","maggio","giugno","luglio","agosto","settembre","ottobre","novembre","dicembre"},0),"00"),TEXT(MONTH(B155)*29,"mm"))</f>
        <v>11</v>
      </c>
      <c r="E155" s="68">
        <f t="shared" si="12"/>
        <v>2016</v>
      </c>
      <c r="G155" s="68" t="s">
        <v>918</v>
      </c>
      <c r="H155" s="68"/>
      <c r="I155" s="68" t="s">
        <v>919</v>
      </c>
      <c r="J155" s="68" t="s">
        <v>917</v>
      </c>
      <c r="K155" s="68"/>
      <c r="L155" s="68" t="s">
        <v>893</v>
      </c>
      <c r="M155" s="68" t="str">
        <f t="shared" si="13"/>
        <v>***
&gt; [!4colonne]- [[Messaggi/2016/2016-10-25| ← Messaggio precedente]] | 25 novembre 2016 | [[Messaggi/2016/2016-12-25| Messaggio successivo → ]]</v>
      </c>
    </row>
    <row r="156" spans="1:13" x14ac:dyDescent="0.25">
      <c r="A156" s="68"/>
      <c r="B156" s="70">
        <v>42668</v>
      </c>
      <c r="C156" s="68" t="str">
        <f t="shared" si="11"/>
        <v>25</v>
      </c>
      <c r="D156" s="68" t="str">
        <f>IF(ISERROR(DAY(B156)),TEXT(MATCH(TRIM(SUBSTITUTE(SUBSTITUTE(SUBSTITUTE(SUBSTITUTE(SUBSTITUTE(SUBSTITUTE(SUBSTITUTE(SUBSTITUTE(SUBSTITUTE(SUBSTITUTE(SUBSTITUTE(B156,1,""),2,""),3,""),4,""),5,""),6,""),7,""),8,""),9,""),0,""),"-","")),{"gennaio","febbraio","marzo","aprile","maggio","giugno","luglio","agosto","settembre","ottobre","novembre","dicembre"},0),"00"),TEXT(MONTH(B156)*29,"mm"))</f>
        <v>10</v>
      </c>
      <c r="E156" s="68">
        <f t="shared" si="12"/>
        <v>2016</v>
      </c>
      <c r="G156" s="68" t="s">
        <v>918</v>
      </c>
      <c r="H156" s="68"/>
      <c r="I156" s="68" t="s">
        <v>919</v>
      </c>
      <c r="J156" s="68" t="s">
        <v>917</v>
      </c>
      <c r="K156" s="68"/>
      <c r="L156" s="68" t="s">
        <v>893</v>
      </c>
      <c r="M156" s="68" t="str">
        <f t="shared" si="13"/>
        <v>***
&gt; [!4colonne]- [[Messaggi/2016/2016-09-25| ← Messaggio precedente]] | 25 ottobre 2016 | [[Messaggi/2016/2016-11-25| Messaggio successivo → ]]</v>
      </c>
    </row>
    <row r="157" spans="1:13" x14ac:dyDescent="0.25">
      <c r="A157" s="68"/>
      <c r="B157" s="70">
        <v>42638</v>
      </c>
      <c r="C157" s="68" t="str">
        <f t="shared" si="11"/>
        <v>25</v>
      </c>
      <c r="D157" s="68" t="str">
        <f>IF(ISERROR(DAY(B157)),TEXT(MATCH(TRIM(SUBSTITUTE(SUBSTITUTE(SUBSTITUTE(SUBSTITUTE(SUBSTITUTE(SUBSTITUTE(SUBSTITUTE(SUBSTITUTE(SUBSTITUTE(SUBSTITUTE(SUBSTITUTE(B157,1,""),2,""),3,""),4,""),5,""),6,""),7,""),8,""),9,""),0,""),"-","")),{"gennaio","febbraio","marzo","aprile","maggio","giugno","luglio","agosto","settembre","ottobre","novembre","dicembre"},0),"00"),TEXT(MONTH(B157)*29,"mm"))</f>
        <v>09</v>
      </c>
      <c r="E157" s="68">
        <f t="shared" si="12"/>
        <v>2016</v>
      </c>
      <c r="G157" s="68" t="s">
        <v>918</v>
      </c>
      <c r="H157" s="68"/>
      <c r="I157" s="68" t="s">
        <v>919</v>
      </c>
      <c r="J157" s="68" t="s">
        <v>917</v>
      </c>
      <c r="K157" s="68"/>
      <c r="L157" s="68" t="s">
        <v>893</v>
      </c>
      <c r="M157" s="68" t="str">
        <f t="shared" si="13"/>
        <v>***
&gt; [!4colonne]- [[Messaggi/2016/2016-08-25| ← Messaggio precedente]] | 25 settembre 2016 | [[Messaggi/2016/2016-10-25| Messaggio successivo → ]]</v>
      </c>
    </row>
    <row r="158" spans="1:13" x14ac:dyDescent="0.25">
      <c r="A158" s="68"/>
      <c r="B158" s="70">
        <v>42607</v>
      </c>
      <c r="C158" s="68" t="str">
        <f t="shared" si="11"/>
        <v>25</v>
      </c>
      <c r="D158" s="68" t="str">
        <f>IF(ISERROR(DAY(B158)),TEXT(MATCH(TRIM(SUBSTITUTE(SUBSTITUTE(SUBSTITUTE(SUBSTITUTE(SUBSTITUTE(SUBSTITUTE(SUBSTITUTE(SUBSTITUTE(SUBSTITUTE(SUBSTITUTE(SUBSTITUTE(B158,1,""),2,""),3,""),4,""),5,""),6,""),7,""),8,""),9,""),0,""),"-","")),{"gennaio","febbraio","marzo","aprile","maggio","giugno","luglio","agosto","settembre","ottobre","novembre","dicembre"},0),"00"),TEXT(MONTH(B158)*29,"mm"))</f>
        <v>08</v>
      </c>
      <c r="E158" s="68">
        <f t="shared" si="12"/>
        <v>2016</v>
      </c>
      <c r="G158" s="68" t="s">
        <v>918</v>
      </c>
      <c r="H158" s="68"/>
      <c r="I158" s="68" t="s">
        <v>919</v>
      </c>
      <c r="J158" s="68" t="s">
        <v>917</v>
      </c>
      <c r="K158" s="68"/>
      <c r="L158" s="68" t="s">
        <v>893</v>
      </c>
      <c r="M158" s="68" t="str">
        <f t="shared" si="13"/>
        <v>***
&gt; [!4colonne]- [[Messaggi/2016/2016-07-25| ← Messaggio precedente]] | 25 agosto 2016 | [[Messaggi/2016/2016-09-25| Messaggio successivo → ]]</v>
      </c>
    </row>
    <row r="159" spans="1:13" x14ac:dyDescent="0.25">
      <c r="A159" s="68"/>
      <c r="B159" s="70">
        <v>42576</v>
      </c>
      <c r="C159" s="68" t="str">
        <f t="shared" si="11"/>
        <v>25</v>
      </c>
      <c r="D159" s="68" t="str">
        <f>IF(ISERROR(DAY(B159)),TEXT(MATCH(TRIM(SUBSTITUTE(SUBSTITUTE(SUBSTITUTE(SUBSTITUTE(SUBSTITUTE(SUBSTITUTE(SUBSTITUTE(SUBSTITUTE(SUBSTITUTE(SUBSTITUTE(SUBSTITUTE(B159,1,""),2,""),3,""),4,""),5,""),6,""),7,""),8,""),9,""),0,""),"-","")),{"gennaio","febbraio","marzo","aprile","maggio","giugno","luglio","agosto","settembre","ottobre","novembre","dicembre"},0),"00"),TEXT(MONTH(B159)*29,"mm"))</f>
        <v>07</v>
      </c>
      <c r="E159" s="68">
        <f t="shared" si="12"/>
        <v>2016</v>
      </c>
      <c r="G159" s="68" t="s">
        <v>918</v>
      </c>
      <c r="H159" s="68"/>
      <c r="I159" s="68" t="s">
        <v>919</v>
      </c>
      <c r="J159" s="68" t="s">
        <v>917</v>
      </c>
      <c r="K159" s="68"/>
      <c r="L159" s="68" t="s">
        <v>893</v>
      </c>
      <c r="M159" s="68" t="str">
        <f t="shared" si="13"/>
        <v>***
&gt; [!4colonne]- [[Messaggi/2016/2016-06-25| ← Messaggio precedente]] | 25 luglio 2016 | [[Messaggi/2016/2016-08-25| Messaggio successivo → ]]</v>
      </c>
    </row>
    <row r="160" spans="1:13" x14ac:dyDescent="0.25">
      <c r="A160" s="68"/>
      <c r="B160" s="70">
        <v>42546</v>
      </c>
      <c r="C160" s="68" t="str">
        <f t="shared" si="11"/>
        <v>25</v>
      </c>
      <c r="D160" s="68" t="str">
        <f>IF(ISERROR(DAY(B160)),TEXT(MATCH(TRIM(SUBSTITUTE(SUBSTITUTE(SUBSTITUTE(SUBSTITUTE(SUBSTITUTE(SUBSTITUTE(SUBSTITUTE(SUBSTITUTE(SUBSTITUTE(SUBSTITUTE(SUBSTITUTE(B160,1,""),2,""),3,""),4,""),5,""),6,""),7,""),8,""),9,""),0,""),"-","")),{"gennaio","febbraio","marzo","aprile","maggio","giugno","luglio","agosto","settembre","ottobre","novembre","dicembre"},0),"00"),TEXT(MONTH(B160)*29,"mm"))</f>
        <v>06</v>
      </c>
      <c r="E160" s="68">
        <f t="shared" si="12"/>
        <v>2016</v>
      </c>
      <c r="G160" s="68" t="s">
        <v>918</v>
      </c>
      <c r="H160" s="68"/>
      <c r="I160" s="68" t="s">
        <v>919</v>
      </c>
      <c r="J160" s="68" t="s">
        <v>917</v>
      </c>
      <c r="K160" s="68"/>
      <c r="L160" s="68" t="s">
        <v>893</v>
      </c>
      <c r="M160" s="68" t="str">
        <f t="shared" si="13"/>
        <v>***
&gt; [!4colonne]- [[Messaggi/2016/2016-06-25| ← Messaggio precedente]] | 25 giugno 2016 | [[Messaggi/2016/2016-07-25| Messaggio successivo → ]]</v>
      </c>
    </row>
    <row r="161" spans="1:13" x14ac:dyDescent="0.25">
      <c r="A161" s="68"/>
      <c r="B161" s="70">
        <v>42546</v>
      </c>
      <c r="C161" s="68" t="str">
        <f t="shared" si="11"/>
        <v>25</v>
      </c>
      <c r="D161" s="68" t="str">
        <f>IF(ISERROR(DAY(B161)),TEXT(MATCH(TRIM(SUBSTITUTE(SUBSTITUTE(SUBSTITUTE(SUBSTITUTE(SUBSTITUTE(SUBSTITUTE(SUBSTITUTE(SUBSTITUTE(SUBSTITUTE(SUBSTITUTE(SUBSTITUTE(B161,1,""),2,""),3,""),4,""),5,""),6,""),7,""),8,""),9,""),0,""),"-","")),{"gennaio","febbraio","marzo","aprile","maggio","giugno","luglio","agosto","settembre","ottobre","novembre","dicembre"},0),"00"),TEXT(MONTH(B161)*29,"mm"))</f>
        <v>06</v>
      </c>
      <c r="E161" s="68">
        <f t="shared" si="12"/>
        <v>2016</v>
      </c>
      <c r="G161" s="68" t="s">
        <v>918</v>
      </c>
      <c r="H161" s="68"/>
      <c r="I161" s="68" t="s">
        <v>919</v>
      </c>
      <c r="J161" s="68" t="s">
        <v>917</v>
      </c>
      <c r="K161" s="68"/>
      <c r="L161" s="68" t="s">
        <v>893</v>
      </c>
      <c r="M161" s="68" t="str">
        <f t="shared" si="13"/>
        <v>***
&gt; [!4colonne]- [[Messaggi/2016/2016-05-25| ← Messaggio precedente]] | 25 giugno 2016 | [[Messaggi/2016/2016-06-25| Messaggio successivo → ]]</v>
      </c>
    </row>
    <row r="162" spans="1:13" x14ac:dyDescent="0.25">
      <c r="A162" s="68"/>
      <c r="B162" s="70">
        <v>42515</v>
      </c>
      <c r="C162" s="68" t="str">
        <f t="shared" si="11"/>
        <v>25</v>
      </c>
      <c r="D162" s="68" t="str">
        <f>IF(ISERROR(DAY(B162)),TEXT(MATCH(TRIM(SUBSTITUTE(SUBSTITUTE(SUBSTITUTE(SUBSTITUTE(SUBSTITUTE(SUBSTITUTE(SUBSTITUTE(SUBSTITUTE(SUBSTITUTE(SUBSTITUTE(SUBSTITUTE(B162,1,""),2,""),3,""),4,""),5,""),6,""),7,""),8,""),9,""),0,""),"-","")),{"gennaio","febbraio","marzo","aprile","maggio","giugno","luglio","agosto","settembre","ottobre","novembre","dicembre"},0),"00"),TEXT(MONTH(B162)*29,"mm"))</f>
        <v>05</v>
      </c>
      <c r="E162" s="68">
        <f t="shared" si="12"/>
        <v>2016</v>
      </c>
      <c r="G162" s="68" t="s">
        <v>918</v>
      </c>
      <c r="H162" s="68"/>
      <c r="I162" s="68" t="s">
        <v>919</v>
      </c>
      <c r="J162" s="68" t="s">
        <v>917</v>
      </c>
      <c r="K162" s="68"/>
      <c r="L162" s="68" t="s">
        <v>893</v>
      </c>
      <c r="M162" s="68" t="str">
        <f t="shared" si="13"/>
        <v>***
&gt; [!4colonne]- [[Messaggi/2016/2016-04-25| ← Messaggio precedente]] | 25 maggio 2016 | [[Messaggi/2016/2016-06-25| Messaggio successivo → ]]</v>
      </c>
    </row>
    <row r="163" spans="1:13" x14ac:dyDescent="0.25">
      <c r="A163" s="68"/>
      <c r="B163" s="70">
        <v>42485</v>
      </c>
      <c r="C163" s="68" t="str">
        <f t="shared" si="11"/>
        <v>25</v>
      </c>
      <c r="D163" s="68" t="str">
        <f>IF(ISERROR(DAY(B163)),TEXT(MATCH(TRIM(SUBSTITUTE(SUBSTITUTE(SUBSTITUTE(SUBSTITUTE(SUBSTITUTE(SUBSTITUTE(SUBSTITUTE(SUBSTITUTE(SUBSTITUTE(SUBSTITUTE(SUBSTITUTE(B163,1,""),2,""),3,""),4,""),5,""),6,""),7,""),8,""),9,""),0,""),"-","")),{"gennaio","febbraio","marzo","aprile","maggio","giugno","luglio","agosto","settembre","ottobre","novembre","dicembre"},0),"00"),TEXT(MONTH(B163)*29,"mm"))</f>
        <v>04</v>
      </c>
      <c r="E163" s="68">
        <f t="shared" si="12"/>
        <v>2016</v>
      </c>
      <c r="G163" s="68" t="s">
        <v>918</v>
      </c>
      <c r="H163" s="68"/>
      <c r="I163" s="68" t="s">
        <v>919</v>
      </c>
      <c r="J163" s="68" t="s">
        <v>917</v>
      </c>
      <c r="K163" s="68"/>
      <c r="L163" s="68" t="s">
        <v>893</v>
      </c>
      <c r="M163" s="68" t="str">
        <f t="shared" si="13"/>
        <v>***
&gt; [!4colonne]- [[Messaggi/2016/2016-03-25| ← Messaggio precedente]] | 25 aprile 2016 | [[Messaggi/2016/2016-05-25| Messaggio successivo → ]]</v>
      </c>
    </row>
    <row r="164" spans="1:13" x14ac:dyDescent="0.25">
      <c r="A164" s="68"/>
      <c r="B164" s="70">
        <v>42454</v>
      </c>
      <c r="C164" s="68" t="str">
        <f t="shared" si="11"/>
        <v>25</v>
      </c>
      <c r="D164" s="68" t="str">
        <f>IF(ISERROR(DAY(B164)),TEXT(MATCH(TRIM(SUBSTITUTE(SUBSTITUTE(SUBSTITUTE(SUBSTITUTE(SUBSTITUTE(SUBSTITUTE(SUBSTITUTE(SUBSTITUTE(SUBSTITUTE(SUBSTITUTE(SUBSTITUTE(B164,1,""),2,""),3,""),4,""),5,""),6,""),7,""),8,""),9,""),0,""),"-","")),{"gennaio","febbraio","marzo","aprile","maggio","giugno","luglio","agosto","settembre","ottobre","novembre","dicembre"},0),"00"),TEXT(MONTH(B164)*29,"mm"))</f>
        <v>03</v>
      </c>
      <c r="E164" s="68">
        <f t="shared" si="12"/>
        <v>2016</v>
      </c>
      <c r="G164" s="68" t="s">
        <v>918</v>
      </c>
      <c r="H164" s="68"/>
      <c r="I164" s="68" t="s">
        <v>919</v>
      </c>
      <c r="J164" s="68" t="s">
        <v>917</v>
      </c>
      <c r="K164" s="68"/>
      <c r="L164" s="68" t="s">
        <v>893</v>
      </c>
      <c r="M164" s="68" t="str">
        <f t="shared" si="13"/>
        <v>***
&gt; [!4colonne]- [[Messaggi/2016/2016-03-18| ← Messaggio precedente]] | 25 marzo 2016 | [[Messaggi/2016/2016-04-25| Messaggio successivo → ]]</v>
      </c>
    </row>
    <row r="165" spans="1:13" x14ac:dyDescent="0.25">
      <c r="A165" s="68"/>
      <c r="B165" s="70">
        <v>42447</v>
      </c>
      <c r="C165" s="68" t="str">
        <f t="shared" si="11"/>
        <v>18</v>
      </c>
      <c r="D165" s="68" t="str">
        <f>IF(ISERROR(DAY(B165)),TEXT(MATCH(TRIM(SUBSTITUTE(SUBSTITUTE(SUBSTITUTE(SUBSTITUTE(SUBSTITUTE(SUBSTITUTE(SUBSTITUTE(SUBSTITUTE(SUBSTITUTE(SUBSTITUTE(SUBSTITUTE(B165,1,""),2,""),3,""),4,""),5,""),6,""),7,""),8,""),9,""),0,""),"-","")),{"gennaio","febbraio","marzo","aprile","maggio","giugno","luglio","agosto","settembre","ottobre","novembre","dicembre"},0),"00"),TEXT(MONTH(B165)*29,"mm"))</f>
        <v>03</v>
      </c>
      <c r="E165" s="68">
        <f t="shared" si="12"/>
        <v>2016</v>
      </c>
      <c r="G165" s="68" t="s">
        <v>918</v>
      </c>
      <c r="H165" s="68"/>
      <c r="I165" s="68" t="s">
        <v>919</v>
      </c>
      <c r="J165" s="68" t="s">
        <v>917</v>
      </c>
      <c r="K165" s="68"/>
      <c r="L165" s="68" t="s">
        <v>893</v>
      </c>
      <c r="M165" s="68" t="str">
        <f t="shared" si="13"/>
        <v>***
&gt; [!4colonne]- [[Messaggi/2016/2016-02-25| ← Messaggio precedente]] | 18 marzo 2016 | [[Messaggi/2016/2016-03-25| Messaggio successivo → ]]</v>
      </c>
    </row>
    <row r="166" spans="1:13" x14ac:dyDescent="0.25">
      <c r="B166" s="44">
        <v>42425</v>
      </c>
      <c r="C166" t="str">
        <f t="shared" si="11"/>
        <v>25</v>
      </c>
      <c r="D166" t="str">
        <f>IF(ISERROR(DAY(B166)),TEXT(MATCH(TRIM(SUBSTITUTE(SUBSTITUTE(SUBSTITUTE(SUBSTITUTE(SUBSTITUTE(SUBSTITUTE(SUBSTITUTE(SUBSTITUTE(SUBSTITUTE(SUBSTITUTE(SUBSTITUTE(B166,1,""),2,""),3,""),4,""),5,""),6,""),7,""),8,""),9,""),0,""),"-","")),{"gennaio","febbraio","marzo","aprile","maggio","giugno","luglio","agosto","settembre","ottobre","novembre","dicembre"},0),"00"),TEXT(MONTH(B166)*29,"mm"))</f>
        <v>02</v>
      </c>
      <c r="E166">
        <f t="shared" si="12"/>
        <v>2016</v>
      </c>
      <c r="G166" t="s">
        <v>918</v>
      </c>
      <c r="I166" t="s">
        <v>919</v>
      </c>
      <c r="J166" t="s">
        <v>917</v>
      </c>
      <c r="L166" t="s">
        <v>893</v>
      </c>
      <c r="M166" s="68" t="str">
        <f t="shared" si="13"/>
        <v>***
&gt; [!4colonne]- [[Messaggi/2016/2016-01-25| ← Messaggio precedente]] | 25 febbraio 2016 | [[Messaggi/2016/2016-03-18| Messaggio successivo → ]]</v>
      </c>
    </row>
    <row r="167" spans="1:13" x14ac:dyDescent="0.25">
      <c r="B167" s="44">
        <v>42394</v>
      </c>
      <c r="C167" t="str">
        <f t="shared" ref="C167" si="14">TEXT(DAY(B167),"gg")</f>
        <v>25</v>
      </c>
      <c r="D167" t="str">
        <f>IF(ISERROR(DAY(B167)),TEXT(MATCH(TRIM(SUBSTITUTE(SUBSTITUTE(SUBSTITUTE(SUBSTITUTE(SUBSTITUTE(SUBSTITUTE(SUBSTITUTE(SUBSTITUTE(SUBSTITUTE(SUBSTITUTE(SUBSTITUTE(B167,1,""),2,""),3,""),4,""),5,""),6,""),7,""),8,""),9,""),0,""),"-","")),{"gennaio","febbraio","marzo","aprile","maggio","giugno","luglio","agosto","settembre","ottobre","novembre","dicembre"},0),"00"),TEXT(MONTH(B167)*29,"mm"))</f>
        <v>01</v>
      </c>
      <c r="E167">
        <f t="shared" ref="E167" si="15">YEAR(B167)</f>
        <v>2016</v>
      </c>
      <c r="G167" t="s">
        <v>918</v>
      </c>
      <c r="H167" t="s">
        <v>912</v>
      </c>
      <c r="I167" t="s">
        <v>919</v>
      </c>
      <c r="J167" t="s">
        <v>917</v>
      </c>
      <c r="K167" t="s">
        <v>912</v>
      </c>
      <c r="L167" t="s">
        <v>893</v>
      </c>
      <c r="M167" s="4" t="str">
        <f t="shared" si="13"/>
        <v>***
&gt; [!4colonne]- [[Messaggi/2016/2016-01-02 - Messaggio al mondo-Mirijana| ← Messaggio precedente]] | 25 gennaio 2016 | [[Messaggi/2016/2016-02-25 - Messaggio al mondo-Mirijana| Messaggio successivo → ]]</v>
      </c>
    </row>
    <row r="168" spans="1:13" s="37" customFormat="1" x14ac:dyDescent="0.25">
      <c r="B168" s="65">
        <v>42371</v>
      </c>
      <c r="C168" s="37" t="str">
        <f t="shared" si="11"/>
        <v>02</v>
      </c>
      <c r="D168" s="37" t="str">
        <f>IF(ISERROR(DAY(B168)),TEXT(MATCH(TRIM(SUBSTITUTE(SUBSTITUTE(SUBSTITUTE(SUBSTITUTE(SUBSTITUTE(SUBSTITUTE(SUBSTITUTE(SUBSTITUTE(SUBSTITUTE(SUBSTITUTE(SUBSTITUTE(B168,1,""),2,""),3,""),4,""),5,""),6,""),7,""),8,""),9,""),0,""),"-","")),{"gennaio","febbraio","marzo","aprile","maggio","giugno","luglio","agosto","settembre","ottobre","novembre","dicembre"},0),"00"),TEXT(MONTH(B168)*29,"mm"))</f>
        <v>01</v>
      </c>
      <c r="E168" s="37">
        <f t="shared" si="12"/>
        <v>2016</v>
      </c>
      <c r="F168" s="66"/>
      <c r="G168" s="37" t="s">
        <v>918</v>
      </c>
      <c r="H168" s="37" t="s">
        <v>916</v>
      </c>
      <c r="I168" s="37" t="s">
        <v>919</v>
      </c>
      <c r="J168" s="37" t="s">
        <v>917</v>
      </c>
      <c r="K168" s="37" t="s">
        <v>911</v>
      </c>
      <c r="L168" s="37" t="s">
        <v>893</v>
      </c>
      <c r="M168" s="37" t="str">
        <f t="shared" si="13"/>
        <v>***
&gt; [!4colonne]- [[Messaggi/2015/2015-12-25 - Messaggio annuale a Jakov| ← Messaggio precedente]] | 02 gennaio 2016 | [[Messaggi/2016/2016-01-25 - Messaggio alla Parrocchia-Marija| Messaggio successivo → ]]</v>
      </c>
    </row>
    <row r="169" spans="1:13" x14ac:dyDescent="0.25">
      <c r="A169" t="s">
        <v>920</v>
      </c>
      <c r="B169" s="44">
        <v>42363</v>
      </c>
      <c r="C169" t="str">
        <f t="shared" ref="C169:C197" si="16">TEXT(DAY(B169),"gg")</f>
        <v>25</v>
      </c>
      <c r="D169" t="str">
        <f>IF(ISERROR(DAY(B169)),TEXT(MATCH(TRIM(SUBSTITUTE(SUBSTITUTE(SUBSTITUTE(SUBSTITUTE(SUBSTITUTE(SUBSTITUTE(SUBSTITUTE(SUBSTITUTE(SUBSTITUTE(SUBSTITUTE(SUBSTITUTE(B169,1,""),2,""),3,""),4,""),5,""),6,""),7,""),8,""),9,""),0,""),"-","")),{"gennaio","febbraio","marzo","aprile","maggio","giugno","luglio","agosto","settembre","ottobre","novembre","dicembre"},0),"00"),TEXT(MONTH(B169)*29,"mm"))</f>
        <v>12</v>
      </c>
      <c r="E169">
        <f t="shared" ref="E169:E197" si="17">YEAR(B169)</f>
        <v>2015</v>
      </c>
      <c r="G169" t="s">
        <v>918</v>
      </c>
      <c r="H169" t="s">
        <v>911</v>
      </c>
      <c r="I169" t="s">
        <v>919</v>
      </c>
      <c r="J169" t="s">
        <v>917</v>
      </c>
      <c r="K169" t="s">
        <v>912</v>
      </c>
      <c r="L169" t="s">
        <v>893</v>
      </c>
      <c r="M169" s="4" t="str">
        <f t="shared" si="13"/>
        <v>***
&gt; [!4colonne]- [[Messaggi/2015/2015-12-25 - Messaggio alla Parrocchia-Marija| ← Messaggio precedente]] | 25 dicembre 2015 | [[Messaggi/2016/2016-01-02 - Messaggio al mondo-Mirijana| Messaggio successivo → ]]</v>
      </c>
    </row>
    <row r="170" spans="1:13" x14ac:dyDescent="0.25">
      <c r="A170" t="s">
        <v>922</v>
      </c>
      <c r="B170" s="44">
        <v>42363</v>
      </c>
      <c r="C170" t="str">
        <f t="shared" si="16"/>
        <v>25</v>
      </c>
      <c r="D170" t="str">
        <f>IF(ISERROR(DAY(B170)),TEXT(MATCH(TRIM(SUBSTITUTE(SUBSTITUTE(SUBSTITUTE(SUBSTITUTE(SUBSTITUTE(SUBSTITUTE(SUBSTITUTE(SUBSTITUTE(SUBSTITUTE(SUBSTITUTE(SUBSTITUTE(B170,1,""),2,""),3,""),4,""),5,""),6,""),7,""),8,""),9,""),0,""),"-","")),{"gennaio","febbraio","marzo","aprile","maggio","giugno","luglio","agosto","settembre","ottobre","novembre","dicembre"},0),"00"),TEXT(MONTH(B170)*29,"mm"))</f>
        <v>12</v>
      </c>
      <c r="E170">
        <f t="shared" si="17"/>
        <v>2015</v>
      </c>
      <c r="G170" t="s">
        <v>918</v>
      </c>
      <c r="H170" t="s">
        <v>912</v>
      </c>
      <c r="I170" t="s">
        <v>919</v>
      </c>
      <c r="J170" t="s">
        <v>917</v>
      </c>
      <c r="K170" t="s">
        <v>916</v>
      </c>
      <c r="L170" t="s">
        <v>893</v>
      </c>
      <c r="M170" s="4" t="str">
        <f t="shared" si="13"/>
        <v>***
&gt; [!4colonne]- [[Messaggi/2015/2015-12-02 - Messaggio al mondo-Mirijana| ← Messaggio precedente]] | 25 dicembre 2015 | [[Messaggi/2015/2015-12-25 - Messaggio annuale a Jakov| Messaggio successivo → ]]</v>
      </c>
    </row>
    <row r="171" spans="1:13" x14ac:dyDescent="0.25">
      <c r="A171" t="s">
        <v>921</v>
      </c>
      <c r="B171" s="44">
        <v>42340</v>
      </c>
      <c r="C171" t="str">
        <f t="shared" si="16"/>
        <v>02</v>
      </c>
      <c r="D171" t="str">
        <f>IF(ISERROR(DAY(B171)),TEXT(MATCH(TRIM(SUBSTITUTE(SUBSTITUTE(SUBSTITUTE(SUBSTITUTE(SUBSTITUTE(SUBSTITUTE(SUBSTITUTE(SUBSTITUTE(SUBSTITUTE(SUBSTITUTE(SUBSTITUTE(B171,1,""),2,""),3,""),4,""),5,""),6,""),7,""),8,""),9,""),0,""),"-","")),{"gennaio","febbraio","marzo","aprile","maggio","giugno","luglio","agosto","settembre","ottobre","novembre","dicembre"},0),"00"),TEXT(MONTH(B171)*29,"mm"))</f>
        <v>12</v>
      </c>
      <c r="E171">
        <f t="shared" si="17"/>
        <v>2015</v>
      </c>
      <c r="G171" t="s">
        <v>918</v>
      </c>
      <c r="H171" t="s">
        <v>911</v>
      </c>
      <c r="I171" t="s">
        <v>919</v>
      </c>
      <c r="J171" t="s">
        <v>917</v>
      </c>
      <c r="K171" t="s">
        <v>911</v>
      </c>
      <c r="L171" t="s">
        <v>893</v>
      </c>
      <c r="M171" s="4" t="str">
        <f t="shared" si="13"/>
        <v>***
&gt; [!4colonne]- [[Messaggi/2015/2015-11-25 - Messaggio alla Parrocchia-Marija| ← Messaggio precedente]] | 02 dicembre 2015 | [[Messaggi/2015/2015-12-25 - Messaggio alla Parrocchia-Marija| Messaggio successivo → ]]</v>
      </c>
    </row>
    <row r="172" spans="1:13" x14ac:dyDescent="0.25">
      <c r="A172" t="s">
        <v>922</v>
      </c>
      <c r="B172" s="44">
        <v>42333</v>
      </c>
      <c r="C172" t="str">
        <f t="shared" si="16"/>
        <v>25</v>
      </c>
      <c r="D172" t="str">
        <f>IF(ISERROR(DAY(B172)),TEXT(MATCH(TRIM(SUBSTITUTE(SUBSTITUTE(SUBSTITUTE(SUBSTITUTE(SUBSTITUTE(SUBSTITUTE(SUBSTITUTE(SUBSTITUTE(SUBSTITUTE(SUBSTITUTE(SUBSTITUTE(B172,1,""),2,""),3,""),4,""),5,""),6,""),7,""),8,""),9,""),0,""),"-","")),{"gennaio","febbraio","marzo","aprile","maggio","giugno","luglio","agosto","settembre","ottobre","novembre","dicembre"},0),"00"),TEXT(MONTH(B172)*29,"mm"))</f>
        <v>11</v>
      </c>
      <c r="E172">
        <f t="shared" si="17"/>
        <v>2015</v>
      </c>
      <c r="G172" t="s">
        <v>918</v>
      </c>
      <c r="H172" t="s">
        <v>912</v>
      </c>
      <c r="I172" t="s">
        <v>919</v>
      </c>
      <c r="J172" t="s">
        <v>917</v>
      </c>
      <c r="K172" t="s">
        <v>912</v>
      </c>
      <c r="L172" t="s">
        <v>893</v>
      </c>
      <c r="M172" s="4" t="str">
        <f t="shared" si="13"/>
        <v>***
&gt; [!4colonne]- [[Messaggi/2015/2015-11-02 - Messaggio al mondo-Mirijana| ← Messaggio precedente]] | 25 novembre 2015 | [[Messaggi/2015/2015-12-02 - Messaggio al mondo-Mirijana| Messaggio successivo → ]]</v>
      </c>
    </row>
    <row r="173" spans="1:13" x14ac:dyDescent="0.25">
      <c r="A173" t="s">
        <v>921</v>
      </c>
      <c r="B173" s="44">
        <v>42310</v>
      </c>
      <c r="C173" t="str">
        <f t="shared" si="16"/>
        <v>02</v>
      </c>
      <c r="D173" t="str">
        <f>IF(ISERROR(DAY(B173)),TEXT(MATCH(TRIM(SUBSTITUTE(SUBSTITUTE(SUBSTITUTE(SUBSTITUTE(SUBSTITUTE(SUBSTITUTE(SUBSTITUTE(SUBSTITUTE(SUBSTITUTE(SUBSTITUTE(SUBSTITUTE(B173,1,""),2,""),3,""),4,""),5,""),6,""),7,""),8,""),9,""),0,""),"-","")),{"gennaio","febbraio","marzo","aprile","maggio","giugno","luglio","agosto","settembre","ottobre","novembre","dicembre"},0),"00"),TEXT(MONTH(B173)*29,"mm"))</f>
        <v>11</v>
      </c>
      <c r="E173">
        <f t="shared" si="17"/>
        <v>2015</v>
      </c>
      <c r="G173" t="s">
        <v>918</v>
      </c>
      <c r="H173" t="s">
        <v>911</v>
      </c>
      <c r="I173" t="s">
        <v>919</v>
      </c>
      <c r="J173" t="s">
        <v>917</v>
      </c>
      <c r="K173" t="s">
        <v>911</v>
      </c>
      <c r="L173" t="s">
        <v>893</v>
      </c>
      <c r="M173" s="4" t="str">
        <f t="shared" si="13"/>
        <v>***
&gt; [!4colonne]- [[Messaggi/2015/2015-10-25 - Messaggio alla Parrocchia-Marija| ← Messaggio precedente]] | 02 novembre 2015 | [[Messaggi/2015/2015-11-25 - Messaggio alla Parrocchia-Marija| Messaggio successivo → ]]</v>
      </c>
    </row>
    <row r="174" spans="1:13" x14ac:dyDescent="0.25">
      <c r="A174" t="s">
        <v>922</v>
      </c>
      <c r="B174" s="44">
        <v>42302</v>
      </c>
      <c r="C174" t="str">
        <f t="shared" si="16"/>
        <v>25</v>
      </c>
      <c r="D174" t="str">
        <f>IF(ISERROR(DAY(B174)),TEXT(MATCH(TRIM(SUBSTITUTE(SUBSTITUTE(SUBSTITUTE(SUBSTITUTE(SUBSTITUTE(SUBSTITUTE(SUBSTITUTE(SUBSTITUTE(SUBSTITUTE(SUBSTITUTE(SUBSTITUTE(B174,1,""),2,""),3,""),4,""),5,""),6,""),7,""),8,""),9,""),0,""),"-","")),{"gennaio","febbraio","marzo","aprile","maggio","giugno","luglio","agosto","settembre","ottobre","novembre","dicembre"},0),"00"),TEXT(MONTH(B174)*29,"mm"))</f>
        <v>10</v>
      </c>
      <c r="E174">
        <f t="shared" si="17"/>
        <v>2015</v>
      </c>
      <c r="G174" t="s">
        <v>918</v>
      </c>
      <c r="H174" t="s">
        <v>912</v>
      </c>
      <c r="I174" t="s">
        <v>919</v>
      </c>
      <c r="J174" t="s">
        <v>917</v>
      </c>
      <c r="K174" t="s">
        <v>912</v>
      </c>
      <c r="L174" t="s">
        <v>893</v>
      </c>
      <c r="M174" s="4" t="str">
        <f t="shared" si="13"/>
        <v>***
&gt; [!4colonne]- [[Messaggi/2015/2015-10-02 - Messaggio al mondo-Mirijana| ← Messaggio precedente]] | 25 ottobre 2015 | [[Messaggi/2015/2015-11-02 - Messaggio al mondo-Mirijana| Messaggio successivo → ]]</v>
      </c>
    </row>
    <row r="175" spans="1:13" x14ac:dyDescent="0.25">
      <c r="A175" t="s">
        <v>921</v>
      </c>
      <c r="B175" s="44">
        <v>42279</v>
      </c>
      <c r="C175" t="str">
        <f t="shared" si="16"/>
        <v>02</v>
      </c>
      <c r="D175" t="str">
        <f>IF(ISERROR(DAY(B175)),TEXT(MATCH(TRIM(SUBSTITUTE(SUBSTITUTE(SUBSTITUTE(SUBSTITUTE(SUBSTITUTE(SUBSTITUTE(SUBSTITUTE(SUBSTITUTE(SUBSTITUTE(SUBSTITUTE(SUBSTITUTE(B175,1,""),2,""),3,""),4,""),5,""),6,""),7,""),8,""),9,""),0,""),"-","")),{"gennaio","febbraio","marzo","aprile","maggio","giugno","luglio","agosto","settembre","ottobre","novembre","dicembre"},0),"00"),TEXT(MONTH(B175)*29,"mm"))</f>
        <v>10</v>
      </c>
      <c r="E175">
        <f t="shared" si="17"/>
        <v>2015</v>
      </c>
      <c r="G175" t="s">
        <v>918</v>
      </c>
      <c r="H175" t="s">
        <v>911</v>
      </c>
      <c r="I175" t="s">
        <v>919</v>
      </c>
      <c r="J175" t="s">
        <v>917</v>
      </c>
      <c r="K175" t="s">
        <v>911</v>
      </c>
      <c r="L175" t="s">
        <v>893</v>
      </c>
      <c r="M175" s="4" t="str">
        <f t="shared" si="13"/>
        <v>***
&gt; [!4colonne]- [[Messaggi/2015/2015-09-25 - Messaggio alla Parrocchia-Marija| ← Messaggio precedente]] | 02 ottobre 2015 | [[Messaggi/2015/2015-10-25 - Messaggio alla Parrocchia-Marija| Messaggio successivo → ]]</v>
      </c>
    </row>
    <row r="176" spans="1:13" x14ac:dyDescent="0.25">
      <c r="A176" t="s">
        <v>922</v>
      </c>
      <c r="B176" s="44">
        <v>42272</v>
      </c>
      <c r="C176" t="str">
        <f t="shared" si="16"/>
        <v>25</v>
      </c>
      <c r="D176" t="str">
        <f>IF(ISERROR(DAY(B176)),TEXT(MATCH(TRIM(SUBSTITUTE(SUBSTITUTE(SUBSTITUTE(SUBSTITUTE(SUBSTITUTE(SUBSTITUTE(SUBSTITUTE(SUBSTITUTE(SUBSTITUTE(SUBSTITUTE(SUBSTITUTE(B176,1,""),2,""),3,""),4,""),5,""),6,""),7,""),8,""),9,""),0,""),"-","")),{"gennaio","febbraio","marzo","aprile","maggio","giugno","luglio","agosto","settembre","ottobre","novembre","dicembre"},0),"00"),TEXT(MONTH(B176)*29,"mm"))</f>
        <v>09</v>
      </c>
      <c r="E176">
        <f t="shared" si="17"/>
        <v>2015</v>
      </c>
      <c r="G176" t="s">
        <v>918</v>
      </c>
      <c r="H176" t="s">
        <v>912</v>
      </c>
      <c r="I176" t="s">
        <v>919</v>
      </c>
      <c r="J176" t="s">
        <v>917</v>
      </c>
      <c r="K176" t="s">
        <v>912</v>
      </c>
      <c r="L176" t="s">
        <v>893</v>
      </c>
      <c r="M176" s="4" t="str">
        <f t="shared" si="13"/>
        <v>***
&gt; [!4colonne]- [[Messaggi/2015/2015-09-02 - Messaggio al mondo-Mirijana| ← Messaggio precedente]] | 25 settembre 2015 | [[Messaggi/2015/2015-10-02 - Messaggio al mondo-Mirijana| Messaggio successivo → ]]</v>
      </c>
    </row>
    <row r="177" spans="1:13" x14ac:dyDescent="0.25">
      <c r="A177" t="s">
        <v>921</v>
      </c>
      <c r="B177" s="44">
        <v>42249</v>
      </c>
      <c r="C177" t="str">
        <f t="shared" si="16"/>
        <v>02</v>
      </c>
      <c r="D177" t="str">
        <f>IF(ISERROR(DAY(B177)),TEXT(MATCH(TRIM(SUBSTITUTE(SUBSTITUTE(SUBSTITUTE(SUBSTITUTE(SUBSTITUTE(SUBSTITUTE(SUBSTITUTE(SUBSTITUTE(SUBSTITUTE(SUBSTITUTE(SUBSTITUTE(B177,1,""),2,""),3,""),4,""),5,""),6,""),7,""),8,""),9,""),0,""),"-","")),{"gennaio","febbraio","marzo","aprile","maggio","giugno","luglio","agosto","settembre","ottobre","novembre","dicembre"},0),"00"),TEXT(MONTH(B177)*29,"mm"))</f>
        <v>09</v>
      </c>
      <c r="E177">
        <f t="shared" si="17"/>
        <v>2015</v>
      </c>
      <c r="G177" t="s">
        <v>918</v>
      </c>
      <c r="H177" t="s">
        <v>911</v>
      </c>
      <c r="I177" t="s">
        <v>919</v>
      </c>
      <c r="J177" t="s">
        <v>917</v>
      </c>
      <c r="K177" t="s">
        <v>911</v>
      </c>
      <c r="L177" t="s">
        <v>893</v>
      </c>
      <c r="M177" s="4" t="str">
        <f t="shared" si="13"/>
        <v>***
&gt; [!4colonne]- [[Messaggi/2015/2015-08-25 - Messaggio alla Parrocchia-Marija| ← Messaggio precedente]] | 02 settembre 2015 | [[Messaggi/2015/2015-09-25 - Messaggio alla Parrocchia-Marija| Messaggio successivo → ]]</v>
      </c>
    </row>
    <row r="178" spans="1:13" x14ac:dyDescent="0.25">
      <c r="A178" t="s">
        <v>922</v>
      </c>
      <c r="B178" s="44">
        <v>42241</v>
      </c>
      <c r="C178" t="str">
        <f t="shared" si="16"/>
        <v>25</v>
      </c>
      <c r="D178" t="str">
        <f>IF(ISERROR(DAY(B178)),TEXT(MATCH(TRIM(SUBSTITUTE(SUBSTITUTE(SUBSTITUTE(SUBSTITUTE(SUBSTITUTE(SUBSTITUTE(SUBSTITUTE(SUBSTITUTE(SUBSTITUTE(SUBSTITUTE(SUBSTITUTE(B178,1,""),2,""),3,""),4,""),5,""),6,""),7,""),8,""),9,""),0,""),"-","")),{"gennaio","febbraio","marzo","aprile","maggio","giugno","luglio","agosto","settembre","ottobre","novembre","dicembre"},0),"00"),TEXT(MONTH(B178)*29,"mm"))</f>
        <v>08</v>
      </c>
      <c r="E178">
        <f t="shared" si="17"/>
        <v>2015</v>
      </c>
      <c r="G178" t="s">
        <v>918</v>
      </c>
      <c r="H178" t="s">
        <v>912</v>
      </c>
      <c r="I178" t="s">
        <v>919</v>
      </c>
      <c r="J178" t="s">
        <v>917</v>
      </c>
      <c r="K178" t="s">
        <v>912</v>
      </c>
      <c r="L178" t="s">
        <v>893</v>
      </c>
      <c r="M178" s="4" t="str">
        <f t="shared" si="13"/>
        <v>***
&gt; [!4colonne]- [[Messaggi/2015/2015-08-02 - Messaggio al mondo-Mirijana| ← Messaggio precedente]] | 25 agosto 2015 | [[Messaggi/2015/2015-09-02 - Messaggio al mondo-Mirijana| Messaggio successivo → ]]</v>
      </c>
    </row>
    <row r="179" spans="1:13" x14ac:dyDescent="0.25">
      <c r="A179" t="s">
        <v>921</v>
      </c>
      <c r="B179" s="44">
        <v>42218</v>
      </c>
      <c r="C179" t="str">
        <f t="shared" si="16"/>
        <v>02</v>
      </c>
      <c r="D179" t="str">
        <f>IF(ISERROR(DAY(B179)),TEXT(MATCH(TRIM(SUBSTITUTE(SUBSTITUTE(SUBSTITUTE(SUBSTITUTE(SUBSTITUTE(SUBSTITUTE(SUBSTITUTE(SUBSTITUTE(SUBSTITUTE(SUBSTITUTE(SUBSTITUTE(B179,1,""),2,""),3,""),4,""),5,""),6,""),7,""),8,""),9,""),0,""),"-","")),{"gennaio","febbraio","marzo","aprile","maggio","giugno","luglio","agosto","settembre","ottobre","novembre","dicembre"},0),"00"),TEXT(MONTH(B179)*29,"mm"))</f>
        <v>08</v>
      </c>
      <c r="E179">
        <f t="shared" si="17"/>
        <v>2015</v>
      </c>
      <c r="G179" t="s">
        <v>918</v>
      </c>
      <c r="H179" t="s">
        <v>911</v>
      </c>
      <c r="I179" t="s">
        <v>919</v>
      </c>
      <c r="J179" t="s">
        <v>917</v>
      </c>
      <c r="K179" t="s">
        <v>911</v>
      </c>
      <c r="L179" t="s">
        <v>893</v>
      </c>
      <c r="M179" s="4" t="str">
        <f t="shared" si="13"/>
        <v>***
&gt; [!4colonne]- [[Messaggi/2015/2015-07-25 - Messaggio alla Parrocchia-Marija| ← Messaggio precedente]] | 02 agosto 2015 | [[Messaggi/2015/2015-08-25 - Messaggio alla Parrocchia-Marija| Messaggio successivo → ]]</v>
      </c>
    </row>
    <row r="180" spans="1:13" x14ac:dyDescent="0.25">
      <c r="A180" t="s">
        <v>922</v>
      </c>
      <c r="B180" s="44">
        <v>42210</v>
      </c>
      <c r="C180" t="str">
        <f t="shared" si="16"/>
        <v>25</v>
      </c>
      <c r="D180" t="str">
        <f>IF(ISERROR(DAY(B180)),TEXT(MATCH(TRIM(SUBSTITUTE(SUBSTITUTE(SUBSTITUTE(SUBSTITUTE(SUBSTITUTE(SUBSTITUTE(SUBSTITUTE(SUBSTITUTE(SUBSTITUTE(SUBSTITUTE(SUBSTITUTE(B180,1,""),2,""),3,""),4,""),5,""),6,""),7,""),8,""),9,""),0,""),"-","")),{"gennaio","febbraio","marzo","aprile","maggio","giugno","luglio","agosto","settembre","ottobre","novembre","dicembre"},0),"00"),TEXT(MONTH(B180)*29,"mm"))</f>
        <v>07</v>
      </c>
      <c r="E180">
        <f t="shared" si="17"/>
        <v>2015</v>
      </c>
      <c r="G180" t="s">
        <v>918</v>
      </c>
      <c r="H180" t="s">
        <v>912</v>
      </c>
      <c r="I180" t="s">
        <v>919</v>
      </c>
      <c r="J180" t="s">
        <v>917</v>
      </c>
      <c r="K180" t="s">
        <v>912</v>
      </c>
      <c r="L180" t="s">
        <v>893</v>
      </c>
      <c r="M180" s="4" t="str">
        <f t="shared" si="13"/>
        <v>***
&gt; [!4colonne]- [[Messaggi/2015/2015-07-02 - Messaggio al mondo-Mirijana| ← Messaggio precedente]] | 25 luglio 2015 | [[Messaggi/2015/2015-08-02 - Messaggio al mondo-Mirijana| Messaggio successivo → ]]</v>
      </c>
    </row>
    <row r="181" spans="1:13" x14ac:dyDescent="0.25">
      <c r="A181" t="s">
        <v>921</v>
      </c>
      <c r="B181" s="44">
        <v>42187</v>
      </c>
      <c r="C181" t="str">
        <f t="shared" si="16"/>
        <v>02</v>
      </c>
      <c r="D181" t="str">
        <f>IF(ISERROR(DAY(B181)),TEXT(MATCH(TRIM(SUBSTITUTE(SUBSTITUTE(SUBSTITUTE(SUBSTITUTE(SUBSTITUTE(SUBSTITUTE(SUBSTITUTE(SUBSTITUTE(SUBSTITUTE(SUBSTITUTE(SUBSTITUTE(B181,1,""),2,""),3,""),4,""),5,""),6,""),7,""),8,""),9,""),0,""),"-","")),{"gennaio","febbraio","marzo","aprile","maggio","giugno","luglio","agosto","settembre","ottobre","novembre","dicembre"},0),"00"),TEXT(MONTH(B181)*29,"mm"))</f>
        <v>07</v>
      </c>
      <c r="E181">
        <f t="shared" si="17"/>
        <v>2015</v>
      </c>
      <c r="G181" t="s">
        <v>918</v>
      </c>
      <c r="H181" t="s">
        <v>914</v>
      </c>
      <c r="I181" t="s">
        <v>919</v>
      </c>
      <c r="J181" t="s">
        <v>917</v>
      </c>
      <c r="K181" t="s">
        <v>911</v>
      </c>
      <c r="L181" t="s">
        <v>893</v>
      </c>
      <c r="M181" s="4" t="str">
        <f t="shared" si="13"/>
        <v>***
&gt; [!4colonne]- [[Messaggi/2015/2015-06-25 - Messaggio annuale a Ivanka| ← Messaggio precedente]] | 02 luglio 2015 | [[Messaggi/2015/2015-07-25 - Messaggio alla Parrocchia-Marija| Messaggio successivo → ]]</v>
      </c>
    </row>
    <row r="182" spans="1:13" x14ac:dyDescent="0.25">
      <c r="A182" t="s">
        <v>924</v>
      </c>
      <c r="B182" s="44">
        <v>42180</v>
      </c>
      <c r="C182" t="str">
        <f t="shared" si="16"/>
        <v>25</v>
      </c>
      <c r="D182" t="str">
        <f>IF(ISERROR(DAY(B182)),TEXT(MATCH(TRIM(SUBSTITUTE(SUBSTITUTE(SUBSTITUTE(SUBSTITUTE(SUBSTITUTE(SUBSTITUTE(SUBSTITUTE(SUBSTITUTE(SUBSTITUTE(SUBSTITUTE(SUBSTITUTE(B182,1,""),2,""),3,""),4,""),5,""),6,""),7,""),8,""),9,""),0,""),"-","")),{"gennaio","febbraio","marzo","aprile","maggio","giugno","luglio","agosto","settembre","ottobre","novembre","dicembre"},0),"00"),TEXT(MONTH(B182)*29,"mm"))</f>
        <v>06</v>
      </c>
      <c r="E182">
        <f t="shared" si="17"/>
        <v>2015</v>
      </c>
      <c r="G182" t="s">
        <v>918</v>
      </c>
      <c r="H182" t="s">
        <v>911</v>
      </c>
      <c r="I182" t="s">
        <v>919</v>
      </c>
      <c r="J182" t="s">
        <v>917</v>
      </c>
      <c r="K182" t="s">
        <v>912</v>
      </c>
      <c r="L182" t="s">
        <v>893</v>
      </c>
      <c r="M182" s="4" t="str">
        <f t="shared" si="13"/>
        <v>***
&gt; [!4colonne]- [[Messaggi/2015/2015-06-25 - Messaggio alla Parrocchia-Marija| ← Messaggio precedente]] | 25 giugno 2015 | [[Messaggi/2015/2015-07-02 - Messaggio al mondo-Mirijana| Messaggio successivo → ]]</v>
      </c>
    </row>
    <row r="183" spans="1:13" x14ac:dyDescent="0.25">
      <c r="A183" t="s">
        <v>922</v>
      </c>
      <c r="B183" s="44">
        <v>42180</v>
      </c>
      <c r="C183" t="str">
        <f t="shared" si="16"/>
        <v>25</v>
      </c>
      <c r="D183" t="str">
        <f>IF(ISERROR(DAY(B183)),TEXT(MATCH(TRIM(SUBSTITUTE(SUBSTITUTE(SUBSTITUTE(SUBSTITUTE(SUBSTITUTE(SUBSTITUTE(SUBSTITUTE(SUBSTITUTE(SUBSTITUTE(SUBSTITUTE(SUBSTITUTE(B183,1,""),2,""),3,""),4,""),5,""),6,""),7,""),8,""),9,""),0,""),"-","")),{"gennaio","febbraio","marzo","aprile","maggio","giugno","luglio","agosto","settembre","ottobre","novembre","dicembre"},0),"00"),TEXT(MONTH(B183)*29,"mm"))</f>
        <v>06</v>
      </c>
      <c r="E183">
        <f t="shared" si="17"/>
        <v>2015</v>
      </c>
      <c r="G183" t="s">
        <v>918</v>
      </c>
      <c r="H183" t="s">
        <v>912</v>
      </c>
      <c r="I183" t="s">
        <v>919</v>
      </c>
      <c r="J183" t="s">
        <v>917</v>
      </c>
      <c r="K183" t="s">
        <v>914</v>
      </c>
      <c r="L183" t="s">
        <v>893</v>
      </c>
      <c r="M183" s="4" t="str">
        <f t="shared" si="13"/>
        <v>***
&gt; [!4colonne]- [[Messaggi/2015/2015-06-02 - Messaggio al mondo-Mirijana| ← Messaggio precedente]] | 25 giugno 2015 | [[Messaggi/2015/2015-06-25 - Messaggio annuale a Ivanka| Messaggio successivo → ]]</v>
      </c>
    </row>
    <row r="184" spans="1:13" x14ac:dyDescent="0.25">
      <c r="A184" t="s">
        <v>921</v>
      </c>
      <c r="B184" s="44">
        <v>42157</v>
      </c>
      <c r="C184" t="str">
        <f t="shared" si="16"/>
        <v>02</v>
      </c>
      <c r="D184" t="str">
        <f>IF(ISERROR(DAY(B184)),TEXT(MATCH(TRIM(SUBSTITUTE(SUBSTITUTE(SUBSTITUTE(SUBSTITUTE(SUBSTITUTE(SUBSTITUTE(SUBSTITUTE(SUBSTITUTE(SUBSTITUTE(SUBSTITUTE(SUBSTITUTE(B184,1,""),2,""),3,""),4,""),5,""),6,""),7,""),8,""),9,""),0,""),"-","")),{"gennaio","febbraio","marzo","aprile","maggio","giugno","luglio","agosto","settembre","ottobre","novembre","dicembre"},0),"00"),TEXT(MONTH(B184)*29,"mm"))</f>
        <v>06</v>
      </c>
      <c r="E184">
        <f t="shared" si="17"/>
        <v>2015</v>
      </c>
      <c r="G184" t="s">
        <v>918</v>
      </c>
      <c r="H184" t="s">
        <v>915</v>
      </c>
      <c r="I184" t="s">
        <v>919</v>
      </c>
      <c r="J184" t="s">
        <v>917</v>
      </c>
      <c r="K184" t="s">
        <v>911</v>
      </c>
      <c r="L184" t="s">
        <v>893</v>
      </c>
      <c r="M184" s="4" t="str">
        <f t="shared" si="13"/>
        <v>***
&gt; [!4colonne]- [[Messaggi/2015/2015-05-29 - Messaggio al gruppo di preghiera-Ivan| ← Messaggio precedente]] | 02 giugno 2015 | [[Messaggi/2015/2015-06-25 - Messaggio alla Parrocchia-Marija| Messaggio successivo → ]]</v>
      </c>
    </row>
    <row r="185" spans="1:13" x14ac:dyDescent="0.25">
      <c r="A185" t="s">
        <v>923</v>
      </c>
      <c r="B185" s="44">
        <v>42153</v>
      </c>
      <c r="C185" t="str">
        <f t="shared" si="16"/>
        <v>29</v>
      </c>
      <c r="D185" t="str">
        <f>IF(ISERROR(DAY(B185)),TEXT(MATCH(TRIM(SUBSTITUTE(SUBSTITUTE(SUBSTITUTE(SUBSTITUTE(SUBSTITUTE(SUBSTITUTE(SUBSTITUTE(SUBSTITUTE(SUBSTITUTE(SUBSTITUTE(SUBSTITUTE(B185,1,""),2,""),3,""),4,""),5,""),6,""),7,""),8,""),9,""),0,""),"-","")),{"gennaio","febbraio","marzo","aprile","maggio","giugno","luglio","agosto","settembre","ottobre","novembre","dicembre"},0),"00"),TEXT(MONTH(B185)*29,"mm"))</f>
        <v>05</v>
      </c>
      <c r="E185">
        <f t="shared" si="17"/>
        <v>2015</v>
      </c>
      <c r="G185" t="s">
        <v>918</v>
      </c>
      <c r="H185" t="s">
        <v>911</v>
      </c>
      <c r="I185" t="s">
        <v>919</v>
      </c>
      <c r="J185" t="s">
        <v>917</v>
      </c>
      <c r="K185" t="s">
        <v>912</v>
      </c>
      <c r="L185" t="s">
        <v>893</v>
      </c>
      <c r="M185" s="4" t="str">
        <f t="shared" si="13"/>
        <v>***
&gt; [!4colonne]- [[Messaggi/2015/2015-05-25 - Messaggio alla Parrocchia-Marija| ← Messaggio precedente]] | 29 maggio 2015 | [[Messaggi/2015/2015-06-02 - Messaggio al mondo-Mirijana| Messaggio successivo → ]]</v>
      </c>
    </row>
    <row r="186" spans="1:13" x14ac:dyDescent="0.25">
      <c r="A186" t="s">
        <v>922</v>
      </c>
      <c r="B186" s="44">
        <v>42149</v>
      </c>
      <c r="C186" t="str">
        <f t="shared" si="16"/>
        <v>25</v>
      </c>
      <c r="D186" t="str">
        <f>IF(ISERROR(DAY(B186)),TEXT(MATCH(TRIM(SUBSTITUTE(SUBSTITUTE(SUBSTITUTE(SUBSTITUTE(SUBSTITUTE(SUBSTITUTE(SUBSTITUTE(SUBSTITUTE(SUBSTITUTE(SUBSTITUTE(SUBSTITUTE(B186,1,""),2,""),3,""),4,""),5,""),6,""),7,""),8,""),9,""),0,""),"-","")),{"gennaio","febbraio","marzo","aprile","maggio","giugno","luglio","agosto","settembre","ottobre","novembre","dicembre"},0),"00"),TEXT(MONTH(B186)*29,"mm"))</f>
        <v>05</v>
      </c>
      <c r="E186">
        <f t="shared" si="17"/>
        <v>2015</v>
      </c>
      <c r="G186" t="s">
        <v>918</v>
      </c>
      <c r="H186" t="s">
        <v>912</v>
      </c>
      <c r="I186" t="s">
        <v>919</v>
      </c>
      <c r="J186" t="s">
        <v>917</v>
      </c>
      <c r="K186" t="s">
        <v>915</v>
      </c>
      <c r="L186" t="s">
        <v>893</v>
      </c>
      <c r="M186" s="4" t="str">
        <f t="shared" si="13"/>
        <v>***
&gt; [!4colonne]- [[Messaggi/2015/2015-05-02 - Messaggio al mondo-Mirijana| ← Messaggio precedente]] | 25 maggio 2015 | [[Messaggi/2015/2015-05-29 - Messaggio al gruppo di preghiera-Ivan| Messaggio successivo → ]]</v>
      </c>
    </row>
    <row r="187" spans="1:13" x14ac:dyDescent="0.25">
      <c r="A187" t="s">
        <v>921</v>
      </c>
      <c r="B187" s="44">
        <v>42126</v>
      </c>
      <c r="C187" t="str">
        <f t="shared" si="16"/>
        <v>02</v>
      </c>
      <c r="D187" t="str">
        <f>IF(ISERROR(DAY(B187)),TEXT(MATCH(TRIM(SUBSTITUTE(SUBSTITUTE(SUBSTITUTE(SUBSTITUTE(SUBSTITUTE(SUBSTITUTE(SUBSTITUTE(SUBSTITUTE(SUBSTITUTE(SUBSTITUTE(SUBSTITUTE(B187,1,""),2,""),3,""),4,""),5,""),6,""),7,""),8,""),9,""),0,""),"-","")),{"gennaio","febbraio","marzo","aprile","maggio","giugno","luglio","agosto","settembre","ottobre","novembre","dicembre"},0),"00"),TEXT(MONTH(B187)*29,"mm"))</f>
        <v>05</v>
      </c>
      <c r="E187">
        <f t="shared" si="17"/>
        <v>2015</v>
      </c>
      <c r="G187" t="s">
        <v>918</v>
      </c>
      <c r="H187" t="s">
        <v>911</v>
      </c>
      <c r="I187" t="s">
        <v>919</v>
      </c>
      <c r="J187" t="s">
        <v>917</v>
      </c>
      <c r="K187" t="s">
        <v>911</v>
      </c>
      <c r="L187" t="s">
        <v>893</v>
      </c>
      <c r="M187" s="4" t="str">
        <f t="shared" si="13"/>
        <v>***
&gt; [!4colonne]- [[Messaggi/2015/2015-04-25 - Messaggio alla Parrocchia-Marija| ← Messaggio precedente]] | 02 maggio 2015 | [[Messaggi/2015/2015-05-25 - Messaggio alla Parrocchia-Marija| Messaggio successivo → ]]</v>
      </c>
    </row>
    <row r="188" spans="1:13" x14ac:dyDescent="0.25">
      <c r="A188" t="s">
        <v>922</v>
      </c>
      <c r="B188" s="44">
        <v>42119</v>
      </c>
      <c r="C188" t="str">
        <f t="shared" si="16"/>
        <v>25</v>
      </c>
      <c r="D188" t="str">
        <f>IF(ISERROR(DAY(B188)),TEXT(MATCH(TRIM(SUBSTITUTE(SUBSTITUTE(SUBSTITUTE(SUBSTITUTE(SUBSTITUTE(SUBSTITUTE(SUBSTITUTE(SUBSTITUTE(SUBSTITUTE(SUBSTITUTE(SUBSTITUTE(B188,1,""),2,""),3,""),4,""),5,""),6,""),7,""),8,""),9,""),0,""),"-","")),{"gennaio","febbraio","marzo","aprile","maggio","giugno","luglio","agosto","settembre","ottobre","novembre","dicembre"},0),"00"),TEXT(MONTH(B188)*29,"mm"))</f>
        <v>04</v>
      </c>
      <c r="E188">
        <f t="shared" si="17"/>
        <v>2015</v>
      </c>
      <c r="G188" t="s">
        <v>918</v>
      </c>
      <c r="H188" t="s">
        <v>912</v>
      </c>
      <c r="I188" t="s">
        <v>919</v>
      </c>
      <c r="J188" t="s">
        <v>917</v>
      </c>
      <c r="K188" t="s">
        <v>912</v>
      </c>
      <c r="L188" t="s">
        <v>893</v>
      </c>
      <c r="M188" s="4" t="str">
        <f t="shared" si="13"/>
        <v>***
&gt; [!4colonne]- [[Messaggi/2015/2015-04-02 - Messaggio al mondo-Mirijana| ← Messaggio precedente]] | 25 aprile 2015 | [[Messaggi/2015/2015-05-02 - Messaggio al mondo-Mirijana| Messaggio successivo → ]]</v>
      </c>
    </row>
    <row r="189" spans="1:13" x14ac:dyDescent="0.25">
      <c r="A189" t="s">
        <v>921</v>
      </c>
      <c r="B189" s="44">
        <v>42096</v>
      </c>
      <c r="C189" t="str">
        <f t="shared" si="16"/>
        <v>02</v>
      </c>
      <c r="D189" t="str">
        <f>IF(ISERROR(DAY(B189)),TEXT(MATCH(TRIM(SUBSTITUTE(SUBSTITUTE(SUBSTITUTE(SUBSTITUTE(SUBSTITUTE(SUBSTITUTE(SUBSTITUTE(SUBSTITUTE(SUBSTITUTE(SUBSTITUTE(SUBSTITUTE(B189,1,""),2,""),3,""),4,""),5,""),6,""),7,""),8,""),9,""),0,""),"-","")),{"gennaio","febbraio","marzo","aprile","maggio","giugno","luglio","agosto","settembre","ottobre","novembre","dicembre"},0),"00"),TEXT(MONTH(B189)*29,"mm"))</f>
        <v>04</v>
      </c>
      <c r="E189">
        <f t="shared" si="17"/>
        <v>2015</v>
      </c>
      <c r="G189" t="s">
        <v>918</v>
      </c>
      <c r="H189" t="s">
        <v>911</v>
      </c>
      <c r="I189" t="s">
        <v>919</v>
      </c>
      <c r="J189" t="s">
        <v>917</v>
      </c>
      <c r="K189" t="s">
        <v>911</v>
      </c>
      <c r="L189" t="s">
        <v>893</v>
      </c>
      <c r="M189" s="4" t="str">
        <f t="shared" si="13"/>
        <v>***
&gt; [!4colonne]- [[Messaggi/2015/2015-03-25 - Messaggio alla Parrocchia-Marija| ← Messaggio precedente]] | 02 aprile 2015 | [[Messaggi/2015/2015-04-25 - Messaggio alla Parrocchia-Marija| Messaggio successivo → ]]</v>
      </c>
    </row>
    <row r="190" spans="1:13" x14ac:dyDescent="0.25">
      <c r="A190" t="s">
        <v>922</v>
      </c>
      <c r="B190" s="44">
        <v>42088</v>
      </c>
      <c r="C190" t="str">
        <f t="shared" si="16"/>
        <v>25</v>
      </c>
      <c r="D190" t="str">
        <f>IF(ISERROR(DAY(B190)),TEXT(MATCH(TRIM(SUBSTITUTE(SUBSTITUTE(SUBSTITUTE(SUBSTITUTE(SUBSTITUTE(SUBSTITUTE(SUBSTITUTE(SUBSTITUTE(SUBSTITUTE(SUBSTITUTE(SUBSTITUTE(B190,1,""),2,""),3,""),4,""),5,""),6,""),7,""),8,""),9,""),0,""),"-","")),{"gennaio","febbraio","marzo","aprile","maggio","giugno","luglio","agosto","settembre","ottobre","novembre","dicembre"},0),"00"),TEXT(MONTH(B190)*29,"mm"))</f>
        <v>03</v>
      </c>
      <c r="E190">
        <f t="shared" si="17"/>
        <v>2015</v>
      </c>
      <c r="G190" t="s">
        <v>918</v>
      </c>
      <c r="H190" t="s">
        <v>913</v>
      </c>
      <c r="I190" t="s">
        <v>919</v>
      </c>
      <c r="J190" t="s">
        <v>917</v>
      </c>
      <c r="K190" t="s">
        <v>912</v>
      </c>
      <c r="L190" t="s">
        <v>893</v>
      </c>
      <c r="M190" s="4" t="str">
        <f t="shared" si="13"/>
        <v>***
&gt; [!4colonne]- [[Messaggi/2015/2015-03-18 - Messaggio annuale a Mirijana| ← Messaggio precedente]] | 25 marzo 2015 | [[Messaggi/2015/2015-04-02 - Messaggio al mondo-Mirijana| Messaggio successivo → ]]</v>
      </c>
    </row>
    <row r="191" spans="1:13" x14ac:dyDescent="0.25">
      <c r="A191" t="s">
        <v>921</v>
      </c>
      <c r="B191" s="44">
        <v>42081</v>
      </c>
      <c r="C191" t="str">
        <f t="shared" si="16"/>
        <v>18</v>
      </c>
      <c r="D191" t="str">
        <f>IF(ISERROR(DAY(B191)),TEXT(MATCH(TRIM(SUBSTITUTE(SUBSTITUTE(SUBSTITUTE(SUBSTITUTE(SUBSTITUTE(SUBSTITUTE(SUBSTITUTE(SUBSTITUTE(SUBSTITUTE(SUBSTITUTE(SUBSTITUTE(B191,1,""),2,""),3,""),4,""),5,""),6,""),7,""),8,""),9,""),0,""),"-","")),{"gennaio","febbraio","marzo","aprile","maggio","giugno","luglio","agosto","settembre","ottobre","novembre","dicembre"},0),"00"),TEXT(MONTH(B191)*29,"mm"))</f>
        <v>03</v>
      </c>
      <c r="E191">
        <f t="shared" si="17"/>
        <v>2015</v>
      </c>
      <c r="G191" t="s">
        <v>918</v>
      </c>
      <c r="H191" t="s">
        <v>912</v>
      </c>
      <c r="I191" t="s">
        <v>919</v>
      </c>
      <c r="J191" t="s">
        <v>917</v>
      </c>
      <c r="K191" t="s">
        <v>911</v>
      </c>
      <c r="L191" t="s">
        <v>893</v>
      </c>
      <c r="M191" s="4" t="str">
        <f t="shared" si="13"/>
        <v>***
&gt; [!4colonne]- [[Messaggi/2015/2015-03-02 - Messaggio al mondo-Mirijana| ← Messaggio precedente]] | 18 marzo 2015 | [[Messaggi/2015/2015-03-25 - Messaggio alla Parrocchia-Marija| Messaggio successivo → ]]</v>
      </c>
    </row>
    <row r="192" spans="1:13" x14ac:dyDescent="0.25">
      <c r="A192" t="s">
        <v>921</v>
      </c>
      <c r="B192" s="44">
        <v>42065</v>
      </c>
      <c r="C192" t="str">
        <f t="shared" si="16"/>
        <v>02</v>
      </c>
      <c r="D192" t="str">
        <f>IF(ISERROR(DAY(B192)),TEXT(MATCH(TRIM(SUBSTITUTE(SUBSTITUTE(SUBSTITUTE(SUBSTITUTE(SUBSTITUTE(SUBSTITUTE(SUBSTITUTE(SUBSTITUTE(SUBSTITUTE(SUBSTITUTE(SUBSTITUTE(B192,1,""),2,""),3,""),4,""),5,""),6,""),7,""),8,""),9,""),0,""),"-","")),{"gennaio","febbraio","marzo","aprile","maggio","giugno","luglio","agosto","settembre","ottobre","novembre","dicembre"},0),"00"),TEXT(MONTH(B192)*29,"mm"))</f>
        <v>03</v>
      </c>
      <c r="E192">
        <f t="shared" si="17"/>
        <v>2015</v>
      </c>
      <c r="G192" t="s">
        <v>918</v>
      </c>
      <c r="H192" t="s">
        <v>911</v>
      </c>
      <c r="I192" t="s">
        <v>919</v>
      </c>
      <c r="J192" t="s">
        <v>917</v>
      </c>
      <c r="K192" t="s">
        <v>913</v>
      </c>
      <c r="L192" t="s">
        <v>893</v>
      </c>
      <c r="M192" s="4" t="str">
        <f t="shared" si="13"/>
        <v>***
&gt; [!4colonne]- [[Messaggi/2015/2015-02-25 - Messaggio alla Parrocchia-Marija| ← Messaggio precedente]] | 02 marzo 2015 | [[Messaggi/2015/2015-03-18 - Messaggio annuale a Mirijana| Messaggio successivo → ]]</v>
      </c>
    </row>
    <row r="193" spans="1:13" x14ac:dyDescent="0.25">
      <c r="A193" t="s">
        <v>922</v>
      </c>
      <c r="B193" s="44">
        <v>42060</v>
      </c>
      <c r="C193" t="str">
        <f t="shared" si="16"/>
        <v>25</v>
      </c>
      <c r="D193" t="str">
        <f>IF(ISERROR(DAY(B193)),TEXT(MATCH(TRIM(SUBSTITUTE(SUBSTITUTE(SUBSTITUTE(SUBSTITUTE(SUBSTITUTE(SUBSTITUTE(SUBSTITUTE(SUBSTITUTE(SUBSTITUTE(SUBSTITUTE(SUBSTITUTE(B193,1,""),2,""),3,""),4,""),5,""),6,""),7,""),8,""),9,""),0,""),"-","")),{"gennaio","febbraio","marzo","aprile","maggio","giugno","luglio","agosto","settembre","ottobre","novembre","dicembre"},0),"00"),TEXT(MONTH(B193)*29,"mm"))</f>
        <v>02</v>
      </c>
      <c r="E193">
        <f t="shared" si="17"/>
        <v>2015</v>
      </c>
      <c r="G193" t="s">
        <v>918</v>
      </c>
      <c r="H193" t="s">
        <v>915</v>
      </c>
      <c r="I193" t="s">
        <v>919</v>
      </c>
      <c r="J193" t="s">
        <v>917</v>
      </c>
      <c r="K193" t="s">
        <v>912</v>
      </c>
      <c r="L193" t="s">
        <v>893</v>
      </c>
      <c r="M193" s="4" t="str">
        <f t="shared" si="13"/>
        <v>***
&gt; [!4colonne]- [[Messaggi/2015/2015-02-20 - Messaggio al gruppo di preghiera-Ivan| ← Messaggio precedente]] | 25 febbraio 2015 | [[Messaggi/2015/2015-03-02 - Messaggio al mondo-Mirijana| Messaggio successivo → ]]</v>
      </c>
    </row>
    <row r="194" spans="1:13" x14ac:dyDescent="0.25">
      <c r="A194" t="s">
        <v>923</v>
      </c>
      <c r="B194" s="44">
        <v>42055</v>
      </c>
      <c r="C194" t="str">
        <f t="shared" ref="C194" si="18">TEXT(DAY(B194),"gg")</f>
        <v>20</v>
      </c>
      <c r="D194" t="str">
        <f>IF(ISERROR(DAY(B194)),TEXT(MATCH(TRIM(SUBSTITUTE(SUBSTITUTE(SUBSTITUTE(SUBSTITUTE(SUBSTITUTE(SUBSTITUTE(SUBSTITUTE(SUBSTITUTE(SUBSTITUTE(SUBSTITUTE(SUBSTITUTE(B194,1,""),2,""),3,""),4,""),5,""),6,""),7,""),8,""),9,""),0,""),"-","")),{"gennaio","febbraio","marzo","aprile","maggio","giugno","luglio","agosto","settembre","ottobre","novembre","dicembre"},0),"00"),TEXT(MONTH(B194)*29,"mm"))</f>
        <v>02</v>
      </c>
      <c r="E194">
        <f t="shared" ref="E194" si="19">YEAR(B194)</f>
        <v>2015</v>
      </c>
      <c r="G194" t="s">
        <v>918</v>
      </c>
      <c r="H194" t="s">
        <v>912</v>
      </c>
      <c r="I194" t="s">
        <v>919</v>
      </c>
      <c r="J194" t="s">
        <v>917</v>
      </c>
      <c r="K194" t="s">
        <v>911</v>
      </c>
      <c r="L194" t="s">
        <v>893</v>
      </c>
      <c r="M194" s="4" t="str">
        <f t="shared" si="13"/>
        <v>***
&gt; [!4colonne]- [[Messaggi/2015/2015-02-02 - Messaggio al mondo-Mirijana| ← Messaggio precedente]] | 20 febbraio 2015 | [[Messaggi/2015/2015-02-25 - Messaggio alla Parrocchia-Marija| Messaggio successivo → ]]</v>
      </c>
    </row>
    <row r="195" spans="1:13" x14ac:dyDescent="0.25">
      <c r="A195" t="s">
        <v>921</v>
      </c>
      <c r="B195" s="44">
        <v>42037</v>
      </c>
      <c r="C195" t="str">
        <f t="shared" si="16"/>
        <v>02</v>
      </c>
      <c r="D195" t="str">
        <f>IF(ISERROR(DAY(B195)),TEXT(MATCH(TRIM(SUBSTITUTE(SUBSTITUTE(SUBSTITUTE(SUBSTITUTE(SUBSTITUTE(SUBSTITUTE(SUBSTITUTE(SUBSTITUTE(SUBSTITUTE(SUBSTITUTE(SUBSTITUTE(B195,1,""),2,""),3,""),4,""),5,""),6,""),7,""),8,""),9,""),0,""),"-","")),{"gennaio","febbraio","marzo","aprile","maggio","giugno","luglio","agosto","settembre","ottobre","novembre","dicembre"},0),"00"),TEXT(MONTH(B195)*29,"mm"))</f>
        <v>02</v>
      </c>
      <c r="E195">
        <f t="shared" si="17"/>
        <v>2015</v>
      </c>
      <c r="G195" t="s">
        <v>918</v>
      </c>
      <c r="H195" t="s">
        <v>911</v>
      </c>
      <c r="I195" t="s">
        <v>919</v>
      </c>
      <c r="J195" t="s">
        <v>917</v>
      </c>
      <c r="K195" t="s">
        <v>915</v>
      </c>
      <c r="L195" t="s">
        <v>893</v>
      </c>
      <c r="M195" s="4" t="str">
        <f t="shared" si="13"/>
        <v>***
&gt; [!4colonne]- [[Messaggi/2015/2015-01-25 - Messaggio alla Parrocchia-Marija| ← Messaggio precedente]] | 02 febbraio 2015 | [[Messaggi/2015/2015-02-20 - Messaggio al gruppo di preghiera-Ivan| Messaggio successivo → ]]</v>
      </c>
    </row>
    <row r="196" spans="1:13" x14ac:dyDescent="0.25">
      <c r="A196" t="s">
        <v>922</v>
      </c>
      <c r="B196" s="44">
        <v>42029</v>
      </c>
      <c r="C196" t="str">
        <f t="shared" si="16"/>
        <v>25</v>
      </c>
      <c r="D196" t="str">
        <f>IF(ISERROR(DAY(B196)),TEXT(MATCH(TRIM(SUBSTITUTE(SUBSTITUTE(SUBSTITUTE(SUBSTITUTE(SUBSTITUTE(SUBSTITUTE(SUBSTITUTE(SUBSTITUTE(SUBSTITUTE(SUBSTITUTE(SUBSTITUTE(B196,1,""),2,""),3,""),4,""),5,""),6,""),7,""),8,""),9,""),0,""),"-","")),{"gennaio","febbraio","marzo","aprile","maggio","giugno","luglio","agosto","settembre","ottobre","novembre","dicembre"},0),"00"),TEXT(MONTH(B196)*29,"mm"))</f>
        <v>01</v>
      </c>
      <c r="E196">
        <f t="shared" si="17"/>
        <v>2015</v>
      </c>
      <c r="G196" t="s">
        <v>918</v>
      </c>
      <c r="H196" t="s">
        <v>912</v>
      </c>
      <c r="I196" t="s">
        <v>919</v>
      </c>
      <c r="J196" t="s">
        <v>917</v>
      </c>
      <c r="K196" t="s">
        <v>912</v>
      </c>
      <c r="L196" t="s">
        <v>893</v>
      </c>
      <c r="M196" s="4" t="str">
        <f t="shared" ref="M196:M230" si="20">_xlfn.CONCAT("***
&gt;",G196,E197,"/",E197,"-",D197,"-",C197,H196,I196," | ",TEXT(B196,"gg mmmm aaaa"),J196,E195,"/",E195,"-",D195,"-",C195,K196,L196)</f>
        <v>***
&gt; [!4colonne]- [[Messaggi/2015/2015-01-02 - Messaggio al mondo-Mirijana| ← Messaggio precedente]] | 25 gennaio 2015 | [[Messaggi/2015/2015-02-02 - Messaggio al mondo-Mirijana| Messaggio successivo → ]]</v>
      </c>
    </row>
    <row r="197" spans="1:13" s="37" customFormat="1" x14ac:dyDescent="0.25">
      <c r="A197" s="37" t="s">
        <v>921</v>
      </c>
      <c r="B197" s="65">
        <v>42006</v>
      </c>
      <c r="C197" s="37" t="str">
        <f t="shared" si="16"/>
        <v>02</v>
      </c>
      <c r="D197" s="37" t="str">
        <f>IF(ISERROR(DAY(B197)),TEXT(MATCH(TRIM(SUBSTITUTE(SUBSTITUTE(SUBSTITUTE(SUBSTITUTE(SUBSTITUTE(SUBSTITUTE(SUBSTITUTE(SUBSTITUTE(SUBSTITUTE(SUBSTITUTE(SUBSTITUTE(B197,1,""),2,""),3,""),4,""),5,""),6,""),7,""),8,""),9,""),0,""),"-","")),{"gennaio","febbraio","marzo","aprile","maggio","giugno","luglio","agosto","settembre","ottobre","novembre","dicembre"},0),"00"),TEXT(MONTH(B197)*29,"mm"))</f>
        <v>01</v>
      </c>
      <c r="E197" s="37">
        <f t="shared" si="17"/>
        <v>2015</v>
      </c>
      <c r="F197" s="66"/>
      <c r="G197" s="37" t="s">
        <v>918</v>
      </c>
      <c r="H197" s="37" t="s">
        <v>915</v>
      </c>
      <c r="I197" s="37" t="s">
        <v>919</v>
      </c>
      <c r="J197" s="37" t="s">
        <v>917</v>
      </c>
      <c r="K197" s="37" t="s">
        <v>911</v>
      </c>
      <c r="L197" s="37" t="s">
        <v>893</v>
      </c>
      <c r="M197" s="67" t="str">
        <f>_xlfn.CONCAT("***
&gt;",G197,E198,"/",E198,"-",D198,"-",C198,H197,I197," | ",TEXT(B197,"gg mmmm aaaa"),J197,E196,"/",E196,"-",D196,"-",C196,K197,L197)</f>
        <v>***
&gt; [!4colonne]- [[Messaggi/2014/2014-12-29 - Messaggio al gruppo di preghiera-Ivan| ← Messaggio precedente]] | 02 gennaio 2015 | [[Messaggi/2015/2015-01-25 - Messaggio alla Parrocchia-Marija| Messaggio successivo → ]]</v>
      </c>
    </row>
    <row r="198" spans="1:13" x14ac:dyDescent="0.25">
      <c r="A198" t="s">
        <v>923</v>
      </c>
      <c r="B198" s="44">
        <v>42002</v>
      </c>
      <c r="C198" t="str">
        <f t="shared" ref="C198:C230" si="21">TEXT(DAY(B198),"gg")</f>
        <v>29</v>
      </c>
      <c r="D198" t="str">
        <f>IF(ISERROR(DAY(B198)),TEXT(MATCH(TRIM(SUBSTITUTE(SUBSTITUTE(SUBSTITUTE(SUBSTITUTE(SUBSTITUTE(SUBSTITUTE(SUBSTITUTE(SUBSTITUTE(SUBSTITUTE(SUBSTITUTE(SUBSTITUTE(B198,1,""),2,""),3,""),4,""),5,""),6,""),7,""),8,""),9,""),0,""),"-","")),{"gennaio","febbraio","marzo","aprile","maggio","giugno","luglio","agosto","settembre","ottobre","novembre","dicembre"},0),"00"),TEXT(MONTH(B198)*29,"mm"))</f>
        <v>12</v>
      </c>
      <c r="E198">
        <f t="shared" ref="E198:E230" si="22">YEAR(B198)</f>
        <v>2014</v>
      </c>
      <c r="G198" t="s">
        <v>918</v>
      </c>
      <c r="H198" t="s">
        <v>916</v>
      </c>
      <c r="I198" t="s">
        <v>919</v>
      </c>
      <c r="J198" t="s">
        <v>917</v>
      </c>
      <c r="K198" t="s">
        <v>912</v>
      </c>
      <c r="L198" t="s">
        <v>893</v>
      </c>
      <c r="M198" t="str">
        <f t="shared" si="20"/>
        <v>***
&gt; [!4colonne]- [[Messaggi/2014/2014-12-25 - Messaggio annuale a Jakov| ← Messaggio precedente]] | 29 dicembre 2014 | [[Messaggi/2015/2015-01-02 - Messaggio al mondo-Mirijana| Messaggio successivo → ]]</v>
      </c>
    </row>
    <row r="199" spans="1:13" x14ac:dyDescent="0.25">
      <c r="A199" t="s">
        <v>920</v>
      </c>
      <c r="B199" s="44">
        <v>41998</v>
      </c>
      <c r="C199" t="str">
        <f t="shared" si="21"/>
        <v>25</v>
      </c>
      <c r="D199" t="str">
        <f>IF(ISERROR(DAY(B199)),TEXT(MATCH(TRIM(SUBSTITUTE(SUBSTITUTE(SUBSTITUTE(SUBSTITUTE(SUBSTITUTE(SUBSTITUTE(SUBSTITUTE(SUBSTITUTE(SUBSTITUTE(SUBSTITUTE(SUBSTITUTE(B199,1,""),2,""),3,""),4,""),5,""),6,""),7,""),8,""),9,""),0,""),"-","")),{"gennaio","febbraio","marzo","aprile","maggio","giugno","luglio","agosto","settembre","ottobre","novembre","dicembre"},0),"00"),TEXT(MONTH(B199)*29,"mm"))</f>
        <v>12</v>
      </c>
      <c r="E199">
        <f t="shared" si="22"/>
        <v>2014</v>
      </c>
      <c r="G199" t="s">
        <v>918</v>
      </c>
      <c r="H199" t="s">
        <v>911</v>
      </c>
      <c r="I199" t="s">
        <v>919</v>
      </c>
      <c r="J199" t="s">
        <v>917</v>
      </c>
      <c r="K199" t="s">
        <v>915</v>
      </c>
      <c r="L199" t="s">
        <v>893</v>
      </c>
      <c r="M199" t="str">
        <f t="shared" si="20"/>
        <v>***
&gt; [!4colonne]- [[Messaggi/2014/2014-12-25 - Messaggio alla Parrocchia-Marija| ← Messaggio precedente]] | 25 dicembre 2014 | [[Messaggi/2014/2014-12-29 - Messaggio al gruppo di preghiera-Ivan| Messaggio successivo → ]]</v>
      </c>
    </row>
    <row r="200" spans="1:13" x14ac:dyDescent="0.25">
      <c r="A200" t="s">
        <v>922</v>
      </c>
      <c r="B200" s="44">
        <v>41998</v>
      </c>
      <c r="C200" t="str">
        <f t="shared" si="21"/>
        <v>25</v>
      </c>
      <c r="D200" t="str">
        <f>IF(ISERROR(DAY(B200)),TEXT(MATCH(TRIM(SUBSTITUTE(SUBSTITUTE(SUBSTITUTE(SUBSTITUTE(SUBSTITUTE(SUBSTITUTE(SUBSTITUTE(SUBSTITUTE(SUBSTITUTE(SUBSTITUTE(SUBSTITUTE(B200,1,""),2,""),3,""),4,""),5,""),6,""),7,""),8,""),9,""),0,""),"-","")),{"gennaio","febbraio","marzo","aprile","maggio","giugno","luglio","agosto","settembre","ottobre","novembre","dicembre"},0),"00"),TEXT(MONTH(B200)*29,"mm"))</f>
        <v>12</v>
      </c>
      <c r="E200">
        <f t="shared" si="22"/>
        <v>2014</v>
      </c>
      <c r="G200" t="s">
        <v>918</v>
      </c>
      <c r="H200" t="s">
        <v>912</v>
      </c>
      <c r="I200" t="s">
        <v>919</v>
      </c>
      <c r="J200" t="s">
        <v>917</v>
      </c>
      <c r="K200" t="s">
        <v>916</v>
      </c>
      <c r="L200" t="s">
        <v>893</v>
      </c>
      <c r="M200" t="str">
        <f t="shared" si="20"/>
        <v>***
&gt; [!4colonne]- [[Messaggi/2014/2014-12-02 - Messaggio al mondo-Mirijana| ← Messaggio precedente]] | 25 dicembre 2014 | [[Messaggi/2014/2014-12-25 - Messaggio annuale a Jakov| Messaggio successivo → ]]</v>
      </c>
    </row>
    <row r="201" spans="1:13" x14ac:dyDescent="0.25">
      <c r="A201" t="s">
        <v>921</v>
      </c>
      <c r="B201" s="44">
        <v>41975</v>
      </c>
      <c r="C201" t="str">
        <f t="shared" si="21"/>
        <v>02</v>
      </c>
      <c r="D201" t="str">
        <f>IF(ISERROR(DAY(B201)),TEXT(MATCH(TRIM(SUBSTITUTE(SUBSTITUTE(SUBSTITUTE(SUBSTITUTE(SUBSTITUTE(SUBSTITUTE(SUBSTITUTE(SUBSTITUTE(SUBSTITUTE(SUBSTITUTE(SUBSTITUTE(B201,1,""),2,""),3,""),4,""),5,""),6,""),7,""),8,""),9,""),0,""),"-","")),{"gennaio","febbraio","marzo","aprile","maggio","giugno","luglio","agosto","settembre","ottobre","novembre","dicembre"},0),"00"),TEXT(MONTH(B201)*29,"mm"))</f>
        <v>12</v>
      </c>
      <c r="E201">
        <f t="shared" si="22"/>
        <v>2014</v>
      </c>
      <c r="G201" t="s">
        <v>918</v>
      </c>
      <c r="H201" t="s">
        <v>911</v>
      </c>
      <c r="I201" t="s">
        <v>919</v>
      </c>
      <c r="J201" t="s">
        <v>917</v>
      </c>
      <c r="K201" t="s">
        <v>911</v>
      </c>
      <c r="L201" t="s">
        <v>893</v>
      </c>
      <c r="M201" t="str">
        <f t="shared" si="20"/>
        <v>***
&gt; [!4colonne]- [[Messaggi/2014/2014-11-25 - Messaggio alla Parrocchia-Marija| ← Messaggio precedente]] | 02 dicembre 2014 | [[Messaggi/2014/2014-12-25 - Messaggio alla Parrocchia-Marija| Messaggio successivo → ]]</v>
      </c>
    </row>
    <row r="202" spans="1:13" x14ac:dyDescent="0.25">
      <c r="A202" t="s">
        <v>922</v>
      </c>
      <c r="B202" s="44">
        <v>41968</v>
      </c>
      <c r="C202" t="str">
        <f t="shared" si="21"/>
        <v>25</v>
      </c>
      <c r="D202" t="str">
        <f>IF(ISERROR(DAY(B202)),TEXT(MATCH(TRIM(SUBSTITUTE(SUBSTITUTE(SUBSTITUTE(SUBSTITUTE(SUBSTITUTE(SUBSTITUTE(SUBSTITUTE(SUBSTITUTE(SUBSTITUTE(SUBSTITUTE(SUBSTITUTE(B202,1,""),2,""),3,""),4,""),5,""),6,""),7,""),8,""),9,""),0,""),"-","")),{"gennaio","febbraio","marzo","aprile","maggio","giugno","luglio","agosto","settembre","ottobre","novembre","dicembre"},0),"00"),TEXT(MONTH(B202)*29,"mm"))</f>
        <v>11</v>
      </c>
      <c r="E202">
        <f t="shared" si="22"/>
        <v>2014</v>
      </c>
      <c r="G202" t="s">
        <v>918</v>
      </c>
      <c r="H202" t="s">
        <v>912</v>
      </c>
      <c r="I202" t="s">
        <v>919</v>
      </c>
      <c r="J202" t="s">
        <v>917</v>
      </c>
      <c r="K202" t="s">
        <v>912</v>
      </c>
      <c r="L202" t="s">
        <v>893</v>
      </c>
      <c r="M202" t="str">
        <f t="shared" si="20"/>
        <v>***
&gt; [!4colonne]- [[Messaggi/2014/2014-11-02 - Messaggio al mondo-Mirijana| ← Messaggio precedente]] | 25 novembre 2014 | [[Messaggi/2014/2014-12-02 - Messaggio al mondo-Mirijana| Messaggio successivo → ]]</v>
      </c>
    </row>
    <row r="203" spans="1:13" x14ac:dyDescent="0.25">
      <c r="A203" t="s">
        <v>921</v>
      </c>
      <c r="B203" s="44">
        <v>41945</v>
      </c>
      <c r="C203" t="str">
        <f t="shared" si="21"/>
        <v>02</v>
      </c>
      <c r="D203" t="str">
        <f>IF(ISERROR(DAY(B203)),TEXT(MATCH(TRIM(SUBSTITUTE(SUBSTITUTE(SUBSTITUTE(SUBSTITUTE(SUBSTITUTE(SUBSTITUTE(SUBSTITUTE(SUBSTITUTE(SUBSTITUTE(SUBSTITUTE(SUBSTITUTE(B203,1,""),2,""),3,""),4,""),5,""),6,""),7,""),8,""),9,""),0,""),"-","")),{"gennaio","febbraio","marzo","aprile","maggio","giugno","luglio","agosto","settembre","ottobre","novembre","dicembre"},0),"00"),TEXT(MONTH(B203)*29,"mm"))</f>
        <v>11</v>
      </c>
      <c r="E203">
        <f t="shared" si="22"/>
        <v>2014</v>
      </c>
      <c r="G203" t="s">
        <v>918</v>
      </c>
      <c r="H203" t="s">
        <v>911</v>
      </c>
      <c r="I203" t="s">
        <v>919</v>
      </c>
      <c r="J203" t="s">
        <v>917</v>
      </c>
      <c r="K203" t="s">
        <v>911</v>
      </c>
      <c r="L203" t="s">
        <v>893</v>
      </c>
      <c r="M203" t="str">
        <f t="shared" si="20"/>
        <v>***
&gt; [!4colonne]- [[Messaggi/2014/2014-10-25 - Messaggio alla Parrocchia-Marija| ← Messaggio precedente]] | 02 novembre 2014 | [[Messaggi/2014/2014-11-25 - Messaggio alla Parrocchia-Marija| Messaggio successivo → ]]</v>
      </c>
    </row>
    <row r="204" spans="1:13" x14ac:dyDescent="0.25">
      <c r="A204" t="s">
        <v>922</v>
      </c>
      <c r="B204" s="44">
        <v>41937</v>
      </c>
      <c r="C204" t="str">
        <f t="shared" si="21"/>
        <v>25</v>
      </c>
      <c r="D204" t="str">
        <f>IF(ISERROR(DAY(B204)),TEXT(MATCH(TRIM(SUBSTITUTE(SUBSTITUTE(SUBSTITUTE(SUBSTITUTE(SUBSTITUTE(SUBSTITUTE(SUBSTITUTE(SUBSTITUTE(SUBSTITUTE(SUBSTITUTE(SUBSTITUTE(B204,1,""),2,""),3,""),4,""),5,""),6,""),7,""),8,""),9,""),0,""),"-","")),{"gennaio","febbraio","marzo","aprile","maggio","giugno","luglio","agosto","settembre","ottobre","novembre","dicembre"},0),"00"),TEXT(MONTH(B204)*29,"mm"))</f>
        <v>10</v>
      </c>
      <c r="E204">
        <f t="shared" si="22"/>
        <v>2014</v>
      </c>
      <c r="G204" t="s">
        <v>918</v>
      </c>
      <c r="H204" t="s">
        <v>912</v>
      </c>
      <c r="I204" t="s">
        <v>919</v>
      </c>
      <c r="J204" t="s">
        <v>917</v>
      </c>
      <c r="K204" t="s">
        <v>912</v>
      </c>
      <c r="L204" t="s">
        <v>893</v>
      </c>
      <c r="M204" t="str">
        <f t="shared" si="20"/>
        <v>***
&gt; [!4colonne]- [[Messaggi/2014/2014-10-02 - Messaggio al mondo-Mirijana| ← Messaggio precedente]] | 25 ottobre 2014 | [[Messaggi/2014/2014-11-02 - Messaggio al mondo-Mirijana| Messaggio successivo → ]]</v>
      </c>
    </row>
    <row r="205" spans="1:13" x14ac:dyDescent="0.25">
      <c r="A205" t="s">
        <v>921</v>
      </c>
      <c r="B205" s="44">
        <v>41914</v>
      </c>
      <c r="C205" t="str">
        <f t="shared" si="21"/>
        <v>02</v>
      </c>
      <c r="D205" t="str">
        <f>IF(ISERROR(DAY(B205)),TEXT(MATCH(TRIM(SUBSTITUTE(SUBSTITUTE(SUBSTITUTE(SUBSTITUTE(SUBSTITUTE(SUBSTITUTE(SUBSTITUTE(SUBSTITUTE(SUBSTITUTE(SUBSTITUTE(SUBSTITUTE(B205,1,""),2,""),3,""),4,""),5,""),6,""),7,""),8,""),9,""),0,""),"-","")),{"gennaio","febbraio","marzo","aprile","maggio","giugno","luglio","agosto","settembre","ottobre","novembre","dicembre"},0),"00"),TEXT(MONTH(B205)*29,"mm"))</f>
        <v>10</v>
      </c>
      <c r="E205">
        <f t="shared" si="22"/>
        <v>2014</v>
      </c>
      <c r="G205" t="s">
        <v>918</v>
      </c>
      <c r="H205" t="s">
        <v>911</v>
      </c>
      <c r="I205" t="s">
        <v>919</v>
      </c>
      <c r="J205" t="s">
        <v>917</v>
      </c>
      <c r="K205" t="s">
        <v>911</v>
      </c>
      <c r="L205" t="s">
        <v>893</v>
      </c>
      <c r="M205" t="str">
        <f t="shared" si="20"/>
        <v>***
&gt; [!4colonne]- [[Messaggi/2014/2014-09-25 - Messaggio alla Parrocchia-Marija| ← Messaggio precedente]] | 02 ottobre 2014 | [[Messaggi/2014/2014-10-25 - Messaggio alla Parrocchia-Marija| Messaggio successivo → ]]</v>
      </c>
    </row>
    <row r="206" spans="1:13" x14ac:dyDescent="0.25">
      <c r="A206" t="s">
        <v>922</v>
      </c>
      <c r="B206" s="44">
        <v>41907</v>
      </c>
      <c r="C206" t="str">
        <f t="shared" si="21"/>
        <v>25</v>
      </c>
      <c r="D206" t="str">
        <f>IF(ISERROR(DAY(B206)),TEXT(MATCH(TRIM(SUBSTITUTE(SUBSTITUTE(SUBSTITUTE(SUBSTITUTE(SUBSTITUTE(SUBSTITUTE(SUBSTITUTE(SUBSTITUTE(SUBSTITUTE(SUBSTITUTE(SUBSTITUTE(B206,1,""),2,""),3,""),4,""),5,""),6,""),7,""),8,""),9,""),0,""),"-","")),{"gennaio","febbraio","marzo","aprile","maggio","giugno","luglio","agosto","settembre","ottobre","novembre","dicembre"},0),"00"),TEXT(MONTH(B206)*29,"mm"))</f>
        <v>09</v>
      </c>
      <c r="E206">
        <f t="shared" si="22"/>
        <v>2014</v>
      </c>
      <c r="G206" t="s">
        <v>918</v>
      </c>
      <c r="H206" t="s">
        <v>912</v>
      </c>
      <c r="I206" t="s">
        <v>919</v>
      </c>
      <c r="J206" t="s">
        <v>917</v>
      </c>
      <c r="K206" t="s">
        <v>912</v>
      </c>
      <c r="L206" t="s">
        <v>893</v>
      </c>
      <c r="M206" t="str">
        <f t="shared" si="20"/>
        <v>***
&gt; [!4colonne]- [[Messaggi/2014/2014-09-02 - Messaggio al mondo-Mirijana| ← Messaggio precedente]] | 25 settembre 2014 | [[Messaggi/2014/2014-10-02 - Messaggio al mondo-Mirijana| Messaggio successivo → ]]</v>
      </c>
    </row>
    <row r="207" spans="1:13" x14ac:dyDescent="0.25">
      <c r="A207" t="s">
        <v>921</v>
      </c>
      <c r="B207" s="44">
        <v>41884</v>
      </c>
      <c r="C207" t="str">
        <f t="shared" si="21"/>
        <v>02</v>
      </c>
      <c r="D207" t="str">
        <f>IF(ISERROR(DAY(B207)),TEXT(MATCH(TRIM(SUBSTITUTE(SUBSTITUTE(SUBSTITUTE(SUBSTITUTE(SUBSTITUTE(SUBSTITUTE(SUBSTITUTE(SUBSTITUTE(SUBSTITUTE(SUBSTITUTE(SUBSTITUTE(B207,1,""),2,""),3,""),4,""),5,""),6,""),7,""),8,""),9,""),0,""),"-","")),{"gennaio","febbraio","marzo","aprile","maggio","giugno","luglio","agosto","settembre","ottobre","novembre","dicembre"},0),"00"),TEXT(MONTH(B207)*29,"mm"))</f>
        <v>09</v>
      </c>
      <c r="E207">
        <f t="shared" si="22"/>
        <v>2014</v>
      </c>
      <c r="G207" t="s">
        <v>918</v>
      </c>
      <c r="H207" t="s">
        <v>911</v>
      </c>
      <c r="I207" t="s">
        <v>919</v>
      </c>
      <c r="J207" t="s">
        <v>917</v>
      </c>
      <c r="K207" t="s">
        <v>911</v>
      </c>
      <c r="L207" t="s">
        <v>893</v>
      </c>
      <c r="M207" t="str">
        <f t="shared" si="20"/>
        <v>***
&gt; [!4colonne]- [[Messaggi/2014/2014-08-25 - Messaggio alla Parrocchia-Marija| ← Messaggio precedente]] | 02 settembre 2014 | [[Messaggi/2014/2014-09-25 - Messaggio alla Parrocchia-Marija| Messaggio successivo → ]]</v>
      </c>
    </row>
    <row r="208" spans="1:13" x14ac:dyDescent="0.25">
      <c r="A208" t="s">
        <v>922</v>
      </c>
      <c r="B208" s="44">
        <v>41876</v>
      </c>
      <c r="C208" t="str">
        <f t="shared" si="21"/>
        <v>25</v>
      </c>
      <c r="D208" t="str">
        <f>IF(ISERROR(DAY(B208)),TEXT(MATCH(TRIM(SUBSTITUTE(SUBSTITUTE(SUBSTITUTE(SUBSTITUTE(SUBSTITUTE(SUBSTITUTE(SUBSTITUTE(SUBSTITUTE(SUBSTITUTE(SUBSTITUTE(SUBSTITUTE(B208,1,""),2,""),3,""),4,""),5,""),6,""),7,""),8,""),9,""),0,""),"-","")),{"gennaio","febbraio","marzo","aprile","maggio","giugno","luglio","agosto","settembre","ottobre","novembre","dicembre"},0),"00"),TEXT(MONTH(B208)*29,"mm"))</f>
        <v>08</v>
      </c>
      <c r="E208">
        <f t="shared" si="22"/>
        <v>2014</v>
      </c>
      <c r="G208" t="s">
        <v>918</v>
      </c>
      <c r="H208" t="s">
        <v>915</v>
      </c>
      <c r="I208" t="s">
        <v>919</v>
      </c>
      <c r="J208" t="s">
        <v>917</v>
      </c>
      <c r="K208" t="s">
        <v>912</v>
      </c>
      <c r="L208" t="s">
        <v>893</v>
      </c>
      <c r="M208" t="str">
        <f t="shared" si="20"/>
        <v>***
&gt; [!4colonne]- [[Messaggi/2014/2014-08-17 - Messaggio al gruppo di preghiera-Ivan| ← Messaggio precedente]] | 25 agosto 2014 | [[Messaggi/2014/2014-09-02 - Messaggio al mondo-Mirijana| Messaggio successivo → ]]</v>
      </c>
    </row>
    <row r="209" spans="1:13" x14ac:dyDescent="0.25">
      <c r="A209" t="s">
        <v>923</v>
      </c>
      <c r="B209" s="44">
        <v>41868</v>
      </c>
      <c r="C209" t="str">
        <f t="shared" si="21"/>
        <v>17</v>
      </c>
      <c r="D209" t="str">
        <f>IF(ISERROR(DAY(B209)),TEXT(MATCH(TRIM(SUBSTITUTE(SUBSTITUTE(SUBSTITUTE(SUBSTITUTE(SUBSTITUTE(SUBSTITUTE(SUBSTITUTE(SUBSTITUTE(SUBSTITUTE(SUBSTITUTE(SUBSTITUTE(B209,1,""),2,""),3,""),4,""),5,""),6,""),7,""),8,""),9,""),0,""),"-","")),{"gennaio","febbraio","marzo","aprile","maggio","giugno","luglio","agosto","settembre","ottobre","novembre","dicembre"},0),"00"),TEXT(MONTH(B209)*29,"mm"))</f>
        <v>08</v>
      </c>
      <c r="E209">
        <f t="shared" si="22"/>
        <v>2014</v>
      </c>
      <c r="G209" t="s">
        <v>918</v>
      </c>
      <c r="H209" t="s">
        <v>915</v>
      </c>
      <c r="I209" t="s">
        <v>919</v>
      </c>
      <c r="J209" t="s">
        <v>917</v>
      </c>
      <c r="K209" t="s">
        <v>911</v>
      </c>
      <c r="L209" t="s">
        <v>893</v>
      </c>
      <c r="M209" t="str">
        <f t="shared" si="20"/>
        <v>***
&gt; [!4colonne]- [[Messaggi/2014/2014-08-04 - Messaggio al gruppo di preghiera-Ivan| ← Messaggio precedente]] | 17 agosto 2014 | [[Messaggi/2014/2014-08-25 - Messaggio alla Parrocchia-Marija| Messaggio successivo → ]]</v>
      </c>
    </row>
    <row r="210" spans="1:13" x14ac:dyDescent="0.25">
      <c r="A210" t="s">
        <v>923</v>
      </c>
      <c r="B210" s="44">
        <v>41855</v>
      </c>
      <c r="C210" t="str">
        <f t="shared" si="21"/>
        <v>04</v>
      </c>
      <c r="D210" t="str">
        <f>IF(ISERROR(DAY(B210)),TEXT(MATCH(TRIM(SUBSTITUTE(SUBSTITUTE(SUBSTITUTE(SUBSTITUTE(SUBSTITUTE(SUBSTITUTE(SUBSTITUTE(SUBSTITUTE(SUBSTITUTE(SUBSTITUTE(SUBSTITUTE(B210,1,""),2,""),3,""),4,""),5,""),6,""),7,""),8,""),9,""),0,""),"-","")),{"gennaio","febbraio","marzo","aprile","maggio","giugno","luglio","agosto","settembre","ottobre","novembre","dicembre"},0),"00"),TEXT(MONTH(B210)*29,"mm"))</f>
        <v>08</v>
      </c>
      <c r="E210">
        <f t="shared" si="22"/>
        <v>2014</v>
      </c>
      <c r="G210" t="s">
        <v>918</v>
      </c>
      <c r="H210" t="s">
        <v>912</v>
      </c>
      <c r="I210" t="s">
        <v>919</v>
      </c>
      <c r="J210" t="s">
        <v>917</v>
      </c>
      <c r="K210" t="s">
        <v>915</v>
      </c>
      <c r="L210" t="s">
        <v>893</v>
      </c>
      <c r="M210" t="str">
        <f t="shared" si="20"/>
        <v>***
&gt; [!4colonne]- [[Messaggi/2014/2014-08-02 - Messaggio al mondo-Mirijana| ← Messaggio precedente]] | 04 agosto 2014 | [[Messaggi/2014/2014-08-17 - Messaggio al gruppo di preghiera-Ivan| Messaggio successivo → ]]</v>
      </c>
    </row>
    <row r="211" spans="1:13" x14ac:dyDescent="0.25">
      <c r="A211" t="s">
        <v>921</v>
      </c>
      <c r="B211" s="44">
        <v>41853</v>
      </c>
      <c r="C211" t="str">
        <f t="shared" si="21"/>
        <v>02</v>
      </c>
      <c r="D211" t="str">
        <f>IF(ISERROR(DAY(B211)),TEXT(MATCH(TRIM(SUBSTITUTE(SUBSTITUTE(SUBSTITUTE(SUBSTITUTE(SUBSTITUTE(SUBSTITUTE(SUBSTITUTE(SUBSTITUTE(SUBSTITUTE(SUBSTITUTE(SUBSTITUTE(B211,1,""),2,""),3,""),4,""),5,""),6,""),7,""),8,""),9,""),0,""),"-","")),{"gennaio","febbraio","marzo","aprile","maggio","giugno","luglio","agosto","settembre","ottobre","novembre","dicembre"},0),"00"),TEXT(MONTH(B211)*29,"mm"))</f>
        <v>08</v>
      </c>
      <c r="E211">
        <f t="shared" si="22"/>
        <v>2014</v>
      </c>
      <c r="G211" t="s">
        <v>918</v>
      </c>
      <c r="H211" t="s">
        <v>911</v>
      </c>
      <c r="I211" t="s">
        <v>919</v>
      </c>
      <c r="J211" t="s">
        <v>917</v>
      </c>
      <c r="K211" t="s">
        <v>915</v>
      </c>
      <c r="L211" t="s">
        <v>893</v>
      </c>
      <c r="M211" t="str">
        <f t="shared" si="20"/>
        <v>***
&gt; [!4colonne]- [[Messaggi/2014/2014-07-25 - Messaggio alla Parrocchia-Marija| ← Messaggio precedente]] | 02 agosto 2014 | [[Messaggi/2014/2014-08-04 - Messaggio al gruppo di preghiera-Ivan| Messaggio successivo → ]]</v>
      </c>
    </row>
    <row r="212" spans="1:13" x14ac:dyDescent="0.25">
      <c r="A212" t="s">
        <v>922</v>
      </c>
      <c r="B212" s="44">
        <v>41845</v>
      </c>
      <c r="C212" t="str">
        <f t="shared" si="21"/>
        <v>25</v>
      </c>
      <c r="D212" t="str">
        <f>IF(ISERROR(DAY(B212)),TEXT(MATCH(TRIM(SUBSTITUTE(SUBSTITUTE(SUBSTITUTE(SUBSTITUTE(SUBSTITUTE(SUBSTITUTE(SUBSTITUTE(SUBSTITUTE(SUBSTITUTE(SUBSTITUTE(SUBSTITUTE(B212,1,""),2,""),3,""),4,""),5,""),6,""),7,""),8,""),9,""),0,""),"-","")),{"gennaio","febbraio","marzo","aprile","maggio","giugno","luglio","agosto","settembre","ottobre","novembre","dicembre"},0),"00"),TEXT(MONTH(B212)*29,"mm"))</f>
        <v>07</v>
      </c>
      <c r="E212">
        <f t="shared" si="22"/>
        <v>2014</v>
      </c>
      <c r="G212" t="s">
        <v>918</v>
      </c>
      <c r="H212" t="s">
        <v>912</v>
      </c>
      <c r="I212" t="s">
        <v>919</v>
      </c>
      <c r="J212" t="s">
        <v>917</v>
      </c>
      <c r="K212" t="s">
        <v>912</v>
      </c>
      <c r="L212" t="s">
        <v>893</v>
      </c>
      <c r="M212" t="str">
        <f t="shared" si="20"/>
        <v>***
&gt; [!4colonne]- [[Messaggi/2014/2014-07-02 - Messaggio al mondo-Mirijana| ← Messaggio precedente]] | 25 luglio 2014 | [[Messaggi/2014/2014-08-02 - Messaggio al mondo-Mirijana| Messaggio successivo → ]]</v>
      </c>
    </row>
    <row r="213" spans="1:13" x14ac:dyDescent="0.25">
      <c r="A213" t="s">
        <v>921</v>
      </c>
      <c r="B213" s="44">
        <v>41822</v>
      </c>
      <c r="C213" t="str">
        <f t="shared" si="21"/>
        <v>02</v>
      </c>
      <c r="D213" t="str">
        <f>IF(ISERROR(DAY(B213)),TEXT(MATCH(TRIM(SUBSTITUTE(SUBSTITUTE(SUBSTITUTE(SUBSTITUTE(SUBSTITUTE(SUBSTITUTE(SUBSTITUTE(SUBSTITUTE(SUBSTITUTE(SUBSTITUTE(SUBSTITUTE(B213,1,""),2,""),3,""),4,""),5,""),6,""),7,""),8,""),9,""),0,""),"-","")),{"gennaio","febbraio","marzo","aprile","maggio","giugno","luglio","agosto","settembre","ottobre","novembre","dicembre"},0),"00"),TEXT(MONTH(B213)*29,"mm"))</f>
        <v>07</v>
      </c>
      <c r="E213">
        <f t="shared" si="22"/>
        <v>2014</v>
      </c>
      <c r="G213" t="s">
        <v>918</v>
      </c>
      <c r="H213" t="s">
        <v>914</v>
      </c>
      <c r="I213" t="s">
        <v>919</v>
      </c>
      <c r="J213" t="s">
        <v>917</v>
      </c>
      <c r="K213" t="s">
        <v>911</v>
      </c>
      <c r="L213" t="s">
        <v>893</v>
      </c>
      <c r="M213" t="str">
        <f t="shared" si="20"/>
        <v>***
&gt; [!4colonne]- [[Messaggi/2014/2014-06-25 - Messaggio annuale a Ivanka| ← Messaggio precedente]] | 02 luglio 2014 | [[Messaggi/2014/2014-07-25 - Messaggio alla Parrocchia-Marija| Messaggio successivo → ]]</v>
      </c>
    </row>
    <row r="214" spans="1:13" x14ac:dyDescent="0.25">
      <c r="A214" t="s">
        <v>924</v>
      </c>
      <c r="B214" s="44">
        <v>41815</v>
      </c>
      <c r="C214" t="str">
        <f t="shared" si="21"/>
        <v>25</v>
      </c>
      <c r="D214" t="str">
        <f>IF(ISERROR(DAY(B214)),TEXT(MATCH(TRIM(SUBSTITUTE(SUBSTITUTE(SUBSTITUTE(SUBSTITUTE(SUBSTITUTE(SUBSTITUTE(SUBSTITUTE(SUBSTITUTE(SUBSTITUTE(SUBSTITUTE(SUBSTITUTE(B214,1,""),2,""),3,""),4,""),5,""),6,""),7,""),8,""),9,""),0,""),"-","")),{"gennaio","febbraio","marzo","aprile","maggio","giugno","luglio","agosto","settembre","ottobre","novembre","dicembre"},0),"00"),TEXT(MONTH(B214)*29,"mm"))</f>
        <v>06</v>
      </c>
      <c r="E214">
        <f t="shared" si="22"/>
        <v>2014</v>
      </c>
      <c r="G214" t="s">
        <v>918</v>
      </c>
      <c r="H214" t="s">
        <v>911</v>
      </c>
      <c r="I214" t="s">
        <v>919</v>
      </c>
      <c r="J214" t="s">
        <v>917</v>
      </c>
      <c r="K214" t="s">
        <v>912</v>
      </c>
      <c r="L214" t="s">
        <v>893</v>
      </c>
      <c r="M214" t="str">
        <f t="shared" si="20"/>
        <v>***
&gt; [!4colonne]- [[Messaggi/2014/2014-06-25 - Messaggio alla Parrocchia-Marija| ← Messaggio precedente]] | 25 giugno 2014 | [[Messaggi/2014/2014-07-02 - Messaggio al mondo-Mirijana| Messaggio successivo → ]]</v>
      </c>
    </row>
    <row r="215" spans="1:13" x14ac:dyDescent="0.25">
      <c r="A215" t="s">
        <v>922</v>
      </c>
      <c r="B215" s="44">
        <v>41815</v>
      </c>
      <c r="C215" t="str">
        <f t="shared" si="21"/>
        <v>25</v>
      </c>
      <c r="D215" t="str">
        <f>IF(ISERROR(DAY(B215)),TEXT(MATCH(TRIM(SUBSTITUTE(SUBSTITUTE(SUBSTITUTE(SUBSTITUTE(SUBSTITUTE(SUBSTITUTE(SUBSTITUTE(SUBSTITUTE(SUBSTITUTE(SUBSTITUTE(SUBSTITUTE(B215,1,""),2,""),3,""),4,""),5,""),6,""),7,""),8,""),9,""),0,""),"-","")),{"gennaio","febbraio","marzo","aprile","maggio","giugno","luglio","agosto","settembre","ottobre","novembre","dicembre"},0),"00"),TEXT(MONTH(B215)*29,"mm"))</f>
        <v>06</v>
      </c>
      <c r="E215">
        <f t="shared" si="22"/>
        <v>2014</v>
      </c>
      <c r="G215" t="s">
        <v>918</v>
      </c>
      <c r="H215" t="s">
        <v>912</v>
      </c>
      <c r="I215" t="s">
        <v>919</v>
      </c>
      <c r="J215" t="s">
        <v>917</v>
      </c>
      <c r="K215" t="s">
        <v>914</v>
      </c>
      <c r="L215" t="s">
        <v>893</v>
      </c>
      <c r="M215" t="str">
        <f t="shared" si="20"/>
        <v>***
&gt; [!4colonne]- [[Messaggi/2014/2014-06-02 - Messaggio al mondo-Mirijana| ← Messaggio precedente]] | 25 giugno 2014 | [[Messaggi/2014/2014-06-25 - Messaggio annuale a Ivanka| Messaggio successivo → ]]</v>
      </c>
    </row>
    <row r="216" spans="1:13" x14ac:dyDescent="0.25">
      <c r="A216" t="s">
        <v>921</v>
      </c>
      <c r="B216" s="44">
        <v>41792</v>
      </c>
      <c r="C216" t="str">
        <f t="shared" si="21"/>
        <v>02</v>
      </c>
      <c r="D216" t="str">
        <f>IF(ISERROR(DAY(B216)),TEXT(MATCH(TRIM(SUBSTITUTE(SUBSTITUTE(SUBSTITUTE(SUBSTITUTE(SUBSTITUTE(SUBSTITUTE(SUBSTITUTE(SUBSTITUTE(SUBSTITUTE(SUBSTITUTE(SUBSTITUTE(B216,1,""),2,""),3,""),4,""),5,""),6,""),7,""),8,""),9,""),0,""),"-","")),{"gennaio","febbraio","marzo","aprile","maggio","giugno","luglio","agosto","settembre","ottobre","novembre","dicembre"},0),"00"),TEXT(MONTH(B216)*29,"mm"))</f>
        <v>06</v>
      </c>
      <c r="E216">
        <f t="shared" si="22"/>
        <v>2014</v>
      </c>
      <c r="G216" t="s">
        <v>918</v>
      </c>
      <c r="H216" t="s">
        <v>911</v>
      </c>
      <c r="I216" t="s">
        <v>919</v>
      </c>
      <c r="J216" t="s">
        <v>917</v>
      </c>
      <c r="K216" t="s">
        <v>911</v>
      </c>
      <c r="L216" t="s">
        <v>893</v>
      </c>
      <c r="M216" t="str">
        <f t="shared" si="20"/>
        <v>***
&gt; [!4colonne]- [[Messaggi/2014/2014-05-25 - Messaggio alla Parrocchia-Marija| ← Messaggio precedente]] | 02 giugno 2014 | [[Messaggi/2014/2014-06-25 - Messaggio alla Parrocchia-Marija| Messaggio successivo → ]]</v>
      </c>
    </row>
    <row r="217" spans="1:13" x14ac:dyDescent="0.25">
      <c r="A217" t="s">
        <v>922</v>
      </c>
      <c r="B217" s="44">
        <v>41784</v>
      </c>
      <c r="C217" t="str">
        <f t="shared" si="21"/>
        <v>25</v>
      </c>
      <c r="D217" t="str">
        <f>IF(ISERROR(DAY(B217)),TEXT(MATCH(TRIM(SUBSTITUTE(SUBSTITUTE(SUBSTITUTE(SUBSTITUTE(SUBSTITUTE(SUBSTITUTE(SUBSTITUTE(SUBSTITUTE(SUBSTITUTE(SUBSTITUTE(SUBSTITUTE(B217,1,""),2,""),3,""),4,""),5,""),6,""),7,""),8,""),9,""),0,""),"-","")),{"gennaio","febbraio","marzo","aprile","maggio","giugno","luglio","agosto","settembre","ottobre","novembre","dicembre"},0),"00"),TEXT(MONTH(B217)*29,"mm"))</f>
        <v>05</v>
      </c>
      <c r="E217">
        <f t="shared" si="22"/>
        <v>2014</v>
      </c>
      <c r="G217" t="s">
        <v>918</v>
      </c>
      <c r="H217" t="s">
        <v>915</v>
      </c>
      <c r="I217" t="s">
        <v>919</v>
      </c>
      <c r="J217" t="s">
        <v>917</v>
      </c>
      <c r="K217" t="s">
        <v>912</v>
      </c>
      <c r="L217" t="s">
        <v>893</v>
      </c>
      <c r="M217" t="str">
        <f t="shared" si="20"/>
        <v>***
&gt; [!4colonne]- [[Messaggi/2014/2014-05-16 - Messaggio al gruppo di preghiera-Ivan| ← Messaggio precedente]] | 25 maggio 2014 | [[Messaggi/2014/2014-06-02 - Messaggio al mondo-Mirijana| Messaggio successivo → ]]</v>
      </c>
    </row>
    <row r="218" spans="1:13" x14ac:dyDescent="0.25">
      <c r="A218" t="s">
        <v>923</v>
      </c>
      <c r="B218" s="44">
        <v>41775</v>
      </c>
      <c r="C218" t="str">
        <f t="shared" si="21"/>
        <v>16</v>
      </c>
      <c r="D218" t="str">
        <f>IF(ISERROR(DAY(B218)),TEXT(MATCH(TRIM(SUBSTITUTE(SUBSTITUTE(SUBSTITUTE(SUBSTITUTE(SUBSTITUTE(SUBSTITUTE(SUBSTITUTE(SUBSTITUTE(SUBSTITUTE(SUBSTITUTE(SUBSTITUTE(B218,1,""),2,""),3,""),4,""),5,""),6,""),7,""),8,""),9,""),0,""),"-","")),{"gennaio","febbraio","marzo","aprile","maggio","giugno","luglio","agosto","settembre","ottobre","novembre","dicembre"},0),"00"),TEXT(MONTH(B218)*29,"mm"))</f>
        <v>05</v>
      </c>
      <c r="E218">
        <f t="shared" si="22"/>
        <v>2014</v>
      </c>
      <c r="G218" t="s">
        <v>918</v>
      </c>
      <c r="H218" t="s">
        <v>915</v>
      </c>
      <c r="I218" t="s">
        <v>919</v>
      </c>
      <c r="J218" t="s">
        <v>917</v>
      </c>
      <c r="K218" t="s">
        <v>911</v>
      </c>
      <c r="L218" t="s">
        <v>893</v>
      </c>
      <c r="M218" t="str">
        <f t="shared" si="20"/>
        <v>***
&gt; [!4colonne]- [[Messaggi/2014/2014-05-05 - Messaggio al gruppo di preghiera-Ivan| ← Messaggio precedente]] | 16 maggio 2014 | [[Messaggi/2014/2014-05-25 - Messaggio alla Parrocchia-Marija| Messaggio successivo → ]]</v>
      </c>
    </row>
    <row r="219" spans="1:13" x14ac:dyDescent="0.25">
      <c r="A219" t="s">
        <v>923</v>
      </c>
      <c r="B219" s="44">
        <v>41764</v>
      </c>
      <c r="C219" t="str">
        <f t="shared" si="21"/>
        <v>05</v>
      </c>
      <c r="D219" t="str">
        <f>IF(ISERROR(DAY(B219)),TEXT(MATCH(TRIM(SUBSTITUTE(SUBSTITUTE(SUBSTITUTE(SUBSTITUTE(SUBSTITUTE(SUBSTITUTE(SUBSTITUTE(SUBSTITUTE(SUBSTITUTE(SUBSTITUTE(SUBSTITUTE(B219,1,""),2,""),3,""),4,""),5,""),6,""),7,""),8,""),9,""),0,""),"-","")),{"gennaio","febbraio","marzo","aprile","maggio","giugno","luglio","agosto","settembre","ottobre","novembre","dicembre"},0),"00"),TEXT(MONTH(B219)*29,"mm"))</f>
        <v>05</v>
      </c>
      <c r="E219">
        <f t="shared" si="22"/>
        <v>2014</v>
      </c>
      <c r="G219" t="s">
        <v>918</v>
      </c>
      <c r="H219" t="s">
        <v>912</v>
      </c>
      <c r="I219" t="s">
        <v>919</v>
      </c>
      <c r="J219" t="s">
        <v>917</v>
      </c>
      <c r="K219" t="s">
        <v>915</v>
      </c>
      <c r="L219" t="s">
        <v>893</v>
      </c>
      <c r="M219" t="str">
        <f t="shared" si="20"/>
        <v>***
&gt; [!4colonne]- [[Messaggi/2014/2014-05-02 - Messaggio al mondo-Mirijana| ← Messaggio precedente]] | 05 maggio 2014 | [[Messaggi/2014/2014-05-16 - Messaggio al gruppo di preghiera-Ivan| Messaggio successivo → ]]</v>
      </c>
    </row>
    <row r="220" spans="1:13" x14ac:dyDescent="0.25">
      <c r="A220" t="s">
        <v>921</v>
      </c>
      <c r="B220" s="44">
        <v>41761</v>
      </c>
      <c r="C220" t="str">
        <f t="shared" si="21"/>
        <v>02</v>
      </c>
      <c r="D220" t="str">
        <f>IF(ISERROR(DAY(B220)),TEXT(MATCH(TRIM(SUBSTITUTE(SUBSTITUTE(SUBSTITUTE(SUBSTITUTE(SUBSTITUTE(SUBSTITUTE(SUBSTITUTE(SUBSTITUTE(SUBSTITUTE(SUBSTITUTE(SUBSTITUTE(B220,1,""),2,""),3,""),4,""),5,""),6,""),7,""),8,""),9,""),0,""),"-","")),{"gennaio","febbraio","marzo","aprile","maggio","giugno","luglio","agosto","settembre","ottobre","novembre","dicembre"},0),"00"),TEXT(MONTH(B220)*29,"mm"))</f>
        <v>05</v>
      </c>
      <c r="E220">
        <f t="shared" si="22"/>
        <v>2014</v>
      </c>
      <c r="G220" t="s">
        <v>918</v>
      </c>
      <c r="H220" t="s">
        <v>915</v>
      </c>
      <c r="I220" t="s">
        <v>919</v>
      </c>
      <c r="J220" t="s">
        <v>917</v>
      </c>
      <c r="K220" t="s">
        <v>915</v>
      </c>
      <c r="L220" t="s">
        <v>893</v>
      </c>
      <c r="M220" t="str">
        <f t="shared" si="20"/>
        <v>***
&gt; [!4colonne]- [[Messaggi/2014/2014-04-25 - Messaggio al gruppo di preghiera-Ivan| ← Messaggio precedente]] | 02 maggio 2014 | [[Messaggi/2014/2014-05-05 - Messaggio al gruppo di preghiera-Ivan| Messaggio successivo → ]]</v>
      </c>
    </row>
    <row r="221" spans="1:13" x14ac:dyDescent="0.25">
      <c r="A221" t="s">
        <v>923</v>
      </c>
      <c r="B221" s="44">
        <v>41754</v>
      </c>
      <c r="C221" t="str">
        <f t="shared" si="21"/>
        <v>25</v>
      </c>
      <c r="D221" t="str">
        <f>IF(ISERROR(DAY(B221)),TEXT(MATCH(TRIM(SUBSTITUTE(SUBSTITUTE(SUBSTITUTE(SUBSTITUTE(SUBSTITUTE(SUBSTITUTE(SUBSTITUTE(SUBSTITUTE(SUBSTITUTE(SUBSTITUTE(SUBSTITUTE(B221,1,""),2,""),3,""),4,""),5,""),6,""),7,""),8,""),9,""),0,""),"-","")),{"gennaio","febbraio","marzo","aprile","maggio","giugno","luglio","agosto","settembre","ottobre","novembre","dicembre"},0),"00"),TEXT(MONTH(B221)*29,"mm"))</f>
        <v>04</v>
      </c>
      <c r="E221">
        <f t="shared" si="22"/>
        <v>2014</v>
      </c>
      <c r="G221" t="s">
        <v>918</v>
      </c>
      <c r="H221" t="s">
        <v>911</v>
      </c>
      <c r="I221" t="s">
        <v>919</v>
      </c>
      <c r="J221" t="s">
        <v>917</v>
      </c>
      <c r="K221" t="s">
        <v>912</v>
      </c>
      <c r="L221" t="s">
        <v>893</v>
      </c>
      <c r="M221" t="str">
        <f t="shared" si="20"/>
        <v>***
&gt; [!4colonne]- [[Messaggi/2014/2014-04-25 - Messaggio alla Parrocchia-Marija| ← Messaggio precedente]] | 25 aprile 2014 | [[Messaggi/2014/2014-05-02 - Messaggio al mondo-Mirijana| Messaggio successivo → ]]</v>
      </c>
    </row>
    <row r="222" spans="1:13" x14ac:dyDescent="0.25">
      <c r="A222" t="s">
        <v>922</v>
      </c>
      <c r="B222" s="44">
        <v>41754</v>
      </c>
      <c r="C222" t="str">
        <f t="shared" si="21"/>
        <v>25</v>
      </c>
      <c r="D222" t="str">
        <f>IF(ISERROR(DAY(B222)),TEXT(MATCH(TRIM(SUBSTITUTE(SUBSTITUTE(SUBSTITUTE(SUBSTITUTE(SUBSTITUTE(SUBSTITUTE(SUBSTITUTE(SUBSTITUTE(SUBSTITUTE(SUBSTITUTE(SUBSTITUTE(B222,1,""),2,""),3,""),4,""),5,""),6,""),7,""),8,""),9,""),0,""),"-","")),{"gennaio","febbraio","marzo","aprile","maggio","giugno","luglio","agosto","settembre","ottobre","novembre","dicembre"},0),"00"),TEXT(MONTH(B222)*29,"mm"))</f>
        <v>04</v>
      </c>
      <c r="E222">
        <f t="shared" si="22"/>
        <v>2014</v>
      </c>
      <c r="G222" t="s">
        <v>918</v>
      </c>
      <c r="H222" t="s">
        <v>912</v>
      </c>
      <c r="I222" t="s">
        <v>919</v>
      </c>
      <c r="J222" t="s">
        <v>917</v>
      </c>
      <c r="K222" t="s">
        <v>915</v>
      </c>
      <c r="L222" t="s">
        <v>893</v>
      </c>
      <c r="M222" t="str">
        <f t="shared" si="20"/>
        <v>***
&gt; [!4colonne]- [[Messaggi/2014/2014-04-02 - Messaggio al mondo-Mirijana| ← Messaggio precedente]] | 25 aprile 2014 | [[Messaggi/2014/2014-04-25 - Messaggio al gruppo di preghiera-Ivan| Messaggio successivo → ]]</v>
      </c>
    </row>
    <row r="223" spans="1:13" x14ac:dyDescent="0.25">
      <c r="A223" t="s">
        <v>921</v>
      </c>
      <c r="B223" s="44">
        <v>41731</v>
      </c>
      <c r="C223" t="str">
        <f t="shared" si="21"/>
        <v>02</v>
      </c>
      <c r="D223" t="str">
        <f>IF(ISERROR(DAY(B223)),TEXT(MATCH(TRIM(SUBSTITUTE(SUBSTITUTE(SUBSTITUTE(SUBSTITUTE(SUBSTITUTE(SUBSTITUTE(SUBSTITUTE(SUBSTITUTE(SUBSTITUTE(SUBSTITUTE(SUBSTITUTE(B223,1,""),2,""),3,""),4,""),5,""),6,""),7,""),8,""),9,""),0,""),"-","")),{"gennaio","febbraio","marzo","aprile","maggio","giugno","luglio","agosto","settembre","ottobre","novembre","dicembre"},0),"00"),TEXT(MONTH(B223)*29,"mm"))</f>
        <v>04</v>
      </c>
      <c r="E223">
        <f t="shared" si="22"/>
        <v>2014</v>
      </c>
      <c r="G223" t="s">
        <v>918</v>
      </c>
      <c r="H223" t="s">
        <v>911</v>
      </c>
      <c r="I223" t="s">
        <v>919</v>
      </c>
      <c r="J223" t="s">
        <v>917</v>
      </c>
      <c r="K223" t="s">
        <v>911</v>
      </c>
      <c r="L223" t="s">
        <v>893</v>
      </c>
      <c r="M223" t="str">
        <f t="shared" si="20"/>
        <v>***
&gt; [!4colonne]- [[Messaggi/2014/2014-03-25 - Messaggio alla Parrocchia-Marija| ← Messaggio precedente]] | 02 aprile 2014 | [[Messaggi/2014/2014-04-25 - Messaggio alla Parrocchia-Marija| Messaggio successivo → ]]</v>
      </c>
    </row>
    <row r="224" spans="1:13" x14ac:dyDescent="0.25">
      <c r="A224" t="s">
        <v>922</v>
      </c>
      <c r="B224" s="44">
        <v>41723</v>
      </c>
      <c r="C224" t="str">
        <f t="shared" si="21"/>
        <v>25</v>
      </c>
      <c r="D224" t="str">
        <f>IF(ISERROR(DAY(B224)),TEXT(MATCH(TRIM(SUBSTITUTE(SUBSTITUTE(SUBSTITUTE(SUBSTITUTE(SUBSTITUTE(SUBSTITUTE(SUBSTITUTE(SUBSTITUTE(SUBSTITUTE(SUBSTITUTE(SUBSTITUTE(B224,1,""),2,""),3,""),4,""),5,""),6,""),7,""),8,""),9,""),0,""),"-","")),{"gennaio","febbraio","marzo","aprile","maggio","giugno","luglio","agosto","settembre","ottobre","novembre","dicembre"},0),"00"),TEXT(MONTH(B224)*29,"mm"))</f>
        <v>03</v>
      </c>
      <c r="E224">
        <f t="shared" si="22"/>
        <v>2014</v>
      </c>
      <c r="G224" t="s">
        <v>918</v>
      </c>
      <c r="H224" t="s">
        <v>913</v>
      </c>
      <c r="I224" t="s">
        <v>919</v>
      </c>
      <c r="J224" t="s">
        <v>917</v>
      </c>
      <c r="K224" t="s">
        <v>912</v>
      </c>
      <c r="L224" t="s">
        <v>893</v>
      </c>
      <c r="M224" t="str">
        <f t="shared" si="20"/>
        <v>***
&gt; [!4colonne]- [[Messaggi/2014/2014-03-18 - Messaggio annuale a Mirijana| ← Messaggio precedente]] | 25 marzo 2014 | [[Messaggi/2014/2014-04-02 - Messaggio al mondo-Mirijana| Messaggio successivo → ]]</v>
      </c>
    </row>
    <row r="225" spans="1:13" x14ac:dyDescent="0.25">
      <c r="A225" t="s">
        <v>921</v>
      </c>
      <c r="B225" s="44">
        <v>41716</v>
      </c>
      <c r="C225" t="str">
        <f t="shared" si="21"/>
        <v>18</v>
      </c>
      <c r="D225" t="str">
        <f>IF(ISERROR(DAY(B225)),TEXT(MATCH(TRIM(SUBSTITUTE(SUBSTITUTE(SUBSTITUTE(SUBSTITUTE(SUBSTITUTE(SUBSTITUTE(SUBSTITUTE(SUBSTITUTE(SUBSTITUTE(SUBSTITUTE(SUBSTITUTE(B225,1,""),2,""),3,""),4,""),5,""),6,""),7,""),8,""),9,""),0,""),"-","")),{"gennaio","febbraio","marzo","aprile","maggio","giugno","luglio","agosto","settembre","ottobre","novembre","dicembre"},0),"00"),TEXT(MONTH(B225)*29,"mm"))</f>
        <v>03</v>
      </c>
      <c r="E225">
        <f t="shared" si="22"/>
        <v>2014</v>
      </c>
      <c r="G225" t="s">
        <v>918</v>
      </c>
      <c r="H225" t="s">
        <v>912</v>
      </c>
      <c r="I225" t="s">
        <v>919</v>
      </c>
      <c r="J225" t="s">
        <v>917</v>
      </c>
      <c r="K225" t="s">
        <v>911</v>
      </c>
      <c r="L225" t="s">
        <v>893</v>
      </c>
      <c r="M225" t="str">
        <f t="shared" si="20"/>
        <v>***
&gt; [!4colonne]- [[Messaggi/2014/2014-03-02 - Messaggio al mondo-Mirijana| ← Messaggio precedente]] | 18 marzo 2014 | [[Messaggi/2014/2014-03-25 - Messaggio alla Parrocchia-Marija| Messaggio successivo → ]]</v>
      </c>
    </row>
    <row r="226" spans="1:13" x14ac:dyDescent="0.25">
      <c r="A226" t="s">
        <v>921</v>
      </c>
      <c r="B226" s="44">
        <v>41700</v>
      </c>
      <c r="C226" t="str">
        <f t="shared" si="21"/>
        <v>02</v>
      </c>
      <c r="D226" t="str">
        <f>IF(ISERROR(DAY(B226)),TEXT(MATCH(TRIM(SUBSTITUTE(SUBSTITUTE(SUBSTITUTE(SUBSTITUTE(SUBSTITUTE(SUBSTITUTE(SUBSTITUTE(SUBSTITUTE(SUBSTITUTE(SUBSTITUTE(SUBSTITUTE(B226,1,""),2,""),3,""),4,""),5,""),6,""),7,""),8,""),9,""),0,""),"-","")),{"gennaio","febbraio","marzo","aprile","maggio","giugno","luglio","agosto","settembre","ottobre","novembre","dicembre"},0),"00"),TEXT(MONTH(B226)*29,"mm"))</f>
        <v>03</v>
      </c>
      <c r="E226">
        <f t="shared" si="22"/>
        <v>2014</v>
      </c>
      <c r="G226" t="s">
        <v>918</v>
      </c>
      <c r="H226" t="s">
        <v>911</v>
      </c>
      <c r="I226" t="s">
        <v>919</v>
      </c>
      <c r="J226" t="s">
        <v>917</v>
      </c>
      <c r="K226" t="s">
        <v>913</v>
      </c>
      <c r="L226" t="s">
        <v>893</v>
      </c>
      <c r="M226" t="str">
        <f t="shared" si="20"/>
        <v>***
&gt; [!4colonne]- [[Messaggi/2014/2014-02-25 - Messaggio alla Parrocchia-Marija| ← Messaggio precedente]] | 02 marzo 2014 | [[Messaggi/2014/2014-03-18 - Messaggio annuale a Mirijana| Messaggio successivo → ]]</v>
      </c>
    </row>
    <row r="227" spans="1:13" x14ac:dyDescent="0.25">
      <c r="A227" t="s">
        <v>922</v>
      </c>
      <c r="B227" s="44">
        <v>41695</v>
      </c>
      <c r="C227" t="str">
        <f t="shared" si="21"/>
        <v>25</v>
      </c>
      <c r="D227" t="str">
        <f>IF(ISERROR(DAY(B227)),TEXT(MATCH(TRIM(SUBSTITUTE(SUBSTITUTE(SUBSTITUTE(SUBSTITUTE(SUBSTITUTE(SUBSTITUTE(SUBSTITUTE(SUBSTITUTE(SUBSTITUTE(SUBSTITUTE(SUBSTITUTE(B227,1,""),2,""),3,""),4,""),5,""),6,""),7,""),8,""),9,""),0,""),"-","")),{"gennaio","febbraio","marzo","aprile","maggio","giugno","luglio","agosto","settembre","ottobre","novembre","dicembre"},0),"00"),TEXT(MONTH(B227)*29,"mm"))</f>
        <v>02</v>
      </c>
      <c r="E227">
        <f t="shared" si="22"/>
        <v>2014</v>
      </c>
      <c r="G227" t="s">
        <v>918</v>
      </c>
      <c r="H227" t="s">
        <v>912</v>
      </c>
      <c r="I227" t="s">
        <v>919</v>
      </c>
      <c r="J227" t="s">
        <v>917</v>
      </c>
      <c r="K227" t="s">
        <v>912</v>
      </c>
      <c r="L227" t="s">
        <v>893</v>
      </c>
      <c r="M227" t="str">
        <f t="shared" si="20"/>
        <v>***
&gt; [!4colonne]- [[Messaggi/2014/2014-02-02 - Messaggio al mondo-Mirijana| ← Messaggio precedente]] | 25 febbraio 2014 | [[Messaggi/2014/2014-03-02 - Messaggio al mondo-Mirijana| Messaggio successivo → ]]</v>
      </c>
    </row>
    <row r="228" spans="1:13" x14ac:dyDescent="0.25">
      <c r="A228" t="s">
        <v>921</v>
      </c>
      <c r="B228" s="44">
        <v>41672</v>
      </c>
      <c r="C228" t="str">
        <f t="shared" si="21"/>
        <v>02</v>
      </c>
      <c r="D228" t="str">
        <f>IF(ISERROR(DAY(B228)),TEXT(MATCH(TRIM(SUBSTITUTE(SUBSTITUTE(SUBSTITUTE(SUBSTITUTE(SUBSTITUTE(SUBSTITUTE(SUBSTITUTE(SUBSTITUTE(SUBSTITUTE(SUBSTITUTE(SUBSTITUTE(B228,1,""),2,""),3,""),4,""),5,""),6,""),7,""),8,""),9,""),0,""),"-","")),{"gennaio","febbraio","marzo","aprile","maggio","giugno","luglio","agosto","settembre","ottobre","novembre","dicembre"},0),"00"),TEXT(MONTH(B228)*29,"mm"))</f>
        <v>02</v>
      </c>
      <c r="E228">
        <f t="shared" si="22"/>
        <v>2014</v>
      </c>
      <c r="G228" t="s">
        <v>918</v>
      </c>
      <c r="H228" t="s">
        <v>911</v>
      </c>
      <c r="I228" t="s">
        <v>919</v>
      </c>
      <c r="J228" t="s">
        <v>917</v>
      </c>
      <c r="K228" t="s">
        <v>911</v>
      </c>
      <c r="L228" t="s">
        <v>893</v>
      </c>
      <c r="M228" t="str">
        <f t="shared" si="20"/>
        <v>***
&gt; [!4colonne]- [[Messaggi/2014/2014-01-25 - Messaggio alla Parrocchia-Marija| ← Messaggio precedente]] | 02 febbraio 2014 | [[Messaggi/2014/2014-02-25 - Messaggio alla Parrocchia-Marija| Messaggio successivo → ]]</v>
      </c>
    </row>
    <row r="229" spans="1:13" x14ac:dyDescent="0.25">
      <c r="A229" t="s">
        <v>922</v>
      </c>
      <c r="B229" s="44">
        <v>41664</v>
      </c>
      <c r="C229" t="str">
        <f t="shared" si="21"/>
        <v>25</v>
      </c>
      <c r="D229" t="str">
        <f>IF(ISERROR(DAY(B229)),TEXT(MATCH(TRIM(SUBSTITUTE(SUBSTITUTE(SUBSTITUTE(SUBSTITUTE(SUBSTITUTE(SUBSTITUTE(SUBSTITUTE(SUBSTITUTE(SUBSTITUTE(SUBSTITUTE(SUBSTITUTE(B229,1,""),2,""),3,""),4,""),5,""),6,""),7,""),8,""),9,""),0,""),"-","")),{"gennaio","febbraio","marzo","aprile","maggio","giugno","luglio","agosto","settembre","ottobre","novembre","dicembre"},0),"00"),TEXT(MONTH(B229)*29,"mm"))</f>
        <v>01</v>
      </c>
      <c r="E229">
        <f t="shared" si="22"/>
        <v>2014</v>
      </c>
      <c r="G229" t="s">
        <v>918</v>
      </c>
      <c r="H229" t="s">
        <v>912</v>
      </c>
      <c r="I229" t="s">
        <v>919</v>
      </c>
      <c r="J229" t="s">
        <v>917</v>
      </c>
      <c r="K229" t="s">
        <v>912</v>
      </c>
      <c r="L229" t="s">
        <v>893</v>
      </c>
      <c r="M229" t="str">
        <f t="shared" si="20"/>
        <v>***
&gt; [!4colonne]- [[Messaggi/2014/2014-01-02 - Messaggio al mondo-Mirijana| ← Messaggio precedente]] | 25 gennaio 2014 | [[Messaggi/2014/2014-02-02 - Messaggio al mondo-Mirijana| Messaggio successivo → ]]</v>
      </c>
    </row>
    <row r="230" spans="1:13" x14ac:dyDescent="0.25">
      <c r="A230" t="s">
        <v>921</v>
      </c>
      <c r="B230" s="44">
        <v>41641</v>
      </c>
      <c r="C230" t="str">
        <f t="shared" si="21"/>
        <v>02</v>
      </c>
      <c r="D230" t="str">
        <f>IF(ISERROR(DAY(B230)),TEXT(MATCH(TRIM(SUBSTITUTE(SUBSTITUTE(SUBSTITUTE(SUBSTITUTE(SUBSTITUTE(SUBSTITUTE(SUBSTITUTE(SUBSTITUTE(SUBSTITUTE(SUBSTITUTE(SUBSTITUTE(B230,1,""),2,""),3,""),4,""),5,""),6,""),7,""),8,""),9,""),0,""),"-","")),{"gennaio","febbraio","marzo","aprile","maggio","giugno","luglio","agosto","settembre","ottobre","novembre","dicembre"},0),"00"),TEXT(MONTH(B230)*29,"mm"))</f>
        <v>01</v>
      </c>
      <c r="E230">
        <f t="shared" si="22"/>
        <v>2014</v>
      </c>
      <c r="G230" t="s">
        <v>918</v>
      </c>
      <c r="H230" t="s">
        <v>916</v>
      </c>
      <c r="I230" t="s">
        <v>919</v>
      </c>
      <c r="J230" t="s">
        <v>917</v>
      </c>
      <c r="K230" t="s">
        <v>911</v>
      </c>
      <c r="L230" t="s">
        <v>893</v>
      </c>
      <c r="M230" t="str">
        <f t="shared" si="20"/>
        <v>***
&gt; [!4colonne]- [[Messaggi//-- - Messaggio annuale a Jakov| ← Messaggio precedente]] | 02 gennaio 2014 | [[Messaggi/2014/2014-01-25 - Messaggio alla Parrocchia-Marija| Messaggio successivo → ]]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3775-3A9F-4D44-BC61-167E6120B2F6}">
  <dimension ref="I1:K45"/>
  <sheetViews>
    <sheetView workbookViewId="0">
      <selection activeCell="K2" sqref="K2"/>
    </sheetView>
  </sheetViews>
  <sheetFormatPr defaultRowHeight="15" x14ac:dyDescent="0.25"/>
  <cols>
    <col min="9" max="9" width="75.7109375" bestFit="1" customWidth="1"/>
    <col min="11" max="11" width="79.85546875" bestFit="1" customWidth="1"/>
  </cols>
  <sheetData>
    <row r="1" spans="9:11" x14ac:dyDescent="0.25">
      <c r="I1" s="59" t="s">
        <v>910</v>
      </c>
      <c r="J1">
        <v>2025</v>
      </c>
      <c r="K1" t="str">
        <f>_xlfn.CONCAT(I1,J1)</f>
        <v>https://radiomaria.it/tutti-i-messaggi-in-ordine-cronologico/?search=&amp;yearfilter=2025</v>
      </c>
    </row>
    <row r="2" spans="9:11" x14ac:dyDescent="0.25">
      <c r="I2" s="59" t="s">
        <v>910</v>
      </c>
      <c r="J2">
        <v>2024</v>
      </c>
      <c r="K2" t="str">
        <f t="shared" ref="K2:K45" si="0">_xlfn.CONCAT(I2,J2)</f>
        <v>https://radiomaria.it/tutti-i-messaggi-in-ordine-cronologico/?search=&amp;yearfilter=2024</v>
      </c>
    </row>
    <row r="3" spans="9:11" x14ac:dyDescent="0.25">
      <c r="I3" s="59" t="s">
        <v>910</v>
      </c>
      <c r="J3">
        <v>2023</v>
      </c>
      <c r="K3" t="str">
        <f t="shared" si="0"/>
        <v>https://radiomaria.it/tutti-i-messaggi-in-ordine-cronologico/?search=&amp;yearfilter=2023</v>
      </c>
    </row>
    <row r="4" spans="9:11" x14ac:dyDescent="0.25">
      <c r="I4" s="59" t="s">
        <v>910</v>
      </c>
      <c r="J4">
        <v>2022</v>
      </c>
      <c r="K4" t="str">
        <f t="shared" si="0"/>
        <v>https://radiomaria.it/tutti-i-messaggi-in-ordine-cronologico/?search=&amp;yearfilter=2022</v>
      </c>
    </row>
    <row r="5" spans="9:11" x14ac:dyDescent="0.25">
      <c r="I5" s="59" t="s">
        <v>910</v>
      </c>
      <c r="J5">
        <v>2021</v>
      </c>
      <c r="K5" t="str">
        <f t="shared" si="0"/>
        <v>https://radiomaria.it/tutti-i-messaggi-in-ordine-cronologico/?search=&amp;yearfilter=2021</v>
      </c>
    </row>
    <row r="6" spans="9:11" x14ac:dyDescent="0.25">
      <c r="I6" s="59" t="s">
        <v>910</v>
      </c>
      <c r="J6">
        <v>2020</v>
      </c>
      <c r="K6" t="str">
        <f t="shared" si="0"/>
        <v>https://radiomaria.it/tutti-i-messaggi-in-ordine-cronologico/?search=&amp;yearfilter=2020</v>
      </c>
    </row>
    <row r="7" spans="9:11" x14ac:dyDescent="0.25">
      <c r="I7" s="59" t="s">
        <v>910</v>
      </c>
      <c r="J7">
        <v>2019</v>
      </c>
      <c r="K7" t="str">
        <f t="shared" si="0"/>
        <v>https://radiomaria.it/tutti-i-messaggi-in-ordine-cronologico/?search=&amp;yearfilter=2019</v>
      </c>
    </row>
    <row r="8" spans="9:11" x14ac:dyDescent="0.25">
      <c r="I8" s="59" t="s">
        <v>910</v>
      </c>
      <c r="J8">
        <v>2018</v>
      </c>
      <c r="K8" t="str">
        <f t="shared" si="0"/>
        <v>https://radiomaria.it/tutti-i-messaggi-in-ordine-cronologico/?search=&amp;yearfilter=2018</v>
      </c>
    </row>
    <row r="9" spans="9:11" x14ac:dyDescent="0.25">
      <c r="I9" s="59" t="s">
        <v>910</v>
      </c>
      <c r="J9">
        <v>2017</v>
      </c>
      <c r="K9" t="str">
        <f t="shared" si="0"/>
        <v>https://radiomaria.it/tutti-i-messaggi-in-ordine-cronologico/?search=&amp;yearfilter=2017</v>
      </c>
    </row>
    <row r="10" spans="9:11" x14ac:dyDescent="0.25">
      <c r="I10" s="59" t="s">
        <v>910</v>
      </c>
      <c r="J10">
        <v>2016</v>
      </c>
      <c r="K10" t="str">
        <f t="shared" si="0"/>
        <v>https://radiomaria.it/tutti-i-messaggi-in-ordine-cronologico/?search=&amp;yearfilter=2016</v>
      </c>
    </row>
    <row r="11" spans="9:11" x14ac:dyDescent="0.25">
      <c r="I11" s="59" t="s">
        <v>910</v>
      </c>
      <c r="J11">
        <v>2015</v>
      </c>
      <c r="K11" t="str">
        <f t="shared" si="0"/>
        <v>https://radiomaria.it/tutti-i-messaggi-in-ordine-cronologico/?search=&amp;yearfilter=2015</v>
      </c>
    </row>
    <row r="12" spans="9:11" x14ac:dyDescent="0.25">
      <c r="I12" s="59" t="s">
        <v>910</v>
      </c>
      <c r="J12">
        <v>2014</v>
      </c>
      <c r="K12" t="str">
        <f t="shared" si="0"/>
        <v>https://radiomaria.it/tutti-i-messaggi-in-ordine-cronologico/?search=&amp;yearfilter=2014</v>
      </c>
    </row>
    <row r="13" spans="9:11" x14ac:dyDescent="0.25">
      <c r="I13" s="59" t="s">
        <v>910</v>
      </c>
      <c r="J13">
        <v>2013</v>
      </c>
      <c r="K13" t="str">
        <f t="shared" si="0"/>
        <v>https://radiomaria.it/tutti-i-messaggi-in-ordine-cronologico/?search=&amp;yearfilter=2013</v>
      </c>
    </row>
    <row r="14" spans="9:11" x14ac:dyDescent="0.25">
      <c r="I14" s="59" t="s">
        <v>910</v>
      </c>
      <c r="J14">
        <v>2012</v>
      </c>
      <c r="K14" t="str">
        <f t="shared" si="0"/>
        <v>https://radiomaria.it/tutti-i-messaggi-in-ordine-cronologico/?search=&amp;yearfilter=2012</v>
      </c>
    </row>
    <row r="15" spans="9:11" x14ac:dyDescent="0.25">
      <c r="I15" s="59" t="s">
        <v>910</v>
      </c>
      <c r="J15">
        <v>2011</v>
      </c>
      <c r="K15" t="str">
        <f t="shared" si="0"/>
        <v>https://radiomaria.it/tutti-i-messaggi-in-ordine-cronologico/?search=&amp;yearfilter=2011</v>
      </c>
    </row>
    <row r="16" spans="9:11" x14ac:dyDescent="0.25">
      <c r="I16" s="59" t="s">
        <v>910</v>
      </c>
      <c r="J16">
        <v>2010</v>
      </c>
      <c r="K16" t="str">
        <f t="shared" si="0"/>
        <v>https://radiomaria.it/tutti-i-messaggi-in-ordine-cronologico/?search=&amp;yearfilter=2010</v>
      </c>
    </row>
    <row r="17" spans="9:11" x14ac:dyDescent="0.25">
      <c r="I17" s="59" t="s">
        <v>910</v>
      </c>
      <c r="J17">
        <v>2009</v>
      </c>
      <c r="K17" t="str">
        <f t="shared" si="0"/>
        <v>https://radiomaria.it/tutti-i-messaggi-in-ordine-cronologico/?search=&amp;yearfilter=2009</v>
      </c>
    </row>
    <row r="18" spans="9:11" x14ac:dyDescent="0.25">
      <c r="I18" s="59" t="s">
        <v>910</v>
      </c>
      <c r="J18">
        <v>2008</v>
      </c>
      <c r="K18" t="str">
        <f t="shared" si="0"/>
        <v>https://radiomaria.it/tutti-i-messaggi-in-ordine-cronologico/?search=&amp;yearfilter=2008</v>
      </c>
    </row>
    <row r="19" spans="9:11" x14ac:dyDescent="0.25">
      <c r="I19" s="59" t="s">
        <v>910</v>
      </c>
      <c r="J19">
        <v>2007</v>
      </c>
      <c r="K19" t="str">
        <f t="shared" si="0"/>
        <v>https://radiomaria.it/tutti-i-messaggi-in-ordine-cronologico/?search=&amp;yearfilter=2007</v>
      </c>
    </row>
    <row r="20" spans="9:11" x14ac:dyDescent="0.25">
      <c r="I20" s="59" t="s">
        <v>910</v>
      </c>
      <c r="J20">
        <v>2006</v>
      </c>
      <c r="K20" t="str">
        <f t="shared" si="0"/>
        <v>https://radiomaria.it/tutti-i-messaggi-in-ordine-cronologico/?search=&amp;yearfilter=2006</v>
      </c>
    </row>
    <row r="21" spans="9:11" x14ac:dyDescent="0.25">
      <c r="I21" s="59" t="s">
        <v>910</v>
      </c>
      <c r="J21">
        <v>2005</v>
      </c>
      <c r="K21" t="str">
        <f t="shared" si="0"/>
        <v>https://radiomaria.it/tutti-i-messaggi-in-ordine-cronologico/?search=&amp;yearfilter=2005</v>
      </c>
    </row>
    <row r="22" spans="9:11" x14ac:dyDescent="0.25">
      <c r="I22" s="59" t="s">
        <v>910</v>
      </c>
      <c r="J22">
        <v>2004</v>
      </c>
      <c r="K22" t="str">
        <f t="shared" si="0"/>
        <v>https://radiomaria.it/tutti-i-messaggi-in-ordine-cronologico/?search=&amp;yearfilter=2004</v>
      </c>
    </row>
    <row r="23" spans="9:11" x14ac:dyDescent="0.25">
      <c r="I23" s="59" t="s">
        <v>910</v>
      </c>
      <c r="J23">
        <v>2003</v>
      </c>
      <c r="K23" t="str">
        <f t="shared" si="0"/>
        <v>https://radiomaria.it/tutti-i-messaggi-in-ordine-cronologico/?search=&amp;yearfilter=2003</v>
      </c>
    </row>
    <row r="24" spans="9:11" x14ac:dyDescent="0.25">
      <c r="I24" s="59" t="s">
        <v>910</v>
      </c>
      <c r="J24">
        <v>2002</v>
      </c>
      <c r="K24" t="str">
        <f t="shared" si="0"/>
        <v>https://radiomaria.it/tutti-i-messaggi-in-ordine-cronologico/?search=&amp;yearfilter=2002</v>
      </c>
    </row>
    <row r="25" spans="9:11" x14ac:dyDescent="0.25">
      <c r="I25" s="59" t="s">
        <v>910</v>
      </c>
      <c r="J25">
        <v>2001</v>
      </c>
      <c r="K25" t="str">
        <f t="shared" si="0"/>
        <v>https://radiomaria.it/tutti-i-messaggi-in-ordine-cronologico/?search=&amp;yearfilter=2001</v>
      </c>
    </row>
    <row r="26" spans="9:11" x14ac:dyDescent="0.25">
      <c r="I26" s="59" t="s">
        <v>910</v>
      </c>
      <c r="J26">
        <v>2000</v>
      </c>
      <c r="K26" t="str">
        <f t="shared" si="0"/>
        <v>https://radiomaria.it/tutti-i-messaggi-in-ordine-cronologico/?search=&amp;yearfilter=2000</v>
      </c>
    </row>
    <row r="27" spans="9:11" x14ac:dyDescent="0.25">
      <c r="I27" s="59" t="s">
        <v>910</v>
      </c>
      <c r="J27">
        <v>1999</v>
      </c>
      <c r="K27" t="str">
        <f t="shared" si="0"/>
        <v>https://radiomaria.it/tutti-i-messaggi-in-ordine-cronologico/?search=&amp;yearfilter=1999</v>
      </c>
    </row>
    <row r="28" spans="9:11" x14ac:dyDescent="0.25">
      <c r="I28" s="59" t="s">
        <v>910</v>
      </c>
      <c r="J28">
        <v>1998</v>
      </c>
      <c r="K28" t="str">
        <f t="shared" si="0"/>
        <v>https://radiomaria.it/tutti-i-messaggi-in-ordine-cronologico/?search=&amp;yearfilter=1998</v>
      </c>
    </row>
    <row r="29" spans="9:11" x14ac:dyDescent="0.25">
      <c r="I29" s="59" t="s">
        <v>910</v>
      </c>
      <c r="J29">
        <v>1997</v>
      </c>
      <c r="K29" t="str">
        <f t="shared" si="0"/>
        <v>https://radiomaria.it/tutti-i-messaggi-in-ordine-cronologico/?search=&amp;yearfilter=1997</v>
      </c>
    </row>
    <row r="30" spans="9:11" x14ac:dyDescent="0.25">
      <c r="I30" s="59" t="s">
        <v>910</v>
      </c>
      <c r="J30">
        <v>1996</v>
      </c>
      <c r="K30" t="str">
        <f t="shared" si="0"/>
        <v>https://radiomaria.it/tutti-i-messaggi-in-ordine-cronologico/?search=&amp;yearfilter=1996</v>
      </c>
    </row>
    <row r="31" spans="9:11" x14ac:dyDescent="0.25">
      <c r="I31" s="59" t="s">
        <v>910</v>
      </c>
      <c r="J31">
        <v>1995</v>
      </c>
      <c r="K31" t="str">
        <f t="shared" si="0"/>
        <v>https://radiomaria.it/tutti-i-messaggi-in-ordine-cronologico/?search=&amp;yearfilter=1995</v>
      </c>
    </row>
    <row r="32" spans="9:11" x14ac:dyDescent="0.25">
      <c r="I32" s="59" t="s">
        <v>910</v>
      </c>
      <c r="J32">
        <v>1994</v>
      </c>
      <c r="K32" t="str">
        <f t="shared" si="0"/>
        <v>https://radiomaria.it/tutti-i-messaggi-in-ordine-cronologico/?search=&amp;yearfilter=1994</v>
      </c>
    </row>
    <row r="33" spans="9:11" x14ac:dyDescent="0.25">
      <c r="I33" s="59" t="s">
        <v>910</v>
      </c>
      <c r="J33">
        <v>1993</v>
      </c>
      <c r="K33" t="str">
        <f t="shared" si="0"/>
        <v>https://radiomaria.it/tutti-i-messaggi-in-ordine-cronologico/?search=&amp;yearfilter=1993</v>
      </c>
    </row>
    <row r="34" spans="9:11" x14ac:dyDescent="0.25">
      <c r="I34" s="59" t="s">
        <v>910</v>
      </c>
      <c r="J34">
        <v>1992</v>
      </c>
      <c r="K34" t="str">
        <f t="shared" si="0"/>
        <v>https://radiomaria.it/tutti-i-messaggi-in-ordine-cronologico/?search=&amp;yearfilter=1992</v>
      </c>
    </row>
    <row r="35" spans="9:11" x14ac:dyDescent="0.25">
      <c r="I35" s="59" t="s">
        <v>910</v>
      </c>
      <c r="J35">
        <v>1991</v>
      </c>
      <c r="K35" t="str">
        <f t="shared" si="0"/>
        <v>https://radiomaria.it/tutti-i-messaggi-in-ordine-cronologico/?search=&amp;yearfilter=1991</v>
      </c>
    </row>
    <row r="36" spans="9:11" x14ac:dyDescent="0.25">
      <c r="I36" s="59" t="s">
        <v>910</v>
      </c>
      <c r="J36">
        <v>1990</v>
      </c>
      <c r="K36" t="str">
        <f t="shared" si="0"/>
        <v>https://radiomaria.it/tutti-i-messaggi-in-ordine-cronologico/?search=&amp;yearfilter=1990</v>
      </c>
    </row>
    <row r="37" spans="9:11" x14ac:dyDescent="0.25">
      <c r="I37" s="59" t="s">
        <v>910</v>
      </c>
      <c r="J37">
        <v>1989</v>
      </c>
      <c r="K37" t="str">
        <f t="shared" si="0"/>
        <v>https://radiomaria.it/tutti-i-messaggi-in-ordine-cronologico/?search=&amp;yearfilter=1989</v>
      </c>
    </row>
    <row r="38" spans="9:11" x14ac:dyDescent="0.25">
      <c r="I38" s="59" t="s">
        <v>910</v>
      </c>
      <c r="J38">
        <v>1988</v>
      </c>
      <c r="K38" t="str">
        <f t="shared" si="0"/>
        <v>https://radiomaria.it/tutti-i-messaggi-in-ordine-cronologico/?search=&amp;yearfilter=1988</v>
      </c>
    </row>
    <row r="39" spans="9:11" x14ac:dyDescent="0.25">
      <c r="I39" s="59" t="s">
        <v>910</v>
      </c>
      <c r="J39">
        <v>1987</v>
      </c>
      <c r="K39" t="str">
        <f t="shared" si="0"/>
        <v>https://radiomaria.it/tutti-i-messaggi-in-ordine-cronologico/?search=&amp;yearfilter=1987</v>
      </c>
    </row>
    <row r="40" spans="9:11" x14ac:dyDescent="0.25">
      <c r="I40" s="59" t="s">
        <v>910</v>
      </c>
      <c r="J40">
        <v>1986</v>
      </c>
      <c r="K40" t="str">
        <f t="shared" si="0"/>
        <v>https://radiomaria.it/tutti-i-messaggi-in-ordine-cronologico/?search=&amp;yearfilter=1986</v>
      </c>
    </row>
    <row r="41" spans="9:11" x14ac:dyDescent="0.25">
      <c r="I41" s="59" t="s">
        <v>910</v>
      </c>
      <c r="J41">
        <v>1985</v>
      </c>
      <c r="K41" t="str">
        <f t="shared" si="0"/>
        <v>https://radiomaria.it/tutti-i-messaggi-in-ordine-cronologico/?search=&amp;yearfilter=1985</v>
      </c>
    </row>
    <row r="42" spans="9:11" x14ac:dyDescent="0.25">
      <c r="I42" s="59" t="s">
        <v>910</v>
      </c>
      <c r="J42">
        <v>1984</v>
      </c>
      <c r="K42" t="str">
        <f t="shared" si="0"/>
        <v>https://radiomaria.it/tutti-i-messaggi-in-ordine-cronologico/?search=&amp;yearfilter=1984</v>
      </c>
    </row>
    <row r="43" spans="9:11" x14ac:dyDescent="0.25">
      <c r="I43" s="59" t="s">
        <v>910</v>
      </c>
      <c r="J43">
        <v>1983</v>
      </c>
      <c r="K43" t="str">
        <f t="shared" si="0"/>
        <v>https://radiomaria.it/tutti-i-messaggi-in-ordine-cronologico/?search=&amp;yearfilter=1983</v>
      </c>
    </row>
    <row r="44" spans="9:11" x14ac:dyDescent="0.25">
      <c r="I44" s="59" t="s">
        <v>910</v>
      </c>
      <c r="J44">
        <v>1982</v>
      </c>
      <c r="K44" t="str">
        <f t="shared" si="0"/>
        <v>https://radiomaria.it/tutti-i-messaggi-in-ordine-cronologico/?search=&amp;yearfilter=1982</v>
      </c>
    </row>
    <row r="45" spans="9:11" x14ac:dyDescent="0.25">
      <c r="I45" s="59" t="s">
        <v>910</v>
      </c>
      <c r="J45">
        <v>1981</v>
      </c>
      <c r="K45" t="str">
        <f t="shared" si="0"/>
        <v>https://radiomaria.it/tutti-i-messaggi-in-ordine-cronologico/?search=&amp;yearfilter=1981</v>
      </c>
    </row>
  </sheetData>
  <hyperlinks>
    <hyperlink ref="I1" r:id="rId1" xr:uid="{F5B755D1-79CB-4E01-A559-A3946923115B}"/>
    <hyperlink ref="I2:I45" r:id="rId2" display="https://radiomaria.it/tutti-i-messaggi-in-ordine-cronologico/?search=&amp;yearfilter=" xr:uid="{E3F7F1A9-6B55-4488-9AD5-D7EEFADDFCE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51E63-7415-42A2-B322-96AEB256564E}">
  <dimension ref="M1:O150"/>
  <sheetViews>
    <sheetView topLeftCell="A29" workbookViewId="0">
      <selection activeCell="M29" sqref="M29:O150"/>
    </sheetView>
  </sheetViews>
  <sheetFormatPr defaultRowHeight="15" x14ac:dyDescent="0.25"/>
  <sheetData>
    <row r="1" spans="13:15" x14ac:dyDescent="0.25">
      <c r="M1" t="s">
        <v>896</v>
      </c>
      <c r="N1">
        <v>1</v>
      </c>
      <c r="O1" t="str">
        <f t="shared" ref="O1:O9" si="0">_xlfn.CONCAT(M1,N1)</f>
        <v>#### 1</v>
      </c>
    </row>
    <row r="2" spans="13:15" x14ac:dyDescent="0.25">
      <c r="M2" t="s">
        <v>896</v>
      </c>
      <c r="N2">
        <v>2</v>
      </c>
      <c r="O2" t="str">
        <f t="shared" si="0"/>
        <v>#### 2</v>
      </c>
    </row>
    <row r="3" spans="13:15" x14ac:dyDescent="0.25">
      <c r="M3" t="s">
        <v>896</v>
      </c>
      <c r="N3">
        <v>3</v>
      </c>
      <c r="O3" t="str">
        <f>_xlfn.CONCAT(M3,N3)</f>
        <v>#### 3</v>
      </c>
    </row>
    <row r="4" spans="13:15" x14ac:dyDescent="0.25">
      <c r="M4" t="s">
        <v>896</v>
      </c>
      <c r="N4">
        <v>4</v>
      </c>
      <c r="O4" t="str">
        <f t="shared" si="0"/>
        <v>#### 4</v>
      </c>
    </row>
    <row r="5" spans="13:15" x14ac:dyDescent="0.25">
      <c r="M5" t="s">
        <v>896</v>
      </c>
      <c r="N5">
        <v>5</v>
      </c>
      <c r="O5" t="str">
        <f t="shared" si="0"/>
        <v>#### 5</v>
      </c>
    </row>
    <row r="6" spans="13:15" x14ac:dyDescent="0.25">
      <c r="M6" t="s">
        <v>896</v>
      </c>
      <c r="N6">
        <v>6</v>
      </c>
      <c r="O6" t="str">
        <f t="shared" si="0"/>
        <v>#### 6</v>
      </c>
    </row>
    <row r="7" spans="13:15" x14ac:dyDescent="0.25">
      <c r="M7" t="s">
        <v>896</v>
      </c>
      <c r="N7">
        <v>7</v>
      </c>
      <c r="O7" t="str">
        <f t="shared" si="0"/>
        <v>#### 7</v>
      </c>
    </row>
    <row r="8" spans="13:15" x14ac:dyDescent="0.25">
      <c r="M8" t="s">
        <v>896</v>
      </c>
      <c r="N8">
        <v>8</v>
      </c>
      <c r="O8" t="str">
        <f t="shared" si="0"/>
        <v>#### 8</v>
      </c>
    </row>
    <row r="9" spans="13:15" x14ac:dyDescent="0.25">
      <c r="M9" t="s">
        <v>896</v>
      </c>
      <c r="N9">
        <v>9</v>
      </c>
      <c r="O9" t="str">
        <f t="shared" si="0"/>
        <v>#### 9</v>
      </c>
    </row>
    <row r="10" spans="13:15" x14ac:dyDescent="0.25">
      <c r="M10" t="s">
        <v>896</v>
      </c>
      <c r="N10">
        <v>10</v>
      </c>
      <c r="O10" t="str">
        <f t="shared" ref="O10:O26" si="1">_xlfn.CONCAT(M10,N10)</f>
        <v>#### 10</v>
      </c>
    </row>
    <row r="11" spans="13:15" x14ac:dyDescent="0.25">
      <c r="M11" t="s">
        <v>896</v>
      </c>
      <c r="N11">
        <v>11</v>
      </c>
      <c r="O11" t="str">
        <f t="shared" si="1"/>
        <v>#### 11</v>
      </c>
    </row>
    <row r="12" spans="13:15" x14ac:dyDescent="0.25">
      <c r="M12" t="s">
        <v>896</v>
      </c>
      <c r="N12">
        <v>12</v>
      </c>
      <c r="O12" t="str">
        <f t="shared" si="1"/>
        <v>#### 12</v>
      </c>
    </row>
    <row r="13" spans="13:15" x14ac:dyDescent="0.25">
      <c r="M13" t="s">
        <v>896</v>
      </c>
      <c r="N13">
        <v>13</v>
      </c>
      <c r="O13" t="str">
        <f t="shared" si="1"/>
        <v>#### 13</v>
      </c>
    </row>
    <row r="14" spans="13:15" x14ac:dyDescent="0.25">
      <c r="M14" t="s">
        <v>896</v>
      </c>
      <c r="N14">
        <v>14</v>
      </c>
      <c r="O14" t="str">
        <f t="shared" si="1"/>
        <v>#### 14</v>
      </c>
    </row>
    <row r="15" spans="13:15" x14ac:dyDescent="0.25">
      <c r="M15" t="s">
        <v>896</v>
      </c>
      <c r="N15">
        <v>15</v>
      </c>
      <c r="O15" t="str">
        <f t="shared" si="1"/>
        <v>#### 15</v>
      </c>
    </row>
    <row r="16" spans="13:15" x14ac:dyDescent="0.25">
      <c r="M16" t="s">
        <v>896</v>
      </c>
      <c r="N16">
        <v>16</v>
      </c>
      <c r="O16" t="str">
        <f t="shared" si="1"/>
        <v>#### 16</v>
      </c>
    </row>
    <row r="17" spans="13:15" x14ac:dyDescent="0.25">
      <c r="M17" t="s">
        <v>896</v>
      </c>
      <c r="N17">
        <v>17</v>
      </c>
      <c r="O17" t="str">
        <f t="shared" si="1"/>
        <v>#### 17</v>
      </c>
    </row>
    <row r="18" spans="13:15" x14ac:dyDescent="0.25">
      <c r="M18" t="s">
        <v>896</v>
      </c>
      <c r="N18">
        <v>18</v>
      </c>
      <c r="O18" t="str">
        <f t="shared" si="1"/>
        <v>#### 18</v>
      </c>
    </row>
    <row r="19" spans="13:15" x14ac:dyDescent="0.25">
      <c r="M19" t="s">
        <v>896</v>
      </c>
      <c r="N19">
        <v>19</v>
      </c>
      <c r="O19" t="str">
        <f t="shared" si="1"/>
        <v>#### 19</v>
      </c>
    </row>
    <row r="20" spans="13:15" x14ac:dyDescent="0.25">
      <c r="M20" t="s">
        <v>896</v>
      </c>
      <c r="N20">
        <v>20</v>
      </c>
      <c r="O20" t="str">
        <f t="shared" si="1"/>
        <v>#### 20</v>
      </c>
    </row>
    <row r="21" spans="13:15" x14ac:dyDescent="0.25">
      <c r="M21" t="s">
        <v>896</v>
      </c>
      <c r="N21">
        <v>21</v>
      </c>
      <c r="O21" t="str">
        <f t="shared" si="1"/>
        <v>#### 21</v>
      </c>
    </row>
    <row r="22" spans="13:15" x14ac:dyDescent="0.25">
      <c r="M22" t="s">
        <v>896</v>
      </c>
      <c r="N22">
        <v>22</v>
      </c>
      <c r="O22" t="str">
        <f t="shared" si="1"/>
        <v>#### 22</v>
      </c>
    </row>
    <row r="23" spans="13:15" x14ac:dyDescent="0.25">
      <c r="M23" t="s">
        <v>896</v>
      </c>
      <c r="N23">
        <v>23</v>
      </c>
      <c r="O23" t="str">
        <f t="shared" si="1"/>
        <v>#### 23</v>
      </c>
    </row>
    <row r="24" spans="13:15" x14ac:dyDescent="0.25">
      <c r="M24" t="s">
        <v>896</v>
      </c>
      <c r="N24">
        <v>24</v>
      </c>
      <c r="O24" t="str">
        <f t="shared" si="1"/>
        <v>#### 24</v>
      </c>
    </row>
    <row r="25" spans="13:15" x14ac:dyDescent="0.25">
      <c r="M25" t="s">
        <v>896</v>
      </c>
      <c r="N25">
        <v>25</v>
      </c>
      <c r="O25" t="str">
        <f t="shared" si="1"/>
        <v>#### 25</v>
      </c>
    </row>
    <row r="26" spans="13:15" x14ac:dyDescent="0.25">
      <c r="M26" t="s">
        <v>896</v>
      </c>
      <c r="N26">
        <v>26</v>
      </c>
      <c r="O26" t="str">
        <f t="shared" si="1"/>
        <v>#### 26</v>
      </c>
    </row>
    <row r="27" spans="13:15" x14ac:dyDescent="0.25">
      <c r="M27" t="s">
        <v>896</v>
      </c>
      <c r="N27">
        <v>27</v>
      </c>
      <c r="O27" t="str">
        <f>_xlfn.CONCAT(M27,N27)</f>
        <v>#### 27</v>
      </c>
    </row>
    <row r="28" spans="13:15" x14ac:dyDescent="0.25">
      <c r="M28" t="s">
        <v>896</v>
      </c>
      <c r="N28">
        <v>28</v>
      </c>
      <c r="O28" t="str">
        <f t="shared" ref="O28:O34" si="2">_xlfn.CONCAT(M28,N28)</f>
        <v>#### 28</v>
      </c>
    </row>
    <row r="29" spans="13:15" x14ac:dyDescent="0.25">
      <c r="M29" t="s">
        <v>896</v>
      </c>
      <c r="N29">
        <v>29</v>
      </c>
      <c r="O29" t="str">
        <f t="shared" si="2"/>
        <v>#### 29</v>
      </c>
    </row>
    <row r="30" spans="13:15" x14ac:dyDescent="0.25">
      <c r="M30" t="s">
        <v>896</v>
      </c>
      <c r="N30">
        <v>30</v>
      </c>
      <c r="O30" t="str">
        <f t="shared" si="2"/>
        <v>#### 30</v>
      </c>
    </row>
    <row r="31" spans="13:15" x14ac:dyDescent="0.25">
      <c r="M31" t="s">
        <v>896</v>
      </c>
      <c r="N31">
        <v>31</v>
      </c>
      <c r="O31" t="str">
        <f t="shared" si="2"/>
        <v>#### 31</v>
      </c>
    </row>
    <row r="32" spans="13:15" x14ac:dyDescent="0.25">
      <c r="M32" t="s">
        <v>896</v>
      </c>
      <c r="N32">
        <v>32</v>
      </c>
      <c r="O32" t="str">
        <f t="shared" si="2"/>
        <v>#### 32</v>
      </c>
    </row>
    <row r="33" spans="13:15" x14ac:dyDescent="0.25">
      <c r="M33" t="s">
        <v>896</v>
      </c>
      <c r="N33">
        <v>33</v>
      </c>
      <c r="O33" t="str">
        <f t="shared" si="2"/>
        <v>#### 33</v>
      </c>
    </row>
    <row r="34" spans="13:15" x14ac:dyDescent="0.25">
      <c r="M34" t="s">
        <v>896</v>
      </c>
      <c r="N34">
        <v>34</v>
      </c>
      <c r="O34" t="str">
        <f t="shared" si="2"/>
        <v>#### 34</v>
      </c>
    </row>
    <row r="35" spans="13:15" x14ac:dyDescent="0.25">
      <c r="M35" t="s">
        <v>896</v>
      </c>
      <c r="N35">
        <v>35</v>
      </c>
      <c r="O35" t="str">
        <f t="shared" ref="O35:O62" si="3">_xlfn.CONCAT(M35,N35)</f>
        <v>#### 35</v>
      </c>
    </row>
    <row r="36" spans="13:15" x14ac:dyDescent="0.25">
      <c r="M36" t="s">
        <v>896</v>
      </c>
      <c r="N36">
        <v>36</v>
      </c>
      <c r="O36" t="str">
        <f t="shared" si="3"/>
        <v>#### 36</v>
      </c>
    </row>
    <row r="37" spans="13:15" x14ac:dyDescent="0.25">
      <c r="M37" t="s">
        <v>896</v>
      </c>
      <c r="N37">
        <v>37</v>
      </c>
      <c r="O37" t="str">
        <f t="shared" si="3"/>
        <v>#### 37</v>
      </c>
    </row>
    <row r="38" spans="13:15" x14ac:dyDescent="0.25">
      <c r="M38" t="s">
        <v>896</v>
      </c>
      <c r="N38">
        <v>38</v>
      </c>
      <c r="O38" t="str">
        <f t="shared" si="3"/>
        <v>#### 38</v>
      </c>
    </row>
    <row r="39" spans="13:15" x14ac:dyDescent="0.25">
      <c r="M39" t="s">
        <v>896</v>
      </c>
      <c r="N39">
        <v>39</v>
      </c>
      <c r="O39" t="str">
        <f t="shared" si="3"/>
        <v>#### 39</v>
      </c>
    </row>
    <row r="40" spans="13:15" x14ac:dyDescent="0.25">
      <c r="M40" t="s">
        <v>896</v>
      </c>
      <c r="N40">
        <v>40</v>
      </c>
      <c r="O40" t="str">
        <f t="shared" si="3"/>
        <v>#### 40</v>
      </c>
    </row>
    <row r="41" spans="13:15" x14ac:dyDescent="0.25">
      <c r="M41" t="s">
        <v>896</v>
      </c>
      <c r="N41">
        <v>41</v>
      </c>
      <c r="O41" t="str">
        <f t="shared" si="3"/>
        <v>#### 41</v>
      </c>
    </row>
    <row r="42" spans="13:15" x14ac:dyDescent="0.25">
      <c r="M42" t="s">
        <v>896</v>
      </c>
      <c r="N42">
        <v>42</v>
      </c>
      <c r="O42" t="str">
        <f t="shared" si="3"/>
        <v>#### 42</v>
      </c>
    </row>
    <row r="43" spans="13:15" x14ac:dyDescent="0.25">
      <c r="M43" t="s">
        <v>896</v>
      </c>
      <c r="N43">
        <v>43</v>
      </c>
      <c r="O43" t="str">
        <f t="shared" si="3"/>
        <v>#### 43</v>
      </c>
    </row>
    <row r="44" spans="13:15" x14ac:dyDescent="0.25">
      <c r="M44" t="s">
        <v>896</v>
      </c>
      <c r="N44">
        <v>44</v>
      </c>
      <c r="O44" t="str">
        <f t="shared" si="3"/>
        <v>#### 44</v>
      </c>
    </row>
    <row r="45" spans="13:15" x14ac:dyDescent="0.25">
      <c r="M45" t="s">
        <v>896</v>
      </c>
      <c r="N45">
        <v>45</v>
      </c>
      <c r="O45" t="str">
        <f t="shared" si="3"/>
        <v>#### 45</v>
      </c>
    </row>
    <row r="46" spans="13:15" x14ac:dyDescent="0.25">
      <c r="M46" t="s">
        <v>896</v>
      </c>
      <c r="N46">
        <v>46</v>
      </c>
      <c r="O46" t="str">
        <f t="shared" si="3"/>
        <v>#### 46</v>
      </c>
    </row>
    <row r="47" spans="13:15" x14ac:dyDescent="0.25">
      <c r="M47" t="s">
        <v>896</v>
      </c>
      <c r="N47">
        <v>47</v>
      </c>
      <c r="O47" t="str">
        <f t="shared" si="3"/>
        <v>#### 47</v>
      </c>
    </row>
    <row r="48" spans="13:15" x14ac:dyDescent="0.25">
      <c r="M48" t="s">
        <v>896</v>
      </c>
      <c r="N48">
        <v>48</v>
      </c>
      <c r="O48" t="str">
        <f t="shared" si="3"/>
        <v>#### 48</v>
      </c>
    </row>
    <row r="49" spans="13:15" x14ac:dyDescent="0.25">
      <c r="M49" t="s">
        <v>896</v>
      </c>
      <c r="N49">
        <v>49</v>
      </c>
      <c r="O49" t="str">
        <f t="shared" si="3"/>
        <v>#### 49</v>
      </c>
    </row>
    <row r="50" spans="13:15" x14ac:dyDescent="0.25">
      <c r="M50" t="s">
        <v>896</v>
      </c>
      <c r="N50">
        <v>50</v>
      </c>
      <c r="O50" t="str">
        <f t="shared" si="3"/>
        <v>#### 50</v>
      </c>
    </row>
    <row r="51" spans="13:15" x14ac:dyDescent="0.25">
      <c r="M51" t="s">
        <v>896</v>
      </c>
      <c r="N51">
        <v>51</v>
      </c>
      <c r="O51" t="str">
        <f t="shared" si="3"/>
        <v>#### 51</v>
      </c>
    </row>
    <row r="52" spans="13:15" x14ac:dyDescent="0.25">
      <c r="M52" t="s">
        <v>896</v>
      </c>
      <c r="N52">
        <v>52</v>
      </c>
      <c r="O52" t="str">
        <f t="shared" si="3"/>
        <v>#### 52</v>
      </c>
    </row>
    <row r="53" spans="13:15" x14ac:dyDescent="0.25">
      <c r="M53" t="s">
        <v>896</v>
      </c>
      <c r="N53">
        <v>53</v>
      </c>
      <c r="O53" t="str">
        <f t="shared" si="3"/>
        <v>#### 53</v>
      </c>
    </row>
    <row r="54" spans="13:15" x14ac:dyDescent="0.25">
      <c r="M54" t="s">
        <v>896</v>
      </c>
      <c r="N54">
        <v>54</v>
      </c>
      <c r="O54" t="str">
        <f t="shared" si="3"/>
        <v>#### 54</v>
      </c>
    </row>
    <row r="55" spans="13:15" x14ac:dyDescent="0.25">
      <c r="M55" t="s">
        <v>896</v>
      </c>
      <c r="N55">
        <v>55</v>
      </c>
      <c r="O55" t="str">
        <f t="shared" si="3"/>
        <v>#### 55</v>
      </c>
    </row>
    <row r="56" spans="13:15" x14ac:dyDescent="0.25">
      <c r="M56" t="s">
        <v>896</v>
      </c>
      <c r="N56">
        <v>56</v>
      </c>
      <c r="O56" t="str">
        <f t="shared" si="3"/>
        <v>#### 56</v>
      </c>
    </row>
    <row r="57" spans="13:15" x14ac:dyDescent="0.25">
      <c r="M57" t="s">
        <v>896</v>
      </c>
      <c r="N57">
        <v>57</v>
      </c>
      <c r="O57" t="str">
        <f t="shared" si="3"/>
        <v>#### 57</v>
      </c>
    </row>
    <row r="58" spans="13:15" x14ac:dyDescent="0.25">
      <c r="M58" t="s">
        <v>896</v>
      </c>
      <c r="N58">
        <v>58</v>
      </c>
      <c r="O58" t="str">
        <f t="shared" si="3"/>
        <v>#### 58</v>
      </c>
    </row>
    <row r="59" spans="13:15" x14ac:dyDescent="0.25">
      <c r="M59" t="s">
        <v>896</v>
      </c>
      <c r="N59">
        <v>59</v>
      </c>
      <c r="O59" t="str">
        <f t="shared" si="3"/>
        <v>#### 59</v>
      </c>
    </row>
    <row r="60" spans="13:15" x14ac:dyDescent="0.25">
      <c r="M60" t="s">
        <v>896</v>
      </c>
      <c r="N60">
        <v>60</v>
      </c>
      <c r="O60" t="str">
        <f t="shared" si="3"/>
        <v>#### 60</v>
      </c>
    </row>
    <row r="61" spans="13:15" x14ac:dyDescent="0.25">
      <c r="M61" t="s">
        <v>896</v>
      </c>
      <c r="N61">
        <v>61</v>
      </c>
      <c r="O61" t="str">
        <f t="shared" si="3"/>
        <v>#### 61</v>
      </c>
    </row>
    <row r="62" spans="13:15" x14ac:dyDescent="0.25">
      <c r="M62" t="s">
        <v>896</v>
      </c>
      <c r="N62">
        <v>62</v>
      </c>
      <c r="O62" t="str">
        <f t="shared" si="3"/>
        <v>#### 62</v>
      </c>
    </row>
    <row r="63" spans="13:15" x14ac:dyDescent="0.25">
      <c r="M63" t="s">
        <v>896</v>
      </c>
      <c r="N63">
        <v>63</v>
      </c>
      <c r="O63" t="str">
        <f t="shared" ref="O63:O126" si="4">_xlfn.CONCAT(M63,N63)</f>
        <v>#### 63</v>
      </c>
    </row>
    <row r="64" spans="13:15" x14ac:dyDescent="0.25">
      <c r="M64" t="s">
        <v>896</v>
      </c>
      <c r="N64">
        <v>64</v>
      </c>
      <c r="O64" t="str">
        <f t="shared" si="4"/>
        <v>#### 64</v>
      </c>
    </row>
    <row r="65" spans="13:15" x14ac:dyDescent="0.25">
      <c r="M65" t="s">
        <v>896</v>
      </c>
      <c r="N65">
        <v>65</v>
      </c>
      <c r="O65" t="str">
        <f t="shared" si="4"/>
        <v>#### 65</v>
      </c>
    </row>
    <row r="66" spans="13:15" x14ac:dyDescent="0.25">
      <c r="M66" t="s">
        <v>896</v>
      </c>
      <c r="N66">
        <v>66</v>
      </c>
      <c r="O66" t="str">
        <f t="shared" si="4"/>
        <v>#### 66</v>
      </c>
    </row>
    <row r="67" spans="13:15" x14ac:dyDescent="0.25">
      <c r="M67" t="s">
        <v>896</v>
      </c>
      <c r="N67">
        <v>67</v>
      </c>
      <c r="O67" t="str">
        <f t="shared" si="4"/>
        <v>#### 67</v>
      </c>
    </row>
    <row r="68" spans="13:15" x14ac:dyDescent="0.25">
      <c r="M68" t="s">
        <v>896</v>
      </c>
      <c r="N68">
        <v>68</v>
      </c>
      <c r="O68" t="str">
        <f t="shared" si="4"/>
        <v>#### 68</v>
      </c>
    </row>
    <row r="69" spans="13:15" x14ac:dyDescent="0.25">
      <c r="M69" t="s">
        <v>896</v>
      </c>
      <c r="N69">
        <v>69</v>
      </c>
      <c r="O69" t="str">
        <f t="shared" si="4"/>
        <v>#### 69</v>
      </c>
    </row>
    <row r="70" spans="13:15" x14ac:dyDescent="0.25">
      <c r="M70" t="s">
        <v>896</v>
      </c>
      <c r="N70">
        <v>70</v>
      </c>
      <c r="O70" t="str">
        <f t="shared" si="4"/>
        <v>#### 70</v>
      </c>
    </row>
    <row r="71" spans="13:15" x14ac:dyDescent="0.25">
      <c r="M71" t="s">
        <v>896</v>
      </c>
      <c r="N71">
        <v>71</v>
      </c>
      <c r="O71" t="str">
        <f t="shared" si="4"/>
        <v>#### 71</v>
      </c>
    </row>
    <row r="72" spans="13:15" x14ac:dyDescent="0.25">
      <c r="M72" t="s">
        <v>896</v>
      </c>
      <c r="N72">
        <v>72</v>
      </c>
      <c r="O72" t="str">
        <f t="shared" si="4"/>
        <v>#### 72</v>
      </c>
    </row>
    <row r="73" spans="13:15" x14ac:dyDescent="0.25">
      <c r="M73" t="s">
        <v>896</v>
      </c>
      <c r="N73">
        <v>73</v>
      </c>
      <c r="O73" t="str">
        <f t="shared" si="4"/>
        <v>#### 73</v>
      </c>
    </row>
    <row r="74" spans="13:15" x14ac:dyDescent="0.25">
      <c r="M74" t="s">
        <v>896</v>
      </c>
      <c r="N74">
        <v>74</v>
      </c>
      <c r="O74" t="str">
        <f t="shared" si="4"/>
        <v>#### 74</v>
      </c>
    </row>
    <row r="75" spans="13:15" x14ac:dyDescent="0.25">
      <c r="M75" t="s">
        <v>896</v>
      </c>
      <c r="N75">
        <v>75</v>
      </c>
      <c r="O75" t="str">
        <f t="shared" si="4"/>
        <v>#### 75</v>
      </c>
    </row>
    <row r="76" spans="13:15" x14ac:dyDescent="0.25">
      <c r="M76" t="s">
        <v>896</v>
      </c>
      <c r="N76">
        <v>76</v>
      </c>
      <c r="O76" t="str">
        <f t="shared" si="4"/>
        <v>#### 76</v>
      </c>
    </row>
    <row r="77" spans="13:15" x14ac:dyDescent="0.25">
      <c r="M77" t="s">
        <v>896</v>
      </c>
      <c r="N77">
        <v>77</v>
      </c>
      <c r="O77" t="str">
        <f t="shared" si="4"/>
        <v>#### 77</v>
      </c>
    </row>
    <row r="78" spans="13:15" x14ac:dyDescent="0.25">
      <c r="M78" t="s">
        <v>896</v>
      </c>
      <c r="N78">
        <v>78</v>
      </c>
      <c r="O78" t="str">
        <f t="shared" si="4"/>
        <v>#### 78</v>
      </c>
    </row>
    <row r="79" spans="13:15" x14ac:dyDescent="0.25">
      <c r="M79" t="s">
        <v>896</v>
      </c>
      <c r="N79">
        <v>79</v>
      </c>
      <c r="O79" t="str">
        <f t="shared" si="4"/>
        <v>#### 79</v>
      </c>
    </row>
    <row r="80" spans="13:15" x14ac:dyDescent="0.25">
      <c r="M80" t="s">
        <v>896</v>
      </c>
      <c r="N80">
        <v>80</v>
      </c>
      <c r="O80" t="str">
        <f t="shared" si="4"/>
        <v>#### 80</v>
      </c>
    </row>
    <row r="81" spans="13:15" x14ac:dyDescent="0.25">
      <c r="M81" t="s">
        <v>896</v>
      </c>
      <c r="N81">
        <v>81</v>
      </c>
      <c r="O81" t="str">
        <f t="shared" si="4"/>
        <v>#### 81</v>
      </c>
    </row>
    <row r="82" spans="13:15" x14ac:dyDescent="0.25">
      <c r="M82" t="s">
        <v>896</v>
      </c>
      <c r="N82">
        <v>82</v>
      </c>
      <c r="O82" t="str">
        <f t="shared" si="4"/>
        <v>#### 82</v>
      </c>
    </row>
    <row r="83" spans="13:15" x14ac:dyDescent="0.25">
      <c r="M83" t="s">
        <v>896</v>
      </c>
      <c r="N83">
        <v>83</v>
      </c>
      <c r="O83" t="str">
        <f t="shared" si="4"/>
        <v>#### 83</v>
      </c>
    </row>
    <row r="84" spans="13:15" x14ac:dyDescent="0.25">
      <c r="M84" t="s">
        <v>896</v>
      </c>
      <c r="N84">
        <v>84</v>
      </c>
      <c r="O84" t="str">
        <f t="shared" si="4"/>
        <v>#### 84</v>
      </c>
    </row>
    <row r="85" spans="13:15" x14ac:dyDescent="0.25">
      <c r="M85" t="s">
        <v>896</v>
      </c>
      <c r="N85">
        <v>85</v>
      </c>
      <c r="O85" t="str">
        <f t="shared" si="4"/>
        <v>#### 85</v>
      </c>
    </row>
    <row r="86" spans="13:15" x14ac:dyDescent="0.25">
      <c r="M86" t="s">
        <v>896</v>
      </c>
      <c r="N86">
        <v>86</v>
      </c>
      <c r="O86" t="str">
        <f t="shared" si="4"/>
        <v>#### 86</v>
      </c>
    </row>
    <row r="87" spans="13:15" x14ac:dyDescent="0.25">
      <c r="M87" t="s">
        <v>896</v>
      </c>
      <c r="N87">
        <v>87</v>
      </c>
      <c r="O87" t="str">
        <f t="shared" si="4"/>
        <v>#### 87</v>
      </c>
    </row>
    <row r="88" spans="13:15" x14ac:dyDescent="0.25">
      <c r="M88" t="s">
        <v>896</v>
      </c>
      <c r="N88">
        <v>88</v>
      </c>
      <c r="O88" t="str">
        <f t="shared" si="4"/>
        <v>#### 88</v>
      </c>
    </row>
    <row r="89" spans="13:15" x14ac:dyDescent="0.25">
      <c r="M89" t="s">
        <v>896</v>
      </c>
      <c r="N89">
        <v>89</v>
      </c>
      <c r="O89" t="str">
        <f t="shared" si="4"/>
        <v>#### 89</v>
      </c>
    </row>
    <row r="90" spans="13:15" x14ac:dyDescent="0.25">
      <c r="M90" t="s">
        <v>896</v>
      </c>
      <c r="N90">
        <v>90</v>
      </c>
      <c r="O90" t="str">
        <f t="shared" si="4"/>
        <v>#### 90</v>
      </c>
    </row>
    <row r="91" spans="13:15" x14ac:dyDescent="0.25">
      <c r="M91" t="s">
        <v>896</v>
      </c>
      <c r="N91">
        <v>91</v>
      </c>
      <c r="O91" t="str">
        <f t="shared" si="4"/>
        <v>#### 91</v>
      </c>
    </row>
    <row r="92" spans="13:15" x14ac:dyDescent="0.25">
      <c r="M92" t="s">
        <v>896</v>
      </c>
      <c r="N92">
        <v>92</v>
      </c>
      <c r="O92" t="str">
        <f t="shared" si="4"/>
        <v>#### 92</v>
      </c>
    </row>
    <row r="93" spans="13:15" x14ac:dyDescent="0.25">
      <c r="M93" t="s">
        <v>896</v>
      </c>
      <c r="N93">
        <v>93</v>
      </c>
      <c r="O93" t="str">
        <f t="shared" si="4"/>
        <v>#### 93</v>
      </c>
    </row>
    <row r="94" spans="13:15" x14ac:dyDescent="0.25">
      <c r="M94" t="s">
        <v>896</v>
      </c>
      <c r="N94">
        <v>94</v>
      </c>
      <c r="O94" t="str">
        <f t="shared" si="4"/>
        <v>#### 94</v>
      </c>
    </row>
    <row r="95" spans="13:15" x14ac:dyDescent="0.25">
      <c r="M95" t="s">
        <v>896</v>
      </c>
      <c r="N95">
        <v>95</v>
      </c>
      <c r="O95" t="str">
        <f t="shared" si="4"/>
        <v>#### 95</v>
      </c>
    </row>
    <row r="96" spans="13:15" x14ac:dyDescent="0.25">
      <c r="M96" t="s">
        <v>896</v>
      </c>
      <c r="N96">
        <v>96</v>
      </c>
      <c r="O96" t="str">
        <f t="shared" si="4"/>
        <v>#### 96</v>
      </c>
    </row>
    <row r="97" spans="13:15" x14ac:dyDescent="0.25">
      <c r="M97" t="s">
        <v>896</v>
      </c>
      <c r="N97">
        <v>97</v>
      </c>
      <c r="O97" t="str">
        <f t="shared" si="4"/>
        <v>#### 97</v>
      </c>
    </row>
    <row r="98" spans="13:15" x14ac:dyDescent="0.25">
      <c r="M98" t="s">
        <v>896</v>
      </c>
      <c r="N98">
        <v>98</v>
      </c>
      <c r="O98" t="str">
        <f t="shared" si="4"/>
        <v>#### 98</v>
      </c>
    </row>
    <row r="99" spans="13:15" x14ac:dyDescent="0.25">
      <c r="M99" t="s">
        <v>896</v>
      </c>
      <c r="N99">
        <v>99</v>
      </c>
      <c r="O99" t="str">
        <f t="shared" si="4"/>
        <v>#### 99</v>
      </c>
    </row>
    <row r="100" spans="13:15" x14ac:dyDescent="0.25">
      <c r="M100" t="s">
        <v>896</v>
      </c>
      <c r="N100">
        <v>100</v>
      </c>
      <c r="O100" t="str">
        <f t="shared" si="4"/>
        <v>#### 100</v>
      </c>
    </row>
    <row r="101" spans="13:15" x14ac:dyDescent="0.25">
      <c r="M101" t="s">
        <v>896</v>
      </c>
      <c r="N101">
        <v>101</v>
      </c>
      <c r="O101" t="str">
        <f t="shared" si="4"/>
        <v>#### 101</v>
      </c>
    </row>
    <row r="102" spans="13:15" x14ac:dyDescent="0.25">
      <c r="M102" t="s">
        <v>896</v>
      </c>
      <c r="N102">
        <v>102</v>
      </c>
      <c r="O102" t="str">
        <f t="shared" si="4"/>
        <v>#### 102</v>
      </c>
    </row>
    <row r="103" spans="13:15" x14ac:dyDescent="0.25">
      <c r="M103" t="s">
        <v>896</v>
      </c>
      <c r="N103">
        <v>103</v>
      </c>
      <c r="O103" t="str">
        <f t="shared" si="4"/>
        <v>#### 103</v>
      </c>
    </row>
    <row r="104" spans="13:15" x14ac:dyDescent="0.25">
      <c r="M104" t="s">
        <v>896</v>
      </c>
      <c r="N104">
        <v>104</v>
      </c>
      <c r="O104" t="str">
        <f t="shared" si="4"/>
        <v>#### 104</v>
      </c>
    </row>
    <row r="105" spans="13:15" x14ac:dyDescent="0.25">
      <c r="M105" t="s">
        <v>896</v>
      </c>
      <c r="N105">
        <v>105</v>
      </c>
      <c r="O105" t="str">
        <f t="shared" si="4"/>
        <v>#### 105</v>
      </c>
    </row>
    <row r="106" spans="13:15" x14ac:dyDescent="0.25">
      <c r="M106" t="s">
        <v>896</v>
      </c>
      <c r="N106">
        <v>106</v>
      </c>
      <c r="O106" t="str">
        <f t="shared" si="4"/>
        <v>#### 106</v>
      </c>
    </row>
    <row r="107" spans="13:15" x14ac:dyDescent="0.25">
      <c r="M107" t="s">
        <v>896</v>
      </c>
      <c r="N107">
        <v>107</v>
      </c>
      <c r="O107" t="str">
        <f t="shared" si="4"/>
        <v>#### 107</v>
      </c>
    </row>
    <row r="108" spans="13:15" x14ac:dyDescent="0.25">
      <c r="M108" t="s">
        <v>896</v>
      </c>
      <c r="N108">
        <v>108</v>
      </c>
      <c r="O108" t="str">
        <f t="shared" si="4"/>
        <v>#### 108</v>
      </c>
    </row>
    <row r="109" spans="13:15" x14ac:dyDescent="0.25">
      <c r="M109" t="s">
        <v>896</v>
      </c>
      <c r="N109">
        <v>109</v>
      </c>
      <c r="O109" t="str">
        <f t="shared" si="4"/>
        <v>#### 109</v>
      </c>
    </row>
    <row r="110" spans="13:15" x14ac:dyDescent="0.25">
      <c r="M110" t="s">
        <v>896</v>
      </c>
      <c r="N110">
        <v>110</v>
      </c>
      <c r="O110" t="str">
        <f t="shared" si="4"/>
        <v>#### 110</v>
      </c>
    </row>
    <row r="111" spans="13:15" x14ac:dyDescent="0.25">
      <c r="M111" t="s">
        <v>896</v>
      </c>
      <c r="N111">
        <v>111</v>
      </c>
      <c r="O111" t="str">
        <f t="shared" si="4"/>
        <v>#### 111</v>
      </c>
    </row>
    <row r="112" spans="13:15" x14ac:dyDescent="0.25">
      <c r="M112" t="s">
        <v>896</v>
      </c>
      <c r="N112">
        <v>112</v>
      </c>
      <c r="O112" t="str">
        <f t="shared" si="4"/>
        <v>#### 112</v>
      </c>
    </row>
    <row r="113" spans="13:15" x14ac:dyDescent="0.25">
      <c r="M113" t="s">
        <v>896</v>
      </c>
      <c r="N113">
        <v>113</v>
      </c>
      <c r="O113" t="str">
        <f t="shared" si="4"/>
        <v>#### 113</v>
      </c>
    </row>
    <row r="114" spans="13:15" x14ac:dyDescent="0.25">
      <c r="M114" t="s">
        <v>896</v>
      </c>
      <c r="N114">
        <v>114</v>
      </c>
      <c r="O114" t="str">
        <f t="shared" si="4"/>
        <v>#### 114</v>
      </c>
    </row>
    <row r="115" spans="13:15" x14ac:dyDescent="0.25">
      <c r="M115" t="s">
        <v>896</v>
      </c>
      <c r="N115">
        <v>115</v>
      </c>
      <c r="O115" t="str">
        <f t="shared" si="4"/>
        <v>#### 115</v>
      </c>
    </row>
    <row r="116" spans="13:15" x14ac:dyDescent="0.25">
      <c r="M116" t="s">
        <v>896</v>
      </c>
      <c r="N116">
        <v>116</v>
      </c>
      <c r="O116" t="str">
        <f t="shared" si="4"/>
        <v>#### 116</v>
      </c>
    </row>
    <row r="117" spans="13:15" x14ac:dyDescent="0.25">
      <c r="M117" t="s">
        <v>896</v>
      </c>
      <c r="N117">
        <v>117</v>
      </c>
      <c r="O117" t="str">
        <f t="shared" si="4"/>
        <v>#### 117</v>
      </c>
    </row>
    <row r="118" spans="13:15" x14ac:dyDescent="0.25">
      <c r="M118" t="s">
        <v>896</v>
      </c>
      <c r="N118">
        <v>118</v>
      </c>
      <c r="O118" t="str">
        <f t="shared" si="4"/>
        <v>#### 118</v>
      </c>
    </row>
    <row r="119" spans="13:15" x14ac:dyDescent="0.25">
      <c r="M119" t="s">
        <v>896</v>
      </c>
      <c r="N119">
        <v>119</v>
      </c>
      <c r="O119" t="str">
        <f t="shared" si="4"/>
        <v>#### 119</v>
      </c>
    </row>
    <row r="120" spans="13:15" x14ac:dyDescent="0.25">
      <c r="M120" t="s">
        <v>896</v>
      </c>
      <c r="N120">
        <v>120</v>
      </c>
      <c r="O120" t="str">
        <f t="shared" si="4"/>
        <v>#### 120</v>
      </c>
    </row>
    <row r="121" spans="13:15" x14ac:dyDescent="0.25">
      <c r="M121" t="s">
        <v>896</v>
      </c>
      <c r="N121">
        <v>121</v>
      </c>
      <c r="O121" t="str">
        <f t="shared" si="4"/>
        <v>#### 121</v>
      </c>
    </row>
    <row r="122" spans="13:15" x14ac:dyDescent="0.25">
      <c r="M122" t="s">
        <v>896</v>
      </c>
      <c r="N122">
        <v>122</v>
      </c>
      <c r="O122" t="str">
        <f t="shared" si="4"/>
        <v>#### 122</v>
      </c>
    </row>
    <row r="123" spans="13:15" x14ac:dyDescent="0.25">
      <c r="M123" t="s">
        <v>896</v>
      </c>
      <c r="N123">
        <v>123</v>
      </c>
      <c r="O123" t="str">
        <f t="shared" si="4"/>
        <v>#### 123</v>
      </c>
    </row>
    <row r="124" spans="13:15" x14ac:dyDescent="0.25">
      <c r="M124" t="s">
        <v>896</v>
      </c>
      <c r="N124">
        <v>124</v>
      </c>
      <c r="O124" t="str">
        <f t="shared" si="4"/>
        <v>#### 124</v>
      </c>
    </row>
    <row r="125" spans="13:15" x14ac:dyDescent="0.25">
      <c r="M125" t="s">
        <v>896</v>
      </c>
      <c r="N125">
        <v>125</v>
      </c>
      <c r="O125" t="str">
        <f t="shared" si="4"/>
        <v>#### 125</v>
      </c>
    </row>
    <row r="126" spans="13:15" x14ac:dyDescent="0.25">
      <c r="M126" t="s">
        <v>896</v>
      </c>
      <c r="N126">
        <v>126</v>
      </c>
      <c r="O126" t="str">
        <f t="shared" si="4"/>
        <v>#### 126</v>
      </c>
    </row>
    <row r="127" spans="13:15" x14ac:dyDescent="0.25">
      <c r="M127" t="s">
        <v>896</v>
      </c>
      <c r="N127">
        <v>127</v>
      </c>
      <c r="O127" t="str">
        <f t="shared" ref="O127:O150" si="5">_xlfn.CONCAT(M127,N127)</f>
        <v>#### 127</v>
      </c>
    </row>
    <row r="128" spans="13:15" x14ac:dyDescent="0.25">
      <c r="M128" t="s">
        <v>896</v>
      </c>
      <c r="N128">
        <v>128</v>
      </c>
      <c r="O128" t="str">
        <f t="shared" si="5"/>
        <v>#### 128</v>
      </c>
    </row>
    <row r="129" spans="13:15" x14ac:dyDescent="0.25">
      <c r="M129" t="s">
        <v>896</v>
      </c>
      <c r="N129">
        <v>129</v>
      </c>
      <c r="O129" t="str">
        <f t="shared" si="5"/>
        <v>#### 129</v>
      </c>
    </row>
    <row r="130" spans="13:15" x14ac:dyDescent="0.25">
      <c r="M130" t="s">
        <v>896</v>
      </c>
      <c r="N130">
        <v>130</v>
      </c>
      <c r="O130" t="str">
        <f t="shared" si="5"/>
        <v>#### 130</v>
      </c>
    </row>
    <row r="131" spans="13:15" x14ac:dyDescent="0.25">
      <c r="M131" t="s">
        <v>896</v>
      </c>
      <c r="N131">
        <v>131</v>
      </c>
      <c r="O131" t="str">
        <f t="shared" si="5"/>
        <v>#### 131</v>
      </c>
    </row>
    <row r="132" spans="13:15" x14ac:dyDescent="0.25">
      <c r="M132" t="s">
        <v>896</v>
      </c>
      <c r="N132">
        <v>132</v>
      </c>
      <c r="O132" t="str">
        <f t="shared" si="5"/>
        <v>#### 132</v>
      </c>
    </row>
    <row r="133" spans="13:15" x14ac:dyDescent="0.25">
      <c r="M133" t="s">
        <v>896</v>
      </c>
      <c r="N133">
        <v>133</v>
      </c>
      <c r="O133" t="str">
        <f t="shared" si="5"/>
        <v>#### 133</v>
      </c>
    </row>
    <row r="134" spans="13:15" x14ac:dyDescent="0.25">
      <c r="M134" t="s">
        <v>896</v>
      </c>
      <c r="N134">
        <v>134</v>
      </c>
      <c r="O134" t="str">
        <f t="shared" si="5"/>
        <v>#### 134</v>
      </c>
    </row>
    <row r="135" spans="13:15" x14ac:dyDescent="0.25">
      <c r="M135" t="s">
        <v>896</v>
      </c>
      <c r="N135">
        <v>135</v>
      </c>
      <c r="O135" t="str">
        <f t="shared" si="5"/>
        <v>#### 135</v>
      </c>
    </row>
    <row r="136" spans="13:15" x14ac:dyDescent="0.25">
      <c r="M136" t="s">
        <v>896</v>
      </c>
      <c r="N136">
        <v>136</v>
      </c>
      <c r="O136" t="str">
        <f t="shared" si="5"/>
        <v>#### 136</v>
      </c>
    </row>
    <row r="137" spans="13:15" x14ac:dyDescent="0.25">
      <c r="M137" t="s">
        <v>896</v>
      </c>
      <c r="N137">
        <v>137</v>
      </c>
      <c r="O137" t="str">
        <f t="shared" si="5"/>
        <v>#### 137</v>
      </c>
    </row>
    <row r="138" spans="13:15" x14ac:dyDescent="0.25">
      <c r="M138" t="s">
        <v>896</v>
      </c>
      <c r="N138">
        <v>138</v>
      </c>
      <c r="O138" t="str">
        <f t="shared" si="5"/>
        <v>#### 138</v>
      </c>
    </row>
    <row r="139" spans="13:15" x14ac:dyDescent="0.25">
      <c r="M139" t="s">
        <v>896</v>
      </c>
      <c r="N139">
        <v>139</v>
      </c>
      <c r="O139" t="str">
        <f t="shared" si="5"/>
        <v>#### 139</v>
      </c>
    </row>
    <row r="140" spans="13:15" x14ac:dyDescent="0.25">
      <c r="M140" t="s">
        <v>896</v>
      </c>
      <c r="N140">
        <v>140</v>
      </c>
      <c r="O140" t="str">
        <f t="shared" si="5"/>
        <v>#### 140</v>
      </c>
    </row>
    <row r="141" spans="13:15" x14ac:dyDescent="0.25">
      <c r="M141" t="s">
        <v>896</v>
      </c>
      <c r="N141">
        <v>141</v>
      </c>
      <c r="O141" t="str">
        <f t="shared" si="5"/>
        <v>#### 141</v>
      </c>
    </row>
    <row r="142" spans="13:15" x14ac:dyDescent="0.25">
      <c r="M142" t="s">
        <v>896</v>
      </c>
      <c r="N142">
        <v>142</v>
      </c>
      <c r="O142" t="str">
        <f t="shared" si="5"/>
        <v>#### 142</v>
      </c>
    </row>
    <row r="143" spans="13:15" x14ac:dyDescent="0.25">
      <c r="M143" t="s">
        <v>896</v>
      </c>
      <c r="N143">
        <v>143</v>
      </c>
      <c r="O143" t="str">
        <f t="shared" si="5"/>
        <v>#### 143</v>
      </c>
    </row>
    <row r="144" spans="13:15" x14ac:dyDescent="0.25">
      <c r="M144" t="s">
        <v>896</v>
      </c>
      <c r="N144">
        <v>144</v>
      </c>
      <c r="O144" t="str">
        <f t="shared" si="5"/>
        <v>#### 144</v>
      </c>
    </row>
    <row r="145" spans="13:15" x14ac:dyDescent="0.25">
      <c r="M145" t="s">
        <v>896</v>
      </c>
      <c r="N145">
        <v>145</v>
      </c>
      <c r="O145" t="str">
        <f t="shared" si="5"/>
        <v>#### 145</v>
      </c>
    </row>
    <row r="146" spans="13:15" x14ac:dyDescent="0.25">
      <c r="M146" t="s">
        <v>896</v>
      </c>
      <c r="N146">
        <v>146</v>
      </c>
      <c r="O146" t="str">
        <f t="shared" si="5"/>
        <v>#### 146</v>
      </c>
    </row>
    <row r="147" spans="13:15" x14ac:dyDescent="0.25">
      <c r="M147" t="s">
        <v>896</v>
      </c>
      <c r="N147">
        <v>147</v>
      </c>
      <c r="O147" t="str">
        <f t="shared" si="5"/>
        <v>#### 147</v>
      </c>
    </row>
    <row r="148" spans="13:15" x14ac:dyDescent="0.25">
      <c r="M148" t="s">
        <v>896</v>
      </c>
      <c r="N148">
        <v>148</v>
      </c>
      <c r="O148" t="str">
        <f t="shared" si="5"/>
        <v>#### 148</v>
      </c>
    </row>
    <row r="149" spans="13:15" x14ac:dyDescent="0.25">
      <c r="M149" t="s">
        <v>896</v>
      </c>
      <c r="N149">
        <v>149</v>
      </c>
      <c r="O149" t="str">
        <f t="shared" si="5"/>
        <v>#### 149</v>
      </c>
    </row>
    <row r="150" spans="13:15" x14ac:dyDescent="0.25">
      <c r="M150" t="s">
        <v>896</v>
      </c>
      <c r="N150">
        <v>150</v>
      </c>
      <c r="O150" t="str">
        <f t="shared" si="5"/>
        <v>#### 150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AB40-13F9-439A-B951-0E6F5B198C75}">
  <dimension ref="G1:P3500"/>
  <sheetViews>
    <sheetView workbookViewId="0">
      <selection activeCell="N3494" sqref="N3494"/>
    </sheetView>
  </sheetViews>
  <sheetFormatPr defaultRowHeight="15" x14ac:dyDescent="0.25"/>
  <cols>
    <col min="11" max="11" width="11.42578125" bestFit="1" customWidth="1"/>
    <col min="14" max="14" width="11.5703125" customWidth="1"/>
    <col min="16" max="16" width="16" customWidth="1"/>
  </cols>
  <sheetData>
    <row r="1" spans="7:16" x14ac:dyDescent="0.25">
      <c r="G1" t="s">
        <v>894</v>
      </c>
      <c r="H1">
        <v>1</v>
      </c>
      <c r="I1">
        <v>1</v>
      </c>
      <c r="N1" t="s">
        <v>895</v>
      </c>
      <c r="O1">
        <v>1</v>
      </c>
      <c r="P1" t="str">
        <f>_xlfn.CONCAT("[^ftn",O1,"]: ",)</f>
        <v xml:space="preserve">[^ftn1]: </v>
      </c>
    </row>
    <row r="2" spans="7:16" x14ac:dyDescent="0.25">
      <c r="G2" t="s">
        <v>894</v>
      </c>
      <c r="H2">
        <v>2</v>
      </c>
      <c r="I2">
        <v>2</v>
      </c>
      <c r="N2" t="s">
        <v>895</v>
      </c>
      <c r="O2">
        <v>2</v>
      </c>
      <c r="P2" t="str">
        <f t="shared" ref="P2:P65" si="0">_xlfn.CONCAT("[^ftn",O2,"]: ",)</f>
        <v xml:space="preserve">[^ftn2]: </v>
      </c>
    </row>
    <row r="3" spans="7:16" x14ac:dyDescent="0.25">
      <c r="G3" t="s">
        <v>894</v>
      </c>
      <c r="H3">
        <v>3</v>
      </c>
      <c r="I3">
        <v>3</v>
      </c>
      <c r="N3" t="s">
        <v>895</v>
      </c>
      <c r="O3">
        <v>3</v>
      </c>
      <c r="P3" t="str">
        <f t="shared" si="0"/>
        <v xml:space="preserve">[^ftn3]: </v>
      </c>
    </row>
    <row r="4" spans="7:16" x14ac:dyDescent="0.25">
      <c r="G4" t="s">
        <v>894</v>
      </c>
      <c r="H4">
        <v>4</v>
      </c>
      <c r="I4">
        <v>4</v>
      </c>
      <c r="N4" t="s">
        <v>895</v>
      </c>
      <c r="O4">
        <v>4</v>
      </c>
      <c r="P4" t="str">
        <f t="shared" si="0"/>
        <v xml:space="preserve">[^ftn4]: </v>
      </c>
    </row>
    <row r="5" spans="7:16" x14ac:dyDescent="0.25">
      <c r="G5" t="s">
        <v>894</v>
      </c>
      <c r="H5">
        <v>5</v>
      </c>
      <c r="I5">
        <v>5</v>
      </c>
      <c r="N5" t="s">
        <v>895</v>
      </c>
      <c r="O5">
        <v>5</v>
      </c>
      <c r="P5" t="str">
        <f t="shared" si="0"/>
        <v xml:space="preserve">[^ftn5]: </v>
      </c>
    </row>
    <row r="6" spans="7:16" x14ac:dyDescent="0.25">
      <c r="G6" t="s">
        <v>894</v>
      </c>
      <c r="H6">
        <v>6</v>
      </c>
      <c r="I6">
        <v>6</v>
      </c>
      <c r="N6" t="s">
        <v>895</v>
      </c>
      <c r="O6">
        <v>6</v>
      </c>
      <c r="P6" t="str">
        <f t="shared" si="0"/>
        <v xml:space="preserve">[^ftn6]: </v>
      </c>
    </row>
    <row r="7" spans="7:16" x14ac:dyDescent="0.25">
      <c r="G7" t="s">
        <v>894</v>
      </c>
      <c r="H7">
        <v>7</v>
      </c>
      <c r="I7">
        <v>7</v>
      </c>
      <c r="N7" t="s">
        <v>895</v>
      </c>
      <c r="O7">
        <v>7</v>
      </c>
      <c r="P7" t="str">
        <f t="shared" si="0"/>
        <v xml:space="preserve">[^ftn7]: </v>
      </c>
    </row>
    <row r="8" spans="7:16" x14ac:dyDescent="0.25">
      <c r="G8" t="s">
        <v>894</v>
      </c>
      <c r="H8">
        <v>8</v>
      </c>
      <c r="I8">
        <v>8</v>
      </c>
      <c r="N8" t="s">
        <v>895</v>
      </c>
      <c r="O8">
        <v>8</v>
      </c>
      <c r="P8" t="str">
        <f t="shared" si="0"/>
        <v xml:space="preserve">[^ftn8]: </v>
      </c>
    </row>
    <row r="9" spans="7:16" x14ac:dyDescent="0.25">
      <c r="G9" t="s">
        <v>894</v>
      </c>
      <c r="H9">
        <v>9</v>
      </c>
      <c r="I9">
        <v>9</v>
      </c>
      <c r="N9" t="s">
        <v>895</v>
      </c>
      <c r="O9">
        <v>9</v>
      </c>
      <c r="P9" t="str">
        <f t="shared" si="0"/>
        <v xml:space="preserve">[^ftn9]: </v>
      </c>
    </row>
    <row r="10" spans="7:16" x14ac:dyDescent="0.25">
      <c r="G10" t="s">
        <v>894</v>
      </c>
      <c r="H10">
        <v>10</v>
      </c>
      <c r="I10">
        <v>10</v>
      </c>
      <c r="N10" t="s">
        <v>895</v>
      </c>
      <c r="O10">
        <v>10</v>
      </c>
      <c r="P10" t="str">
        <f t="shared" si="0"/>
        <v xml:space="preserve">[^ftn10]: </v>
      </c>
    </row>
    <row r="11" spans="7:16" x14ac:dyDescent="0.25">
      <c r="G11" t="s">
        <v>894</v>
      </c>
      <c r="H11">
        <v>11</v>
      </c>
      <c r="I11">
        <v>11</v>
      </c>
      <c r="N11" t="s">
        <v>895</v>
      </c>
      <c r="O11">
        <v>11</v>
      </c>
      <c r="P11" t="str">
        <f t="shared" si="0"/>
        <v xml:space="preserve">[^ftn11]: </v>
      </c>
    </row>
    <row r="12" spans="7:16" x14ac:dyDescent="0.25">
      <c r="G12" t="s">
        <v>894</v>
      </c>
      <c r="H12">
        <v>12</v>
      </c>
      <c r="I12">
        <v>12</v>
      </c>
      <c r="N12" t="s">
        <v>895</v>
      </c>
      <c r="O12">
        <v>12</v>
      </c>
      <c r="P12" t="str">
        <f t="shared" si="0"/>
        <v xml:space="preserve">[^ftn12]: </v>
      </c>
    </row>
    <row r="13" spans="7:16" x14ac:dyDescent="0.25">
      <c r="G13" t="s">
        <v>894</v>
      </c>
      <c r="H13">
        <v>13</v>
      </c>
      <c r="I13">
        <v>13</v>
      </c>
      <c r="N13" t="s">
        <v>895</v>
      </c>
      <c r="O13">
        <v>13</v>
      </c>
      <c r="P13" t="str">
        <f t="shared" si="0"/>
        <v xml:space="preserve">[^ftn13]: </v>
      </c>
    </row>
    <row r="14" spans="7:16" x14ac:dyDescent="0.25">
      <c r="G14" t="s">
        <v>894</v>
      </c>
      <c r="H14">
        <v>14</v>
      </c>
      <c r="I14">
        <v>14</v>
      </c>
      <c r="N14" t="s">
        <v>895</v>
      </c>
      <c r="O14">
        <v>14</v>
      </c>
      <c r="P14" t="str">
        <f t="shared" si="0"/>
        <v xml:space="preserve">[^ftn14]: </v>
      </c>
    </row>
    <row r="15" spans="7:16" x14ac:dyDescent="0.25">
      <c r="G15" t="s">
        <v>894</v>
      </c>
      <c r="H15">
        <v>15</v>
      </c>
      <c r="I15">
        <v>15</v>
      </c>
      <c r="N15" t="s">
        <v>895</v>
      </c>
      <c r="O15">
        <v>15</v>
      </c>
      <c r="P15" t="str">
        <f t="shared" si="0"/>
        <v xml:space="preserve">[^ftn15]: </v>
      </c>
    </row>
    <row r="16" spans="7:16" x14ac:dyDescent="0.25">
      <c r="G16" t="s">
        <v>894</v>
      </c>
      <c r="H16">
        <v>16</v>
      </c>
      <c r="I16">
        <v>16</v>
      </c>
      <c r="N16" t="s">
        <v>895</v>
      </c>
      <c r="O16">
        <v>16</v>
      </c>
      <c r="P16" t="str">
        <f t="shared" si="0"/>
        <v xml:space="preserve">[^ftn16]: </v>
      </c>
    </row>
    <row r="17" spans="7:16" x14ac:dyDescent="0.25">
      <c r="G17" t="s">
        <v>894</v>
      </c>
      <c r="H17">
        <v>17</v>
      </c>
      <c r="I17">
        <v>17</v>
      </c>
      <c r="N17" t="s">
        <v>895</v>
      </c>
      <c r="O17">
        <v>17</v>
      </c>
      <c r="P17" t="str">
        <f t="shared" si="0"/>
        <v xml:space="preserve">[^ftn17]: </v>
      </c>
    </row>
    <row r="18" spans="7:16" x14ac:dyDescent="0.25">
      <c r="G18" t="s">
        <v>894</v>
      </c>
      <c r="H18">
        <v>18</v>
      </c>
      <c r="I18">
        <v>18</v>
      </c>
      <c r="N18" t="s">
        <v>895</v>
      </c>
      <c r="O18">
        <v>18</v>
      </c>
      <c r="P18" t="str">
        <f t="shared" si="0"/>
        <v xml:space="preserve">[^ftn18]: </v>
      </c>
    </row>
    <row r="19" spans="7:16" x14ac:dyDescent="0.25">
      <c r="G19" t="s">
        <v>894</v>
      </c>
      <c r="H19">
        <v>19</v>
      </c>
      <c r="I19">
        <v>19</v>
      </c>
      <c r="N19" t="s">
        <v>895</v>
      </c>
      <c r="O19">
        <v>19</v>
      </c>
      <c r="P19" t="str">
        <f t="shared" si="0"/>
        <v xml:space="preserve">[^ftn19]: </v>
      </c>
    </row>
    <row r="20" spans="7:16" x14ac:dyDescent="0.25">
      <c r="G20" t="s">
        <v>894</v>
      </c>
      <c r="H20">
        <v>20</v>
      </c>
      <c r="I20">
        <v>20</v>
      </c>
      <c r="N20" t="s">
        <v>895</v>
      </c>
      <c r="O20">
        <v>20</v>
      </c>
      <c r="P20" t="str">
        <f t="shared" si="0"/>
        <v xml:space="preserve">[^ftn20]: </v>
      </c>
    </row>
    <row r="21" spans="7:16" x14ac:dyDescent="0.25">
      <c r="G21" t="s">
        <v>894</v>
      </c>
      <c r="H21">
        <v>21</v>
      </c>
      <c r="I21">
        <v>21</v>
      </c>
      <c r="N21" t="s">
        <v>895</v>
      </c>
      <c r="O21">
        <v>21</v>
      </c>
      <c r="P21" t="str">
        <f t="shared" si="0"/>
        <v xml:space="preserve">[^ftn21]: </v>
      </c>
    </row>
    <row r="22" spans="7:16" x14ac:dyDescent="0.25">
      <c r="G22" t="s">
        <v>894</v>
      </c>
      <c r="H22">
        <v>22</v>
      </c>
      <c r="I22">
        <v>22</v>
      </c>
      <c r="N22" t="s">
        <v>895</v>
      </c>
      <c r="O22">
        <v>22</v>
      </c>
      <c r="P22" t="str">
        <f t="shared" si="0"/>
        <v xml:space="preserve">[^ftn22]: </v>
      </c>
    </row>
    <row r="23" spans="7:16" x14ac:dyDescent="0.25">
      <c r="G23" t="s">
        <v>894</v>
      </c>
      <c r="H23">
        <v>23</v>
      </c>
      <c r="I23">
        <v>23</v>
      </c>
      <c r="N23" t="s">
        <v>895</v>
      </c>
      <c r="O23">
        <v>23</v>
      </c>
      <c r="P23" t="str">
        <f t="shared" si="0"/>
        <v xml:space="preserve">[^ftn23]: </v>
      </c>
    </row>
    <row r="24" spans="7:16" x14ac:dyDescent="0.25">
      <c r="G24" t="s">
        <v>894</v>
      </c>
      <c r="H24">
        <v>24</v>
      </c>
      <c r="I24">
        <v>24</v>
      </c>
      <c r="N24" t="s">
        <v>895</v>
      </c>
      <c r="O24">
        <v>24</v>
      </c>
      <c r="P24" t="str">
        <f t="shared" si="0"/>
        <v xml:space="preserve">[^ftn24]: </v>
      </c>
    </row>
    <row r="25" spans="7:16" x14ac:dyDescent="0.25">
      <c r="G25" t="s">
        <v>894</v>
      </c>
      <c r="H25">
        <v>25</v>
      </c>
      <c r="I25">
        <v>25</v>
      </c>
      <c r="N25" t="s">
        <v>895</v>
      </c>
      <c r="O25">
        <v>25</v>
      </c>
      <c r="P25" t="str">
        <f t="shared" si="0"/>
        <v xml:space="preserve">[^ftn25]: </v>
      </c>
    </row>
    <row r="26" spans="7:16" x14ac:dyDescent="0.25">
      <c r="G26" t="s">
        <v>894</v>
      </c>
      <c r="H26">
        <v>26</v>
      </c>
      <c r="I26">
        <v>26</v>
      </c>
      <c r="N26" t="s">
        <v>895</v>
      </c>
      <c r="O26">
        <v>26</v>
      </c>
      <c r="P26" t="str">
        <f t="shared" si="0"/>
        <v xml:space="preserve">[^ftn26]: </v>
      </c>
    </row>
    <row r="27" spans="7:16" x14ac:dyDescent="0.25">
      <c r="G27" t="s">
        <v>894</v>
      </c>
      <c r="H27">
        <v>27</v>
      </c>
      <c r="I27">
        <v>27</v>
      </c>
      <c r="N27" t="s">
        <v>895</v>
      </c>
      <c r="O27">
        <v>27</v>
      </c>
      <c r="P27" t="str">
        <f t="shared" si="0"/>
        <v xml:space="preserve">[^ftn27]: </v>
      </c>
    </row>
    <row r="28" spans="7:16" x14ac:dyDescent="0.25">
      <c r="G28" t="s">
        <v>894</v>
      </c>
      <c r="H28">
        <v>28</v>
      </c>
      <c r="I28">
        <v>28</v>
      </c>
      <c r="N28" t="s">
        <v>895</v>
      </c>
      <c r="O28">
        <v>28</v>
      </c>
      <c r="P28" t="str">
        <f t="shared" si="0"/>
        <v xml:space="preserve">[^ftn28]: </v>
      </c>
    </row>
    <row r="29" spans="7:16" x14ac:dyDescent="0.25">
      <c r="G29" t="s">
        <v>894</v>
      </c>
      <c r="H29">
        <v>29</v>
      </c>
      <c r="I29">
        <v>29</v>
      </c>
      <c r="N29" t="s">
        <v>895</v>
      </c>
      <c r="O29">
        <v>29</v>
      </c>
      <c r="P29" t="str">
        <f t="shared" si="0"/>
        <v xml:space="preserve">[^ftn29]: </v>
      </c>
    </row>
    <row r="30" spans="7:16" x14ac:dyDescent="0.25">
      <c r="G30" t="s">
        <v>894</v>
      </c>
      <c r="H30">
        <v>30</v>
      </c>
      <c r="I30">
        <v>30</v>
      </c>
      <c r="N30" t="s">
        <v>895</v>
      </c>
      <c r="O30">
        <v>30</v>
      </c>
      <c r="P30" t="str">
        <f t="shared" si="0"/>
        <v xml:space="preserve">[^ftn30]: </v>
      </c>
    </row>
    <row r="31" spans="7:16" x14ac:dyDescent="0.25">
      <c r="G31" t="s">
        <v>894</v>
      </c>
      <c r="H31">
        <v>31</v>
      </c>
      <c r="I31">
        <v>31</v>
      </c>
      <c r="N31" t="s">
        <v>895</v>
      </c>
      <c r="O31">
        <v>31</v>
      </c>
      <c r="P31" t="str">
        <f t="shared" si="0"/>
        <v xml:space="preserve">[^ftn31]: </v>
      </c>
    </row>
    <row r="32" spans="7:16" x14ac:dyDescent="0.25">
      <c r="G32" t="s">
        <v>894</v>
      </c>
      <c r="H32">
        <v>32</v>
      </c>
      <c r="I32">
        <v>32</v>
      </c>
      <c r="N32" t="s">
        <v>895</v>
      </c>
      <c r="O32">
        <v>32</v>
      </c>
      <c r="P32" t="str">
        <f t="shared" si="0"/>
        <v xml:space="preserve">[^ftn32]: </v>
      </c>
    </row>
    <row r="33" spans="7:16" x14ac:dyDescent="0.25">
      <c r="G33" t="s">
        <v>894</v>
      </c>
      <c r="H33">
        <v>33</v>
      </c>
      <c r="I33">
        <v>33</v>
      </c>
      <c r="N33" t="s">
        <v>895</v>
      </c>
      <c r="O33">
        <v>33</v>
      </c>
      <c r="P33" t="str">
        <f t="shared" si="0"/>
        <v xml:space="preserve">[^ftn33]: </v>
      </c>
    </row>
    <row r="34" spans="7:16" x14ac:dyDescent="0.25">
      <c r="G34" t="s">
        <v>894</v>
      </c>
      <c r="H34">
        <v>34</v>
      </c>
      <c r="I34">
        <v>34</v>
      </c>
      <c r="N34" t="s">
        <v>895</v>
      </c>
      <c r="O34">
        <v>34</v>
      </c>
      <c r="P34" t="str">
        <f t="shared" si="0"/>
        <v xml:space="preserve">[^ftn34]: </v>
      </c>
    </row>
    <row r="35" spans="7:16" x14ac:dyDescent="0.25">
      <c r="G35" t="s">
        <v>894</v>
      </c>
      <c r="H35">
        <v>35</v>
      </c>
      <c r="I35">
        <v>35</v>
      </c>
      <c r="N35" t="s">
        <v>895</v>
      </c>
      <c r="O35">
        <v>35</v>
      </c>
      <c r="P35" t="str">
        <f t="shared" si="0"/>
        <v xml:space="preserve">[^ftn35]: </v>
      </c>
    </row>
    <row r="36" spans="7:16" x14ac:dyDescent="0.25">
      <c r="G36" t="s">
        <v>894</v>
      </c>
      <c r="H36">
        <v>36</v>
      </c>
      <c r="I36">
        <v>36</v>
      </c>
      <c r="N36" t="s">
        <v>895</v>
      </c>
      <c r="O36">
        <v>36</v>
      </c>
      <c r="P36" t="str">
        <f t="shared" si="0"/>
        <v xml:space="preserve">[^ftn36]: </v>
      </c>
    </row>
    <row r="37" spans="7:16" x14ac:dyDescent="0.25">
      <c r="G37" t="s">
        <v>894</v>
      </c>
      <c r="H37">
        <v>37</v>
      </c>
      <c r="I37">
        <v>37</v>
      </c>
      <c r="N37" t="s">
        <v>895</v>
      </c>
      <c r="O37">
        <v>37</v>
      </c>
      <c r="P37" t="str">
        <f t="shared" si="0"/>
        <v xml:space="preserve">[^ftn37]: </v>
      </c>
    </row>
    <row r="38" spans="7:16" x14ac:dyDescent="0.25">
      <c r="G38" t="s">
        <v>894</v>
      </c>
      <c r="H38">
        <v>38</v>
      </c>
      <c r="I38">
        <v>38</v>
      </c>
      <c r="N38" t="s">
        <v>895</v>
      </c>
      <c r="O38">
        <v>38</v>
      </c>
      <c r="P38" t="str">
        <f t="shared" si="0"/>
        <v xml:space="preserve">[^ftn38]: </v>
      </c>
    </row>
    <row r="39" spans="7:16" x14ac:dyDescent="0.25">
      <c r="G39" t="s">
        <v>894</v>
      </c>
      <c r="H39">
        <v>39</v>
      </c>
      <c r="I39">
        <v>39</v>
      </c>
      <c r="N39" t="s">
        <v>895</v>
      </c>
      <c r="O39">
        <v>39</v>
      </c>
      <c r="P39" t="str">
        <f t="shared" si="0"/>
        <v xml:space="preserve">[^ftn39]: </v>
      </c>
    </row>
    <row r="40" spans="7:16" x14ac:dyDescent="0.25">
      <c r="G40" t="s">
        <v>894</v>
      </c>
      <c r="H40">
        <v>40</v>
      </c>
      <c r="I40">
        <v>40</v>
      </c>
      <c r="N40" t="s">
        <v>895</v>
      </c>
      <c r="O40">
        <v>40</v>
      </c>
      <c r="P40" t="str">
        <f t="shared" si="0"/>
        <v xml:space="preserve">[^ftn40]: </v>
      </c>
    </row>
    <row r="41" spans="7:16" x14ac:dyDescent="0.25">
      <c r="G41" t="s">
        <v>894</v>
      </c>
      <c r="H41">
        <v>41</v>
      </c>
      <c r="I41">
        <v>41</v>
      </c>
      <c r="N41" t="s">
        <v>895</v>
      </c>
      <c r="O41">
        <v>41</v>
      </c>
      <c r="P41" t="str">
        <f t="shared" si="0"/>
        <v xml:space="preserve">[^ftn41]: </v>
      </c>
    </row>
    <row r="42" spans="7:16" x14ac:dyDescent="0.25">
      <c r="G42" t="s">
        <v>894</v>
      </c>
      <c r="H42">
        <v>42</v>
      </c>
      <c r="I42">
        <v>42</v>
      </c>
      <c r="N42" t="s">
        <v>895</v>
      </c>
      <c r="O42">
        <v>42</v>
      </c>
      <c r="P42" t="str">
        <f t="shared" si="0"/>
        <v xml:space="preserve">[^ftn42]: </v>
      </c>
    </row>
    <row r="43" spans="7:16" x14ac:dyDescent="0.25">
      <c r="G43" t="s">
        <v>894</v>
      </c>
      <c r="H43">
        <v>43</v>
      </c>
      <c r="I43">
        <v>43</v>
      </c>
      <c r="N43" t="s">
        <v>895</v>
      </c>
      <c r="O43">
        <v>43</v>
      </c>
      <c r="P43" t="str">
        <f t="shared" si="0"/>
        <v xml:space="preserve">[^ftn43]: </v>
      </c>
    </row>
    <row r="44" spans="7:16" x14ac:dyDescent="0.25">
      <c r="G44" t="s">
        <v>894</v>
      </c>
      <c r="H44">
        <v>44</v>
      </c>
      <c r="I44">
        <v>44</v>
      </c>
      <c r="N44" t="s">
        <v>895</v>
      </c>
      <c r="O44">
        <v>44</v>
      </c>
      <c r="P44" t="str">
        <f t="shared" si="0"/>
        <v xml:space="preserve">[^ftn44]: </v>
      </c>
    </row>
    <row r="45" spans="7:16" x14ac:dyDescent="0.25">
      <c r="G45" t="s">
        <v>894</v>
      </c>
      <c r="H45">
        <v>45</v>
      </c>
      <c r="I45">
        <v>45</v>
      </c>
      <c r="N45" t="s">
        <v>895</v>
      </c>
      <c r="O45">
        <v>45</v>
      </c>
      <c r="P45" t="str">
        <f t="shared" si="0"/>
        <v xml:space="preserve">[^ftn45]: </v>
      </c>
    </row>
    <row r="46" spans="7:16" x14ac:dyDescent="0.25">
      <c r="G46" t="s">
        <v>894</v>
      </c>
      <c r="H46">
        <v>46</v>
      </c>
      <c r="I46">
        <v>46</v>
      </c>
      <c r="N46" t="s">
        <v>895</v>
      </c>
      <c r="O46">
        <v>46</v>
      </c>
      <c r="P46" t="str">
        <f t="shared" si="0"/>
        <v xml:space="preserve">[^ftn46]: </v>
      </c>
    </row>
    <row r="47" spans="7:16" x14ac:dyDescent="0.25">
      <c r="G47" t="s">
        <v>894</v>
      </c>
      <c r="H47">
        <v>47</v>
      </c>
      <c r="I47">
        <v>47</v>
      </c>
      <c r="N47" t="s">
        <v>895</v>
      </c>
      <c r="O47">
        <v>47</v>
      </c>
      <c r="P47" t="str">
        <f t="shared" si="0"/>
        <v xml:space="preserve">[^ftn47]: </v>
      </c>
    </row>
    <row r="48" spans="7:16" x14ac:dyDescent="0.25">
      <c r="G48" t="s">
        <v>894</v>
      </c>
      <c r="H48">
        <v>48</v>
      </c>
      <c r="I48">
        <v>48</v>
      </c>
      <c r="N48" t="s">
        <v>895</v>
      </c>
      <c r="O48">
        <v>48</v>
      </c>
      <c r="P48" t="str">
        <f t="shared" si="0"/>
        <v xml:space="preserve">[^ftn48]: </v>
      </c>
    </row>
    <row r="49" spans="7:16" x14ac:dyDescent="0.25">
      <c r="G49" t="s">
        <v>894</v>
      </c>
      <c r="H49">
        <v>49</v>
      </c>
      <c r="I49">
        <v>49</v>
      </c>
      <c r="N49" t="s">
        <v>895</v>
      </c>
      <c r="O49">
        <v>49</v>
      </c>
      <c r="P49" t="str">
        <f t="shared" si="0"/>
        <v xml:space="preserve">[^ftn49]: </v>
      </c>
    </row>
    <row r="50" spans="7:16" x14ac:dyDescent="0.25">
      <c r="G50" t="s">
        <v>894</v>
      </c>
      <c r="H50">
        <v>50</v>
      </c>
      <c r="I50">
        <v>50</v>
      </c>
      <c r="N50" t="s">
        <v>895</v>
      </c>
      <c r="O50">
        <v>50</v>
      </c>
      <c r="P50" t="str">
        <f t="shared" si="0"/>
        <v xml:space="preserve">[^ftn50]: </v>
      </c>
    </row>
    <row r="51" spans="7:16" x14ac:dyDescent="0.25">
      <c r="G51" t="s">
        <v>894</v>
      </c>
      <c r="H51">
        <v>51</v>
      </c>
      <c r="I51">
        <v>51</v>
      </c>
      <c r="N51" t="s">
        <v>895</v>
      </c>
      <c r="O51">
        <v>51</v>
      </c>
      <c r="P51" t="str">
        <f t="shared" si="0"/>
        <v xml:space="preserve">[^ftn51]: </v>
      </c>
    </row>
    <row r="52" spans="7:16" x14ac:dyDescent="0.25">
      <c r="G52" t="s">
        <v>894</v>
      </c>
      <c r="H52">
        <v>52</v>
      </c>
      <c r="I52">
        <v>52</v>
      </c>
      <c r="N52" t="s">
        <v>895</v>
      </c>
      <c r="O52">
        <v>52</v>
      </c>
      <c r="P52" t="str">
        <f t="shared" si="0"/>
        <v xml:space="preserve">[^ftn52]: </v>
      </c>
    </row>
    <row r="53" spans="7:16" x14ac:dyDescent="0.25">
      <c r="G53" t="s">
        <v>894</v>
      </c>
      <c r="H53">
        <v>53</v>
      </c>
      <c r="I53">
        <v>53</v>
      </c>
      <c r="N53" t="s">
        <v>895</v>
      </c>
      <c r="O53">
        <v>53</v>
      </c>
      <c r="P53" t="str">
        <f t="shared" si="0"/>
        <v xml:space="preserve">[^ftn53]: </v>
      </c>
    </row>
    <row r="54" spans="7:16" x14ac:dyDescent="0.25">
      <c r="G54" t="s">
        <v>894</v>
      </c>
      <c r="H54">
        <v>54</v>
      </c>
      <c r="I54">
        <v>54</v>
      </c>
      <c r="N54" t="s">
        <v>895</v>
      </c>
      <c r="O54">
        <v>54</v>
      </c>
      <c r="P54" t="str">
        <f t="shared" si="0"/>
        <v xml:space="preserve">[^ftn54]: </v>
      </c>
    </row>
    <row r="55" spans="7:16" x14ac:dyDescent="0.25">
      <c r="G55" t="s">
        <v>894</v>
      </c>
      <c r="H55">
        <v>55</v>
      </c>
      <c r="I55">
        <v>55</v>
      </c>
      <c r="N55" t="s">
        <v>895</v>
      </c>
      <c r="O55">
        <v>55</v>
      </c>
      <c r="P55" t="str">
        <f t="shared" si="0"/>
        <v xml:space="preserve">[^ftn55]: </v>
      </c>
    </row>
    <row r="56" spans="7:16" x14ac:dyDescent="0.25">
      <c r="G56" t="s">
        <v>894</v>
      </c>
      <c r="H56">
        <v>56</v>
      </c>
      <c r="I56">
        <v>56</v>
      </c>
      <c r="N56" t="s">
        <v>895</v>
      </c>
      <c r="O56">
        <v>56</v>
      </c>
      <c r="P56" t="str">
        <f t="shared" si="0"/>
        <v xml:space="preserve">[^ftn56]: </v>
      </c>
    </row>
    <row r="57" spans="7:16" x14ac:dyDescent="0.25">
      <c r="G57" t="s">
        <v>894</v>
      </c>
      <c r="H57">
        <v>57</v>
      </c>
      <c r="I57">
        <v>57</v>
      </c>
      <c r="N57" t="s">
        <v>895</v>
      </c>
      <c r="O57">
        <v>57</v>
      </c>
      <c r="P57" t="str">
        <f t="shared" si="0"/>
        <v xml:space="preserve">[^ftn57]: </v>
      </c>
    </row>
    <row r="58" spans="7:16" x14ac:dyDescent="0.25">
      <c r="G58" t="s">
        <v>894</v>
      </c>
      <c r="H58">
        <v>58</v>
      </c>
      <c r="I58">
        <v>58</v>
      </c>
      <c r="N58" t="s">
        <v>895</v>
      </c>
      <c r="O58">
        <v>58</v>
      </c>
      <c r="P58" t="str">
        <f t="shared" si="0"/>
        <v xml:space="preserve">[^ftn58]: </v>
      </c>
    </row>
    <row r="59" spans="7:16" x14ac:dyDescent="0.25">
      <c r="G59" t="s">
        <v>894</v>
      </c>
      <c r="H59">
        <v>59</v>
      </c>
      <c r="I59">
        <v>59</v>
      </c>
      <c r="N59" t="s">
        <v>895</v>
      </c>
      <c r="O59">
        <v>59</v>
      </c>
      <c r="P59" t="str">
        <f t="shared" si="0"/>
        <v xml:space="preserve">[^ftn59]: </v>
      </c>
    </row>
    <row r="60" spans="7:16" x14ac:dyDescent="0.25">
      <c r="G60" t="s">
        <v>894</v>
      </c>
      <c r="H60">
        <v>60</v>
      </c>
      <c r="I60">
        <v>60</v>
      </c>
      <c r="N60" t="s">
        <v>895</v>
      </c>
      <c r="O60">
        <v>60</v>
      </c>
      <c r="P60" t="str">
        <f t="shared" si="0"/>
        <v xml:space="preserve">[^ftn60]: </v>
      </c>
    </row>
    <row r="61" spans="7:16" x14ac:dyDescent="0.25">
      <c r="G61" t="s">
        <v>894</v>
      </c>
      <c r="H61">
        <v>61</v>
      </c>
      <c r="I61">
        <v>61</v>
      </c>
      <c r="N61" t="s">
        <v>895</v>
      </c>
      <c r="O61">
        <v>61</v>
      </c>
      <c r="P61" t="str">
        <f t="shared" si="0"/>
        <v xml:space="preserve">[^ftn61]: </v>
      </c>
    </row>
    <row r="62" spans="7:16" x14ac:dyDescent="0.25">
      <c r="G62" t="s">
        <v>894</v>
      </c>
      <c r="H62">
        <v>62</v>
      </c>
      <c r="I62">
        <v>62</v>
      </c>
      <c r="N62" t="s">
        <v>895</v>
      </c>
      <c r="O62">
        <v>62</v>
      </c>
      <c r="P62" t="str">
        <f t="shared" si="0"/>
        <v xml:space="preserve">[^ftn62]: </v>
      </c>
    </row>
    <row r="63" spans="7:16" x14ac:dyDescent="0.25">
      <c r="G63" t="s">
        <v>894</v>
      </c>
      <c r="H63">
        <v>63</v>
      </c>
      <c r="I63">
        <v>63</v>
      </c>
      <c r="N63" t="s">
        <v>895</v>
      </c>
      <c r="O63">
        <v>63</v>
      </c>
      <c r="P63" t="str">
        <f t="shared" si="0"/>
        <v xml:space="preserve">[^ftn63]: </v>
      </c>
    </row>
    <row r="64" spans="7:16" x14ac:dyDescent="0.25">
      <c r="G64" t="s">
        <v>894</v>
      </c>
      <c r="H64">
        <v>64</v>
      </c>
      <c r="I64">
        <v>64</v>
      </c>
      <c r="N64" t="s">
        <v>895</v>
      </c>
      <c r="O64">
        <v>64</v>
      </c>
      <c r="P64" t="str">
        <f t="shared" si="0"/>
        <v xml:space="preserve">[^ftn64]: </v>
      </c>
    </row>
    <row r="65" spans="7:16" x14ac:dyDescent="0.25">
      <c r="G65" t="s">
        <v>894</v>
      </c>
      <c r="H65">
        <v>65</v>
      </c>
      <c r="I65">
        <v>65</v>
      </c>
      <c r="N65" t="s">
        <v>895</v>
      </c>
      <c r="O65">
        <v>65</v>
      </c>
      <c r="P65" t="str">
        <f t="shared" si="0"/>
        <v xml:space="preserve">[^ftn65]: </v>
      </c>
    </row>
    <row r="66" spans="7:16" x14ac:dyDescent="0.25">
      <c r="G66" t="s">
        <v>894</v>
      </c>
      <c r="H66">
        <v>66</v>
      </c>
      <c r="I66">
        <v>66</v>
      </c>
      <c r="N66" t="s">
        <v>895</v>
      </c>
      <c r="O66">
        <v>66</v>
      </c>
      <c r="P66" t="str">
        <f t="shared" ref="P66:P129" si="1">_xlfn.CONCAT("[^ftn",O66,"]: ",)</f>
        <v xml:space="preserve">[^ftn66]: </v>
      </c>
    </row>
    <row r="67" spans="7:16" x14ac:dyDescent="0.25">
      <c r="G67" t="s">
        <v>894</v>
      </c>
      <c r="H67">
        <v>67</v>
      </c>
      <c r="I67">
        <v>67</v>
      </c>
      <c r="N67" t="s">
        <v>895</v>
      </c>
      <c r="O67">
        <v>67</v>
      </c>
      <c r="P67" t="str">
        <f t="shared" si="1"/>
        <v xml:space="preserve">[^ftn67]: </v>
      </c>
    </row>
    <row r="68" spans="7:16" x14ac:dyDescent="0.25">
      <c r="G68" t="s">
        <v>894</v>
      </c>
      <c r="H68">
        <v>68</v>
      </c>
      <c r="I68">
        <v>68</v>
      </c>
      <c r="N68" t="s">
        <v>895</v>
      </c>
      <c r="O68">
        <v>68</v>
      </c>
      <c r="P68" t="str">
        <f t="shared" si="1"/>
        <v xml:space="preserve">[^ftn68]: </v>
      </c>
    </row>
    <row r="69" spans="7:16" x14ac:dyDescent="0.25">
      <c r="G69" t="s">
        <v>894</v>
      </c>
      <c r="H69">
        <v>69</v>
      </c>
      <c r="I69">
        <v>69</v>
      </c>
      <c r="N69" t="s">
        <v>895</v>
      </c>
      <c r="O69">
        <v>69</v>
      </c>
      <c r="P69" t="str">
        <f t="shared" si="1"/>
        <v xml:space="preserve">[^ftn69]: </v>
      </c>
    </row>
    <row r="70" spans="7:16" x14ac:dyDescent="0.25">
      <c r="G70" t="s">
        <v>894</v>
      </c>
      <c r="H70">
        <v>70</v>
      </c>
      <c r="I70">
        <v>70</v>
      </c>
      <c r="N70" t="s">
        <v>895</v>
      </c>
      <c r="O70">
        <v>70</v>
      </c>
      <c r="P70" t="str">
        <f t="shared" si="1"/>
        <v xml:space="preserve">[^ftn70]: </v>
      </c>
    </row>
    <row r="71" spans="7:16" x14ac:dyDescent="0.25">
      <c r="G71" t="s">
        <v>894</v>
      </c>
      <c r="H71">
        <v>71</v>
      </c>
      <c r="I71">
        <v>71</v>
      </c>
      <c r="N71" t="s">
        <v>895</v>
      </c>
      <c r="O71">
        <v>71</v>
      </c>
      <c r="P71" t="str">
        <f t="shared" si="1"/>
        <v xml:space="preserve">[^ftn71]: </v>
      </c>
    </row>
    <row r="72" spans="7:16" x14ac:dyDescent="0.25">
      <c r="G72" t="s">
        <v>894</v>
      </c>
      <c r="H72">
        <v>72</v>
      </c>
      <c r="I72">
        <v>72</v>
      </c>
      <c r="N72" t="s">
        <v>895</v>
      </c>
      <c r="O72">
        <v>72</v>
      </c>
      <c r="P72" t="str">
        <f t="shared" si="1"/>
        <v xml:space="preserve">[^ftn72]: </v>
      </c>
    </row>
    <row r="73" spans="7:16" x14ac:dyDescent="0.25">
      <c r="G73" t="s">
        <v>894</v>
      </c>
      <c r="H73">
        <v>73</v>
      </c>
      <c r="I73">
        <v>73</v>
      </c>
      <c r="N73" t="s">
        <v>895</v>
      </c>
      <c r="O73">
        <v>73</v>
      </c>
      <c r="P73" t="str">
        <f t="shared" si="1"/>
        <v xml:space="preserve">[^ftn73]: </v>
      </c>
    </row>
    <row r="74" spans="7:16" x14ac:dyDescent="0.25">
      <c r="G74" t="s">
        <v>894</v>
      </c>
      <c r="H74">
        <v>74</v>
      </c>
      <c r="I74">
        <v>74</v>
      </c>
      <c r="N74" t="s">
        <v>895</v>
      </c>
      <c r="O74">
        <v>74</v>
      </c>
      <c r="P74" t="str">
        <f t="shared" si="1"/>
        <v xml:space="preserve">[^ftn74]: </v>
      </c>
    </row>
    <row r="75" spans="7:16" x14ac:dyDescent="0.25">
      <c r="G75" t="s">
        <v>894</v>
      </c>
      <c r="H75">
        <v>75</v>
      </c>
      <c r="I75">
        <v>75</v>
      </c>
      <c r="N75" t="s">
        <v>895</v>
      </c>
      <c r="O75">
        <v>75</v>
      </c>
      <c r="P75" t="str">
        <f t="shared" si="1"/>
        <v xml:space="preserve">[^ftn75]: </v>
      </c>
    </row>
    <row r="76" spans="7:16" x14ac:dyDescent="0.25">
      <c r="G76" t="s">
        <v>894</v>
      </c>
      <c r="H76">
        <v>76</v>
      </c>
      <c r="I76">
        <v>76</v>
      </c>
      <c r="N76" t="s">
        <v>895</v>
      </c>
      <c r="O76">
        <v>76</v>
      </c>
      <c r="P76" t="str">
        <f t="shared" si="1"/>
        <v xml:space="preserve">[^ftn76]: </v>
      </c>
    </row>
    <row r="77" spans="7:16" x14ac:dyDescent="0.25">
      <c r="G77" t="s">
        <v>894</v>
      </c>
      <c r="H77">
        <v>77</v>
      </c>
      <c r="I77">
        <v>77</v>
      </c>
      <c r="N77" t="s">
        <v>895</v>
      </c>
      <c r="O77">
        <v>77</v>
      </c>
      <c r="P77" t="str">
        <f t="shared" si="1"/>
        <v xml:space="preserve">[^ftn77]: </v>
      </c>
    </row>
    <row r="78" spans="7:16" x14ac:dyDescent="0.25">
      <c r="G78" t="s">
        <v>894</v>
      </c>
      <c r="H78">
        <v>78</v>
      </c>
      <c r="I78">
        <v>78</v>
      </c>
      <c r="N78" t="s">
        <v>895</v>
      </c>
      <c r="O78">
        <v>78</v>
      </c>
      <c r="P78" t="str">
        <f t="shared" si="1"/>
        <v xml:space="preserve">[^ftn78]: </v>
      </c>
    </row>
    <row r="79" spans="7:16" x14ac:dyDescent="0.25">
      <c r="G79" t="s">
        <v>894</v>
      </c>
      <c r="H79">
        <v>79</v>
      </c>
      <c r="I79">
        <v>79</v>
      </c>
      <c r="N79" t="s">
        <v>895</v>
      </c>
      <c r="O79">
        <v>79</v>
      </c>
      <c r="P79" t="str">
        <f t="shared" si="1"/>
        <v xml:space="preserve">[^ftn79]: </v>
      </c>
    </row>
    <row r="80" spans="7:16" x14ac:dyDescent="0.25">
      <c r="G80" t="s">
        <v>894</v>
      </c>
      <c r="H80">
        <v>80</v>
      </c>
      <c r="I80">
        <v>80</v>
      </c>
      <c r="N80" t="s">
        <v>895</v>
      </c>
      <c r="O80">
        <v>80</v>
      </c>
      <c r="P80" t="str">
        <f t="shared" si="1"/>
        <v xml:space="preserve">[^ftn80]: </v>
      </c>
    </row>
    <row r="81" spans="7:16" x14ac:dyDescent="0.25">
      <c r="G81" t="s">
        <v>894</v>
      </c>
      <c r="H81">
        <v>81</v>
      </c>
      <c r="I81">
        <v>81</v>
      </c>
      <c r="N81" t="s">
        <v>895</v>
      </c>
      <c r="O81">
        <v>81</v>
      </c>
      <c r="P81" t="str">
        <f t="shared" si="1"/>
        <v xml:space="preserve">[^ftn81]: </v>
      </c>
    </row>
    <row r="82" spans="7:16" x14ac:dyDescent="0.25">
      <c r="G82" t="s">
        <v>894</v>
      </c>
      <c r="H82">
        <v>82</v>
      </c>
      <c r="I82">
        <v>82</v>
      </c>
      <c r="N82" t="s">
        <v>895</v>
      </c>
      <c r="O82">
        <v>82</v>
      </c>
      <c r="P82" t="str">
        <f t="shared" si="1"/>
        <v xml:space="preserve">[^ftn82]: </v>
      </c>
    </row>
    <row r="83" spans="7:16" x14ac:dyDescent="0.25">
      <c r="G83" t="s">
        <v>894</v>
      </c>
      <c r="H83">
        <v>83</v>
      </c>
      <c r="I83">
        <v>83</v>
      </c>
      <c r="N83" t="s">
        <v>895</v>
      </c>
      <c r="O83">
        <v>83</v>
      </c>
      <c r="P83" t="str">
        <f t="shared" si="1"/>
        <v xml:space="preserve">[^ftn83]: </v>
      </c>
    </row>
    <row r="84" spans="7:16" x14ac:dyDescent="0.25">
      <c r="G84" t="s">
        <v>894</v>
      </c>
      <c r="H84">
        <v>84</v>
      </c>
      <c r="I84">
        <v>84</v>
      </c>
      <c r="N84" t="s">
        <v>895</v>
      </c>
      <c r="O84">
        <v>84</v>
      </c>
      <c r="P84" t="str">
        <f t="shared" si="1"/>
        <v xml:space="preserve">[^ftn84]: </v>
      </c>
    </row>
    <row r="85" spans="7:16" x14ac:dyDescent="0.25">
      <c r="G85" t="s">
        <v>894</v>
      </c>
      <c r="H85">
        <v>85</v>
      </c>
      <c r="I85">
        <v>85</v>
      </c>
      <c r="N85" t="s">
        <v>895</v>
      </c>
      <c r="O85">
        <v>85</v>
      </c>
      <c r="P85" t="str">
        <f t="shared" si="1"/>
        <v xml:space="preserve">[^ftn85]: </v>
      </c>
    </row>
    <row r="86" spans="7:16" x14ac:dyDescent="0.25">
      <c r="G86" t="s">
        <v>894</v>
      </c>
      <c r="H86">
        <v>86</v>
      </c>
      <c r="I86">
        <v>86</v>
      </c>
      <c r="N86" t="s">
        <v>895</v>
      </c>
      <c r="O86">
        <v>86</v>
      </c>
      <c r="P86" t="str">
        <f t="shared" si="1"/>
        <v xml:space="preserve">[^ftn86]: </v>
      </c>
    </row>
    <row r="87" spans="7:16" x14ac:dyDescent="0.25">
      <c r="G87" t="s">
        <v>894</v>
      </c>
      <c r="H87">
        <v>87</v>
      </c>
      <c r="I87">
        <v>87</v>
      </c>
      <c r="N87" t="s">
        <v>895</v>
      </c>
      <c r="O87">
        <v>87</v>
      </c>
      <c r="P87" t="str">
        <f t="shared" si="1"/>
        <v xml:space="preserve">[^ftn87]: </v>
      </c>
    </row>
    <row r="88" spans="7:16" x14ac:dyDescent="0.25">
      <c r="G88" t="s">
        <v>894</v>
      </c>
      <c r="H88">
        <v>88</v>
      </c>
      <c r="I88">
        <v>88</v>
      </c>
      <c r="N88" t="s">
        <v>895</v>
      </c>
      <c r="O88">
        <v>88</v>
      </c>
      <c r="P88" t="str">
        <f t="shared" si="1"/>
        <v xml:space="preserve">[^ftn88]: </v>
      </c>
    </row>
    <row r="89" spans="7:16" x14ac:dyDescent="0.25">
      <c r="G89" t="s">
        <v>894</v>
      </c>
      <c r="H89">
        <v>89</v>
      </c>
      <c r="I89">
        <v>89</v>
      </c>
      <c r="N89" t="s">
        <v>895</v>
      </c>
      <c r="O89">
        <v>89</v>
      </c>
      <c r="P89" t="str">
        <f t="shared" si="1"/>
        <v xml:space="preserve">[^ftn89]: </v>
      </c>
    </row>
    <row r="90" spans="7:16" x14ac:dyDescent="0.25">
      <c r="G90" t="s">
        <v>894</v>
      </c>
      <c r="H90">
        <v>90</v>
      </c>
      <c r="I90">
        <v>90</v>
      </c>
      <c r="N90" t="s">
        <v>895</v>
      </c>
      <c r="O90">
        <v>90</v>
      </c>
      <c r="P90" t="str">
        <f t="shared" si="1"/>
        <v xml:space="preserve">[^ftn90]: </v>
      </c>
    </row>
    <row r="91" spans="7:16" x14ac:dyDescent="0.25">
      <c r="G91" t="s">
        <v>894</v>
      </c>
      <c r="H91">
        <v>91</v>
      </c>
      <c r="I91">
        <v>91</v>
      </c>
      <c r="N91" t="s">
        <v>895</v>
      </c>
      <c r="O91">
        <v>91</v>
      </c>
      <c r="P91" t="str">
        <f t="shared" si="1"/>
        <v xml:space="preserve">[^ftn91]: </v>
      </c>
    </row>
    <row r="92" spans="7:16" x14ac:dyDescent="0.25">
      <c r="G92" t="s">
        <v>894</v>
      </c>
      <c r="H92">
        <v>92</v>
      </c>
      <c r="I92">
        <v>92</v>
      </c>
      <c r="N92" t="s">
        <v>895</v>
      </c>
      <c r="O92">
        <v>92</v>
      </c>
      <c r="P92" t="str">
        <f t="shared" si="1"/>
        <v xml:space="preserve">[^ftn92]: </v>
      </c>
    </row>
    <row r="93" spans="7:16" x14ac:dyDescent="0.25">
      <c r="G93" t="s">
        <v>894</v>
      </c>
      <c r="H93">
        <v>93</v>
      </c>
      <c r="I93">
        <v>93</v>
      </c>
      <c r="N93" t="s">
        <v>895</v>
      </c>
      <c r="O93">
        <v>93</v>
      </c>
      <c r="P93" t="str">
        <f t="shared" si="1"/>
        <v xml:space="preserve">[^ftn93]: </v>
      </c>
    </row>
    <row r="94" spans="7:16" x14ac:dyDescent="0.25">
      <c r="G94" t="s">
        <v>894</v>
      </c>
      <c r="H94">
        <v>94</v>
      </c>
      <c r="I94">
        <v>94</v>
      </c>
      <c r="N94" t="s">
        <v>895</v>
      </c>
      <c r="O94">
        <v>94</v>
      </c>
      <c r="P94" t="str">
        <f t="shared" si="1"/>
        <v xml:space="preserve">[^ftn94]: </v>
      </c>
    </row>
    <row r="95" spans="7:16" x14ac:dyDescent="0.25">
      <c r="G95" t="s">
        <v>894</v>
      </c>
      <c r="H95">
        <v>95</v>
      </c>
      <c r="I95">
        <v>95</v>
      </c>
      <c r="N95" t="s">
        <v>895</v>
      </c>
      <c r="O95">
        <v>95</v>
      </c>
      <c r="P95" t="str">
        <f t="shared" si="1"/>
        <v xml:space="preserve">[^ftn95]: </v>
      </c>
    </row>
    <row r="96" spans="7:16" x14ac:dyDescent="0.25">
      <c r="G96" t="s">
        <v>894</v>
      </c>
      <c r="H96">
        <v>96</v>
      </c>
      <c r="I96">
        <v>96</v>
      </c>
      <c r="N96" t="s">
        <v>895</v>
      </c>
      <c r="O96">
        <v>96</v>
      </c>
      <c r="P96" t="str">
        <f t="shared" si="1"/>
        <v xml:space="preserve">[^ftn96]: </v>
      </c>
    </row>
    <row r="97" spans="7:16" x14ac:dyDescent="0.25">
      <c r="G97" t="s">
        <v>894</v>
      </c>
      <c r="H97">
        <v>97</v>
      </c>
      <c r="I97">
        <v>97</v>
      </c>
      <c r="N97" t="s">
        <v>895</v>
      </c>
      <c r="O97">
        <v>97</v>
      </c>
      <c r="P97" t="str">
        <f t="shared" si="1"/>
        <v xml:space="preserve">[^ftn97]: </v>
      </c>
    </row>
    <row r="98" spans="7:16" x14ac:dyDescent="0.25">
      <c r="G98" t="s">
        <v>894</v>
      </c>
      <c r="H98">
        <v>98</v>
      </c>
      <c r="I98">
        <v>98</v>
      </c>
      <c r="N98" t="s">
        <v>895</v>
      </c>
      <c r="O98">
        <v>98</v>
      </c>
      <c r="P98" t="str">
        <f t="shared" si="1"/>
        <v xml:space="preserve">[^ftn98]: </v>
      </c>
    </row>
    <row r="99" spans="7:16" x14ac:dyDescent="0.25">
      <c r="G99" t="s">
        <v>894</v>
      </c>
      <c r="H99">
        <v>99</v>
      </c>
      <c r="I99">
        <v>99</v>
      </c>
      <c r="N99" t="s">
        <v>895</v>
      </c>
      <c r="O99">
        <v>99</v>
      </c>
      <c r="P99" t="str">
        <f t="shared" si="1"/>
        <v xml:space="preserve">[^ftn99]: </v>
      </c>
    </row>
    <row r="100" spans="7:16" x14ac:dyDescent="0.25">
      <c r="G100" t="s">
        <v>894</v>
      </c>
      <c r="H100">
        <v>100</v>
      </c>
      <c r="I100">
        <v>100</v>
      </c>
      <c r="N100" t="s">
        <v>895</v>
      </c>
      <c r="O100">
        <v>100</v>
      </c>
      <c r="P100" t="str">
        <f t="shared" si="1"/>
        <v xml:space="preserve">[^ftn100]: </v>
      </c>
    </row>
    <row r="101" spans="7:16" x14ac:dyDescent="0.25">
      <c r="G101" t="s">
        <v>894</v>
      </c>
      <c r="H101">
        <v>101</v>
      </c>
      <c r="I101">
        <v>101</v>
      </c>
      <c r="N101" t="s">
        <v>895</v>
      </c>
      <c r="O101">
        <v>101</v>
      </c>
      <c r="P101" t="str">
        <f t="shared" si="1"/>
        <v xml:space="preserve">[^ftn101]: </v>
      </c>
    </row>
    <row r="102" spans="7:16" x14ac:dyDescent="0.25">
      <c r="G102" t="s">
        <v>894</v>
      </c>
      <c r="H102">
        <v>102</v>
      </c>
      <c r="I102">
        <v>102</v>
      </c>
      <c r="N102" t="s">
        <v>895</v>
      </c>
      <c r="O102">
        <v>102</v>
      </c>
      <c r="P102" t="str">
        <f t="shared" si="1"/>
        <v xml:space="preserve">[^ftn102]: </v>
      </c>
    </row>
    <row r="103" spans="7:16" x14ac:dyDescent="0.25">
      <c r="G103" t="s">
        <v>894</v>
      </c>
      <c r="H103">
        <v>103</v>
      </c>
      <c r="I103">
        <v>103</v>
      </c>
      <c r="N103" t="s">
        <v>895</v>
      </c>
      <c r="O103">
        <v>103</v>
      </c>
      <c r="P103" t="str">
        <f t="shared" si="1"/>
        <v xml:space="preserve">[^ftn103]: </v>
      </c>
    </row>
    <row r="104" spans="7:16" x14ac:dyDescent="0.25">
      <c r="G104" t="s">
        <v>894</v>
      </c>
      <c r="H104">
        <v>104</v>
      </c>
      <c r="I104">
        <v>104</v>
      </c>
      <c r="N104" t="s">
        <v>895</v>
      </c>
      <c r="O104">
        <v>104</v>
      </c>
      <c r="P104" t="str">
        <f t="shared" si="1"/>
        <v xml:space="preserve">[^ftn104]: </v>
      </c>
    </row>
    <row r="105" spans="7:16" x14ac:dyDescent="0.25">
      <c r="G105" t="s">
        <v>894</v>
      </c>
      <c r="H105">
        <v>105</v>
      </c>
      <c r="I105">
        <v>105</v>
      </c>
      <c r="N105" t="s">
        <v>895</v>
      </c>
      <c r="O105">
        <v>105</v>
      </c>
      <c r="P105" t="str">
        <f t="shared" si="1"/>
        <v xml:space="preserve">[^ftn105]: </v>
      </c>
    </row>
    <row r="106" spans="7:16" x14ac:dyDescent="0.25">
      <c r="G106" t="s">
        <v>894</v>
      </c>
      <c r="H106">
        <v>106</v>
      </c>
      <c r="I106">
        <v>106</v>
      </c>
      <c r="N106" t="s">
        <v>895</v>
      </c>
      <c r="O106">
        <v>106</v>
      </c>
      <c r="P106" t="str">
        <f t="shared" si="1"/>
        <v xml:space="preserve">[^ftn106]: </v>
      </c>
    </row>
    <row r="107" spans="7:16" x14ac:dyDescent="0.25">
      <c r="G107" t="s">
        <v>894</v>
      </c>
      <c r="H107">
        <v>107</v>
      </c>
      <c r="I107">
        <v>107</v>
      </c>
      <c r="N107" t="s">
        <v>895</v>
      </c>
      <c r="O107">
        <v>107</v>
      </c>
      <c r="P107" t="str">
        <f t="shared" si="1"/>
        <v xml:space="preserve">[^ftn107]: </v>
      </c>
    </row>
    <row r="108" spans="7:16" x14ac:dyDescent="0.25">
      <c r="G108" t="s">
        <v>894</v>
      </c>
      <c r="H108">
        <v>108</v>
      </c>
      <c r="I108">
        <v>108</v>
      </c>
      <c r="N108" t="s">
        <v>895</v>
      </c>
      <c r="O108">
        <v>108</v>
      </c>
      <c r="P108" t="str">
        <f t="shared" si="1"/>
        <v xml:space="preserve">[^ftn108]: </v>
      </c>
    </row>
    <row r="109" spans="7:16" x14ac:dyDescent="0.25">
      <c r="G109" t="s">
        <v>894</v>
      </c>
      <c r="H109">
        <v>109</v>
      </c>
      <c r="I109">
        <v>109</v>
      </c>
      <c r="N109" t="s">
        <v>895</v>
      </c>
      <c r="O109">
        <v>109</v>
      </c>
      <c r="P109" t="str">
        <f t="shared" si="1"/>
        <v xml:space="preserve">[^ftn109]: </v>
      </c>
    </row>
    <row r="110" spans="7:16" x14ac:dyDescent="0.25">
      <c r="G110" t="s">
        <v>894</v>
      </c>
      <c r="H110">
        <v>110</v>
      </c>
      <c r="I110">
        <v>110</v>
      </c>
      <c r="N110" t="s">
        <v>895</v>
      </c>
      <c r="O110">
        <v>110</v>
      </c>
      <c r="P110" t="str">
        <f t="shared" si="1"/>
        <v xml:space="preserve">[^ftn110]: </v>
      </c>
    </row>
    <row r="111" spans="7:16" x14ac:dyDescent="0.25">
      <c r="G111" t="s">
        <v>894</v>
      </c>
      <c r="H111">
        <v>111</v>
      </c>
      <c r="I111">
        <v>111</v>
      </c>
      <c r="N111" t="s">
        <v>895</v>
      </c>
      <c r="O111">
        <v>111</v>
      </c>
      <c r="P111" t="str">
        <f t="shared" si="1"/>
        <v xml:space="preserve">[^ftn111]: </v>
      </c>
    </row>
    <row r="112" spans="7:16" x14ac:dyDescent="0.25">
      <c r="G112" t="s">
        <v>894</v>
      </c>
      <c r="H112">
        <v>112</v>
      </c>
      <c r="I112">
        <v>112</v>
      </c>
      <c r="N112" t="s">
        <v>895</v>
      </c>
      <c r="O112">
        <v>112</v>
      </c>
      <c r="P112" t="str">
        <f t="shared" si="1"/>
        <v xml:space="preserve">[^ftn112]: </v>
      </c>
    </row>
    <row r="113" spans="7:16" x14ac:dyDescent="0.25">
      <c r="G113" t="s">
        <v>894</v>
      </c>
      <c r="H113">
        <v>113</v>
      </c>
      <c r="I113">
        <v>113</v>
      </c>
      <c r="N113" t="s">
        <v>895</v>
      </c>
      <c r="O113">
        <v>113</v>
      </c>
      <c r="P113" t="str">
        <f t="shared" si="1"/>
        <v xml:space="preserve">[^ftn113]: </v>
      </c>
    </row>
    <row r="114" spans="7:16" x14ac:dyDescent="0.25">
      <c r="G114" t="s">
        <v>894</v>
      </c>
      <c r="H114">
        <v>114</v>
      </c>
      <c r="I114">
        <v>114</v>
      </c>
      <c r="N114" t="s">
        <v>895</v>
      </c>
      <c r="O114">
        <v>114</v>
      </c>
      <c r="P114" t="str">
        <f t="shared" si="1"/>
        <v xml:space="preserve">[^ftn114]: </v>
      </c>
    </row>
    <row r="115" spans="7:16" x14ac:dyDescent="0.25">
      <c r="G115" t="s">
        <v>894</v>
      </c>
      <c r="H115">
        <v>115</v>
      </c>
      <c r="I115">
        <v>115</v>
      </c>
      <c r="N115" t="s">
        <v>895</v>
      </c>
      <c r="O115">
        <v>115</v>
      </c>
      <c r="P115" t="str">
        <f t="shared" si="1"/>
        <v xml:space="preserve">[^ftn115]: </v>
      </c>
    </row>
    <row r="116" spans="7:16" x14ac:dyDescent="0.25">
      <c r="G116" t="s">
        <v>894</v>
      </c>
      <c r="H116">
        <v>116</v>
      </c>
      <c r="I116">
        <v>116</v>
      </c>
      <c r="N116" t="s">
        <v>895</v>
      </c>
      <c r="O116">
        <v>116</v>
      </c>
      <c r="P116" t="str">
        <f t="shared" si="1"/>
        <v xml:space="preserve">[^ftn116]: </v>
      </c>
    </row>
    <row r="117" spans="7:16" x14ac:dyDescent="0.25">
      <c r="G117" t="s">
        <v>894</v>
      </c>
      <c r="H117">
        <v>117</v>
      </c>
      <c r="I117">
        <v>117</v>
      </c>
      <c r="N117" t="s">
        <v>895</v>
      </c>
      <c r="O117">
        <v>117</v>
      </c>
      <c r="P117" t="str">
        <f t="shared" si="1"/>
        <v xml:space="preserve">[^ftn117]: </v>
      </c>
    </row>
    <row r="118" spans="7:16" x14ac:dyDescent="0.25">
      <c r="G118" t="s">
        <v>894</v>
      </c>
      <c r="H118">
        <v>118</v>
      </c>
      <c r="I118">
        <v>118</v>
      </c>
      <c r="N118" t="s">
        <v>895</v>
      </c>
      <c r="O118">
        <v>118</v>
      </c>
      <c r="P118" t="str">
        <f t="shared" si="1"/>
        <v xml:space="preserve">[^ftn118]: </v>
      </c>
    </row>
    <row r="119" spans="7:16" x14ac:dyDescent="0.25">
      <c r="G119" t="s">
        <v>894</v>
      </c>
      <c r="H119">
        <v>119</v>
      </c>
      <c r="I119">
        <v>119</v>
      </c>
      <c r="N119" t="s">
        <v>895</v>
      </c>
      <c r="O119">
        <v>119</v>
      </c>
      <c r="P119" t="str">
        <f t="shared" si="1"/>
        <v xml:space="preserve">[^ftn119]: </v>
      </c>
    </row>
    <row r="120" spans="7:16" x14ac:dyDescent="0.25">
      <c r="G120" t="s">
        <v>894</v>
      </c>
      <c r="H120">
        <v>120</v>
      </c>
      <c r="I120">
        <v>120</v>
      </c>
      <c r="N120" t="s">
        <v>895</v>
      </c>
      <c r="O120">
        <v>120</v>
      </c>
      <c r="P120" t="str">
        <f t="shared" si="1"/>
        <v xml:space="preserve">[^ftn120]: </v>
      </c>
    </row>
    <row r="121" spans="7:16" x14ac:dyDescent="0.25">
      <c r="G121" t="s">
        <v>894</v>
      </c>
      <c r="H121">
        <v>121</v>
      </c>
      <c r="I121">
        <v>121</v>
      </c>
      <c r="N121" t="s">
        <v>895</v>
      </c>
      <c r="O121">
        <v>121</v>
      </c>
      <c r="P121" t="str">
        <f t="shared" si="1"/>
        <v xml:space="preserve">[^ftn121]: </v>
      </c>
    </row>
    <row r="122" spans="7:16" x14ac:dyDescent="0.25">
      <c r="G122" t="s">
        <v>894</v>
      </c>
      <c r="H122">
        <v>122</v>
      </c>
      <c r="I122">
        <v>122</v>
      </c>
      <c r="N122" t="s">
        <v>895</v>
      </c>
      <c r="O122">
        <v>122</v>
      </c>
      <c r="P122" t="str">
        <f t="shared" si="1"/>
        <v xml:space="preserve">[^ftn122]: </v>
      </c>
    </row>
    <row r="123" spans="7:16" x14ac:dyDescent="0.25">
      <c r="G123" t="s">
        <v>894</v>
      </c>
      <c r="H123">
        <v>123</v>
      </c>
      <c r="I123">
        <v>123</v>
      </c>
      <c r="N123" t="s">
        <v>895</v>
      </c>
      <c r="O123">
        <v>123</v>
      </c>
      <c r="P123" t="str">
        <f t="shared" si="1"/>
        <v xml:space="preserve">[^ftn123]: </v>
      </c>
    </row>
    <row r="124" spans="7:16" x14ac:dyDescent="0.25">
      <c r="G124" t="s">
        <v>894</v>
      </c>
      <c r="H124">
        <v>124</v>
      </c>
      <c r="I124">
        <v>124</v>
      </c>
      <c r="N124" t="s">
        <v>895</v>
      </c>
      <c r="O124">
        <v>124</v>
      </c>
      <c r="P124" t="str">
        <f t="shared" si="1"/>
        <v xml:space="preserve">[^ftn124]: </v>
      </c>
    </row>
    <row r="125" spans="7:16" x14ac:dyDescent="0.25">
      <c r="G125" t="s">
        <v>894</v>
      </c>
      <c r="H125">
        <v>125</v>
      </c>
      <c r="I125">
        <v>125</v>
      </c>
      <c r="N125" t="s">
        <v>895</v>
      </c>
      <c r="O125">
        <v>125</v>
      </c>
      <c r="P125" t="str">
        <f t="shared" si="1"/>
        <v xml:space="preserve">[^ftn125]: </v>
      </c>
    </row>
    <row r="126" spans="7:16" x14ac:dyDescent="0.25">
      <c r="G126" t="s">
        <v>894</v>
      </c>
      <c r="H126">
        <v>126</v>
      </c>
      <c r="I126">
        <v>126</v>
      </c>
      <c r="N126" t="s">
        <v>895</v>
      </c>
      <c r="O126">
        <v>126</v>
      </c>
      <c r="P126" t="str">
        <f t="shared" si="1"/>
        <v xml:space="preserve">[^ftn126]: </v>
      </c>
    </row>
    <row r="127" spans="7:16" x14ac:dyDescent="0.25">
      <c r="G127" t="s">
        <v>894</v>
      </c>
      <c r="H127">
        <v>127</v>
      </c>
      <c r="I127">
        <v>127</v>
      </c>
      <c r="N127" t="s">
        <v>895</v>
      </c>
      <c r="O127">
        <v>127</v>
      </c>
      <c r="P127" t="str">
        <f t="shared" si="1"/>
        <v xml:space="preserve">[^ftn127]: </v>
      </c>
    </row>
    <row r="128" spans="7:16" x14ac:dyDescent="0.25">
      <c r="G128" t="s">
        <v>894</v>
      </c>
      <c r="H128">
        <v>128</v>
      </c>
      <c r="I128">
        <v>128</v>
      </c>
      <c r="N128" t="s">
        <v>895</v>
      </c>
      <c r="O128">
        <v>128</v>
      </c>
      <c r="P128" t="str">
        <f t="shared" si="1"/>
        <v xml:space="preserve">[^ftn128]: </v>
      </c>
    </row>
    <row r="129" spans="7:16" x14ac:dyDescent="0.25">
      <c r="G129" t="s">
        <v>894</v>
      </c>
      <c r="H129">
        <v>129</v>
      </c>
      <c r="I129">
        <v>129</v>
      </c>
      <c r="N129" t="s">
        <v>895</v>
      </c>
      <c r="O129">
        <v>129</v>
      </c>
      <c r="P129" t="str">
        <f t="shared" si="1"/>
        <v xml:space="preserve">[^ftn129]: </v>
      </c>
    </row>
    <row r="130" spans="7:16" x14ac:dyDescent="0.25">
      <c r="G130" t="s">
        <v>894</v>
      </c>
      <c r="H130">
        <v>130</v>
      </c>
      <c r="I130">
        <v>130</v>
      </c>
      <c r="N130" t="s">
        <v>895</v>
      </c>
      <c r="O130">
        <v>130</v>
      </c>
      <c r="P130" t="str">
        <f t="shared" ref="P130:P193" si="2">_xlfn.CONCAT("[^ftn",O130,"]: ",)</f>
        <v xml:space="preserve">[^ftn130]: </v>
      </c>
    </row>
    <row r="131" spans="7:16" x14ac:dyDescent="0.25">
      <c r="G131" t="s">
        <v>894</v>
      </c>
      <c r="H131">
        <v>131</v>
      </c>
      <c r="I131">
        <v>131</v>
      </c>
      <c r="N131" t="s">
        <v>895</v>
      </c>
      <c r="O131">
        <v>131</v>
      </c>
      <c r="P131" t="str">
        <f t="shared" si="2"/>
        <v xml:space="preserve">[^ftn131]: </v>
      </c>
    </row>
    <row r="132" spans="7:16" x14ac:dyDescent="0.25">
      <c r="G132" t="s">
        <v>894</v>
      </c>
      <c r="H132">
        <v>132</v>
      </c>
      <c r="I132">
        <v>132</v>
      </c>
      <c r="N132" t="s">
        <v>895</v>
      </c>
      <c r="O132">
        <v>132</v>
      </c>
      <c r="P132" t="str">
        <f t="shared" si="2"/>
        <v xml:space="preserve">[^ftn132]: </v>
      </c>
    </row>
    <row r="133" spans="7:16" x14ac:dyDescent="0.25">
      <c r="G133" t="s">
        <v>894</v>
      </c>
      <c r="H133">
        <v>133</v>
      </c>
      <c r="I133">
        <v>133</v>
      </c>
      <c r="N133" t="s">
        <v>895</v>
      </c>
      <c r="O133">
        <v>133</v>
      </c>
      <c r="P133" t="str">
        <f t="shared" si="2"/>
        <v xml:space="preserve">[^ftn133]: </v>
      </c>
    </row>
    <row r="134" spans="7:16" x14ac:dyDescent="0.25">
      <c r="G134" t="s">
        <v>894</v>
      </c>
      <c r="H134">
        <v>134</v>
      </c>
      <c r="I134">
        <v>134</v>
      </c>
      <c r="N134" t="s">
        <v>895</v>
      </c>
      <c r="O134">
        <v>134</v>
      </c>
      <c r="P134" t="str">
        <f t="shared" si="2"/>
        <v xml:space="preserve">[^ftn134]: </v>
      </c>
    </row>
    <row r="135" spans="7:16" x14ac:dyDescent="0.25">
      <c r="G135" t="s">
        <v>894</v>
      </c>
      <c r="H135">
        <v>135</v>
      </c>
      <c r="I135">
        <v>135</v>
      </c>
      <c r="N135" t="s">
        <v>895</v>
      </c>
      <c r="O135">
        <v>135</v>
      </c>
      <c r="P135" t="str">
        <f t="shared" si="2"/>
        <v xml:space="preserve">[^ftn135]: </v>
      </c>
    </row>
    <row r="136" spans="7:16" x14ac:dyDescent="0.25">
      <c r="G136" t="s">
        <v>894</v>
      </c>
      <c r="H136">
        <v>136</v>
      </c>
      <c r="I136">
        <v>136</v>
      </c>
      <c r="N136" t="s">
        <v>895</v>
      </c>
      <c r="O136">
        <v>136</v>
      </c>
      <c r="P136" t="str">
        <f t="shared" si="2"/>
        <v xml:space="preserve">[^ftn136]: </v>
      </c>
    </row>
    <row r="137" spans="7:16" x14ac:dyDescent="0.25">
      <c r="G137" t="s">
        <v>894</v>
      </c>
      <c r="H137">
        <v>137</v>
      </c>
      <c r="I137">
        <v>137</v>
      </c>
      <c r="N137" t="s">
        <v>895</v>
      </c>
      <c r="O137">
        <v>137</v>
      </c>
      <c r="P137" t="str">
        <f t="shared" si="2"/>
        <v xml:space="preserve">[^ftn137]: </v>
      </c>
    </row>
    <row r="138" spans="7:16" x14ac:dyDescent="0.25">
      <c r="G138" t="s">
        <v>894</v>
      </c>
      <c r="H138">
        <v>138</v>
      </c>
      <c r="I138">
        <v>138</v>
      </c>
      <c r="N138" t="s">
        <v>895</v>
      </c>
      <c r="O138">
        <v>138</v>
      </c>
      <c r="P138" t="str">
        <f t="shared" si="2"/>
        <v xml:space="preserve">[^ftn138]: </v>
      </c>
    </row>
    <row r="139" spans="7:16" x14ac:dyDescent="0.25">
      <c r="G139" t="s">
        <v>894</v>
      </c>
      <c r="H139">
        <v>139</v>
      </c>
      <c r="I139">
        <v>139</v>
      </c>
      <c r="N139" t="s">
        <v>895</v>
      </c>
      <c r="O139">
        <v>139</v>
      </c>
      <c r="P139" t="str">
        <f t="shared" si="2"/>
        <v xml:space="preserve">[^ftn139]: </v>
      </c>
    </row>
    <row r="140" spans="7:16" x14ac:dyDescent="0.25">
      <c r="G140" t="s">
        <v>894</v>
      </c>
      <c r="H140">
        <v>140</v>
      </c>
      <c r="I140">
        <v>140</v>
      </c>
      <c r="N140" t="s">
        <v>895</v>
      </c>
      <c r="O140">
        <v>140</v>
      </c>
      <c r="P140" t="str">
        <f t="shared" si="2"/>
        <v xml:space="preserve">[^ftn140]: </v>
      </c>
    </row>
    <row r="141" spans="7:16" x14ac:dyDescent="0.25">
      <c r="G141" t="s">
        <v>894</v>
      </c>
      <c r="H141">
        <v>141</v>
      </c>
      <c r="I141">
        <v>141</v>
      </c>
      <c r="N141" t="s">
        <v>895</v>
      </c>
      <c r="O141">
        <v>141</v>
      </c>
      <c r="P141" t="str">
        <f t="shared" si="2"/>
        <v xml:space="preserve">[^ftn141]: </v>
      </c>
    </row>
    <row r="142" spans="7:16" x14ac:dyDescent="0.25">
      <c r="G142" t="s">
        <v>894</v>
      </c>
      <c r="H142">
        <v>142</v>
      </c>
      <c r="I142">
        <v>142</v>
      </c>
      <c r="N142" t="s">
        <v>895</v>
      </c>
      <c r="O142">
        <v>142</v>
      </c>
      <c r="P142" t="str">
        <f t="shared" si="2"/>
        <v xml:space="preserve">[^ftn142]: </v>
      </c>
    </row>
    <row r="143" spans="7:16" x14ac:dyDescent="0.25">
      <c r="G143" t="s">
        <v>894</v>
      </c>
      <c r="H143">
        <v>143</v>
      </c>
      <c r="I143">
        <v>143</v>
      </c>
      <c r="N143" t="s">
        <v>895</v>
      </c>
      <c r="O143">
        <v>143</v>
      </c>
      <c r="P143" t="str">
        <f t="shared" si="2"/>
        <v xml:space="preserve">[^ftn143]: </v>
      </c>
    </row>
    <row r="144" spans="7:16" x14ac:dyDescent="0.25">
      <c r="G144" t="s">
        <v>894</v>
      </c>
      <c r="H144">
        <v>144</v>
      </c>
      <c r="I144">
        <v>144</v>
      </c>
      <c r="N144" t="s">
        <v>895</v>
      </c>
      <c r="O144">
        <v>144</v>
      </c>
      <c r="P144" t="str">
        <f t="shared" si="2"/>
        <v xml:space="preserve">[^ftn144]: </v>
      </c>
    </row>
    <row r="145" spans="7:16" x14ac:dyDescent="0.25">
      <c r="G145" t="s">
        <v>894</v>
      </c>
      <c r="H145">
        <v>145</v>
      </c>
      <c r="I145">
        <v>145</v>
      </c>
      <c r="N145" t="s">
        <v>895</v>
      </c>
      <c r="O145">
        <v>145</v>
      </c>
      <c r="P145" t="str">
        <f t="shared" si="2"/>
        <v xml:space="preserve">[^ftn145]: </v>
      </c>
    </row>
    <row r="146" spans="7:16" x14ac:dyDescent="0.25">
      <c r="G146" t="s">
        <v>894</v>
      </c>
      <c r="H146">
        <v>146</v>
      </c>
      <c r="I146">
        <v>146</v>
      </c>
      <c r="N146" t="s">
        <v>895</v>
      </c>
      <c r="O146">
        <v>146</v>
      </c>
      <c r="P146" t="str">
        <f t="shared" si="2"/>
        <v xml:space="preserve">[^ftn146]: </v>
      </c>
    </row>
    <row r="147" spans="7:16" x14ac:dyDescent="0.25">
      <c r="G147" t="s">
        <v>894</v>
      </c>
      <c r="H147">
        <v>147</v>
      </c>
      <c r="I147">
        <v>147</v>
      </c>
      <c r="N147" t="s">
        <v>895</v>
      </c>
      <c r="O147">
        <v>147</v>
      </c>
      <c r="P147" t="str">
        <f t="shared" si="2"/>
        <v xml:space="preserve">[^ftn147]: </v>
      </c>
    </row>
    <row r="148" spans="7:16" x14ac:dyDescent="0.25">
      <c r="G148" t="s">
        <v>894</v>
      </c>
      <c r="H148">
        <v>148</v>
      </c>
      <c r="I148">
        <v>148</v>
      </c>
      <c r="N148" t="s">
        <v>895</v>
      </c>
      <c r="O148">
        <v>148</v>
      </c>
      <c r="P148" t="str">
        <f t="shared" si="2"/>
        <v xml:space="preserve">[^ftn148]: </v>
      </c>
    </row>
    <row r="149" spans="7:16" x14ac:dyDescent="0.25">
      <c r="G149" t="s">
        <v>894</v>
      </c>
      <c r="H149">
        <v>149</v>
      </c>
      <c r="I149">
        <v>149</v>
      </c>
      <c r="N149" t="s">
        <v>895</v>
      </c>
      <c r="O149">
        <v>149</v>
      </c>
      <c r="P149" t="str">
        <f t="shared" si="2"/>
        <v xml:space="preserve">[^ftn149]: </v>
      </c>
    </row>
    <row r="150" spans="7:16" x14ac:dyDescent="0.25">
      <c r="G150" t="s">
        <v>894</v>
      </c>
      <c r="H150">
        <v>150</v>
      </c>
      <c r="I150">
        <v>150</v>
      </c>
      <c r="N150" t="s">
        <v>895</v>
      </c>
      <c r="O150">
        <v>150</v>
      </c>
      <c r="P150" t="str">
        <f t="shared" si="2"/>
        <v xml:space="preserve">[^ftn150]: </v>
      </c>
    </row>
    <row r="151" spans="7:16" x14ac:dyDescent="0.25">
      <c r="G151" t="s">
        <v>894</v>
      </c>
      <c r="H151">
        <v>151</v>
      </c>
      <c r="I151">
        <v>151</v>
      </c>
      <c r="N151" t="s">
        <v>895</v>
      </c>
      <c r="O151">
        <v>151</v>
      </c>
      <c r="P151" t="str">
        <f t="shared" si="2"/>
        <v xml:space="preserve">[^ftn151]: </v>
      </c>
    </row>
    <row r="152" spans="7:16" x14ac:dyDescent="0.25">
      <c r="G152" t="s">
        <v>894</v>
      </c>
      <c r="H152">
        <v>152</v>
      </c>
      <c r="I152">
        <v>152</v>
      </c>
      <c r="N152" t="s">
        <v>895</v>
      </c>
      <c r="O152">
        <v>152</v>
      </c>
      <c r="P152" t="str">
        <f t="shared" si="2"/>
        <v xml:space="preserve">[^ftn152]: </v>
      </c>
    </row>
    <row r="153" spans="7:16" x14ac:dyDescent="0.25">
      <c r="G153" t="s">
        <v>894</v>
      </c>
      <c r="H153">
        <v>153</v>
      </c>
      <c r="I153">
        <v>153</v>
      </c>
      <c r="N153" t="s">
        <v>895</v>
      </c>
      <c r="O153">
        <v>153</v>
      </c>
      <c r="P153" t="str">
        <f t="shared" si="2"/>
        <v xml:space="preserve">[^ftn153]: </v>
      </c>
    </row>
    <row r="154" spans="7:16" x14ac:dyDescent="0.25">
      <c r="G154" t="s">
        <v>894</v>
      </c>
      <c r="H154">
        <v>154</v>
      </c>
      <c r="I154">
        <v>154</v>
      </c>
      <c r="N154" t="s">
        <v>895</v>
      </c>
      <c r="O154">
        <v>154</v>
      </c>
      <c r="P154" t="str">
        <f t="shared" si="2"/>
        <v xml:space="preserve">[^ftn154]: </v>
      </c>
    </row>
    <row r="155" spans="7:16" x14ac:dyDescent="0.25">
      <c r="G155" t="s">
        <v>894</v>
      </c>
      <c r="H155">
        <v>155</v>
      </c>
      <c r="I155">
        <v>155</v>
      </c>
      <c r="N155" t="s">
        <v>895</v>
      </c>
      <c r="O155">
        <v>155</v>
      </c>
      <c r="P155" t="str">
        <f t="shared" si="2"/>
        <v xml:space="preserve">[^ftn155]: </v>
      </c>
    </row>
    <row r="156" spans="7:16" x14ac:dyDescent="0.25">
      <c r="G156" t="s">
        <v>894</v>
      </c>
      <c r="H156">
        <v>156</v>
      </c>
      <c r="I156">
        <v>156</v>
      </c>
      <c r="N156" t="s">
        <v>895</v>
      </c>
      <c r="O156">
        <v>156</v>
      </c>
      <c r="P156" t="str">
        <f t="shared" si="2"/>
        <v xml:space="preserve">[^ftn156]: </v>
      </c>
    </row>
    <row r="157" spans="7:16" x14ac:dyDescent="0.25">
      <c r="G157" t="s">
        <v>894</v>
      </c>
      <c r="H157">
        <v>157</v>
      </c>
      <c r="I157">
        <v>157</v>
      </c>
      <c r="N157" t="s">
        <v>895</v>
      </c>
      <c r="O157">
        <v>157</v>
      </c>
      <c r="P157" t="str">
        <f t="shared" si="2"/>
        <v xml:space="preserve">[^ftn157]: </v>
      </c>
    </row>
    <row r="158" spans="7:16" x14ac:dyDescent="0.25">
      <c r="G158" t="s">
        <v>894</v>
      </c>
      <c r="H158">
        <v>158</v>
      </c>
      <c r="I158">
        <v>158</v>
      </c>
      <c r="N158" t="s">
        <v>895</v>
      </c>
      <c r="O158">
        <v>158</v>
      </c>
      <c r="P158" t="str">
        <f t="shared" si="2"/>
        <v xml:space="preserve">[^ftn158]: </v>
      </c>
    </row>
    <row r="159" spans="7:16" x14ac:dyDescent="0.25">
      <c r="G159" t="s">
        <v>894</v>
      </c>
      <c r="H159">
        <v>159</v>
      </c>
      <c r="I159">
        <v>159</v>
      </c>
      <c r="N159" t="s">
        <v>895</v>
      </c>
      <c r="O159">
        <v>159</v>
      </c>
      <c r="P159" t="str">
        <f t="shared" si="2"/>
        <v xml:space="preserve">[^ftn159]: </v>
      </c>
    </row>
    <row r="160" spans="7:16" x14ac:dyDescent="0.25">
      <c r="G160" t="s">
        <v>894</v>
      </c>
      <c r="H160">
        <v>160</v>
      </c>
      <c r="I160">
        <v>160</v>
      </c>
      <c r="N160" t="s">
        <v>895</v>
      </c>
      <c r="O160">
        <v>160</v>
      </c>
      <c r="P160" t="str">
        <f t="shared" si="2"/>
        <v xml:space="preserve">[^ftn160]: </v>
      </c>
    </row>
    <row r="161" spans="7:16" x14ac:dyDescent="0.25">
      <c r="G161" t="s">
        <v>894</v>
      </c>
      <c r="H161">
        <v>161</v>
      </c>
      <c r="I161">
        <v>161</v>
      </c>
      <c r="N161" t="s">
        <v>895</v>
      </c>
      <c r="O161">
        <v>161</v>
      </c>
      <c r="P161" t="str">
        <f t="shared" si="2"/>
        <v xml:space="preserve">[^ftn161]: </v>
      </c>
    </row>
    <row r="162" spans="7:16" x14ac:dyDescent="0.25">
      <c r="G162" t="s">
        <v>894</v>
      </c>
      <c r="H162">
        <v>162</v>
      </c>
      <c r="I162">
        <v>162</v>
      </c>
      <c r="N162" t="s">
        <v>895</v>
      </c>
      <c r="O162">
        <v>162</v>
      </c>
      <c r="P162" t="str">
        <f t="shared" si="2"/>
        <v xml:space="preserve">[^ftn162]: </v>
      </c>
    </row>
    <row r="163" spans="7:16" x14ac:dyDescent="0.25">
      <c r="G163" t="s">
        <v>894</v>
      </c>
      <c r="H163">
        <v>163</v>
      </c>
      <c r="I163">
        <v>163</v>
      </c>
      <c r="N163" t="s">
        <v>895</v>
      </c>
      <c r="O163">
        <v>163</v>
      </c>
      <c r="P163" t="str">
        <f t="shared" si="2"/>
        <v xml:space="preserve">[^ftn163]: </v>
      </c>
    </row>
    <row r="164" spans="7:16" x14ac:dyDescent="0.25">
      <c r="G164" t="s">
        <v>894</v>
      </c>
      <c r="H164">
        <v>164</v>
      </c>
      <c r="I164">
        <v>164</v>
      </c>
      <c r="N164" t="s">
        <v>895</v>
      </c>
      <c r="O164">
        <v>164</v>
      </c>
      <c r="P164" t="str">
        <f t="shared" si="2"/>
        <v xml:space="preserve">[^ftn164]: </v>
      </c>
    </row>
    <row r="165" spans="7:16" x14ac:dyDescent="0.25">
      <c r="G165" t="s">
        <v>894</v>
      </c>
      <c r="H165">
        <v>165</v>
      </c>
      <c r="I165">
        <v>165</v>
      </c>
      <c r="N165" t="s">
        <v>895</v>
      </c>
      <c r="O165">
        <v>165</v>
      </c>
      <c r="P165" t="str">
        <f t="shared" si="2"/>
        <v xml:space="preserve">[^ftn165]: </v>
      </c>
    </row>
    <row r="166" spans="7:16" x14ac:dyDescent="0.25">
      <c r="G166" t="s">
        <v>894</v>
      </c>
      <c r="H166">
        <v>166</v>
      </c>
      <c r="I166">
        <v>166</v>
      </c>
      <c r="N166" t="s">
        <v>895</v>
      </c>
      <c r="O166">
        <v>166</v>
      </c>
      <c r="P166" t="str">
        <f t="shared" si="2"/>
        <v xml:space="preserve">[^ftn166]: </v>
      </c>
    </row>
    <row r="167" spans="7:16" x14ac:dyDescent="0.25">
      <c r="G167" t="s">
        <v>894</v>
      </c>
      <c r="H167">
        <v>167</v>
      </c>
      <c r="I167">
        <v>167</v>
      </c>
      <c r="N167" t="s">
        <v>895</v>
      </c>
      <c r="O167">
        <v>167</v>
      </c>
      <c r="P167" t="str">
        <f t="shared" si="2"/>
        <v xml:space="preserve">[^ftn167]: </v>
      </c>
    </row>
    <row r="168" spans="7:16" x14ac:dyDescent="0.25">
      <c r="G168" t="s">
        <v>894</v>
      </c>
      <c r="H168">
        <v>168</v>
      </c>
      <c r="I168">
        <v>168</v>
      </c>
      <c r="N168" t="s">
        <v>895</v>
      </c>
      <c r="O168">
        <v>168</v>
      </c>
      <c r="P168" t="str">
        <f t="shared" si="2"/>
        <v xml:space="preserve">[^ftn168]: </v>
      </c>
    </row>
    <row r="169" spans="7:16" x14ac:dyDescent="0.25">
      <c r="G169" t="s">
        <v>894</v>
      </c>
      <c r="H169">
        <v>169</v>
      </c>
      <c r="I169">
        <v>169</v>
      </c>
      <c r="N169" t="s">
        <v>895</v>
      </c>
      <c r="O169">
        <v>169</v>
      </c>
      <c r="P169" t="str">
        <f t="shared" si="2"/>
        <v xml:space="preserve">[^ftn169]: </v>
      </c>
    </row>
    <row r="170" spans="7:16" x14ac:dyDescent="0.25">
      <c r="G170" t="s">
        <v>894</v>
      </c>
      <c r="H170">
        <v>170</v>
      </c>
      <c r="I170">
        <v>170</v>
      </c>
      <c r="N170" t="s">
        <v>895</v>
      </c>
      <c r="O170">
        <v>170</v>
      </c>
      <c r="P170" t="str">
        <f t="shared" si="2"/>
        <v xml:space="preserve">[^ftn170]: </v>
      </c>
    </row>
    <row r="171" spans="7:16" x14ac:dyDescent="0.25">
      <c r="G171" t="s">
        <v>894</v>
      </c>
      <c r="H171">
        <v>171</v>
      </c>
      <c r="I171">
        <v>171</v>
      </c>
      <c r="N171" t="s">
        <v>895</v>
      </c>
      <c r="O171">
        <v>171</v>
      </c>
      <c r="P171" t="str">
        <f t="shared" si="2"/>
        <v xml:space="preserve">[^ftn171]: </v>
      </c>
    </row>
    <row r="172" spans="7:16" x14ac:dyDescent="0.25">
      <c r="G172" t="s">
        <v>894</v>
      </c>
      <c r="H172">
        <v>172</v>
      </c>
      <c r="I172">
        <v>172</v>
      </c>
      <c r="N172" t="s">
        <v>895</v>
      </c>
      <c r="O172">
        <v>172</v>
      </c>
      <c r="P172" t="str">
        <f t="shared" si="2"/>
        <v xml:space="preserve">[^ftn172]: </v>
      </c>
    </row>
    <row r="173" spans="7:16" x14ac:dyDescent="0.25">
      <c r="G173" t="s">
        <v>894</v>
      </c>
      <c r="H173">
        <v>173</v>
      </c>
      <c r="I173">
        <v>173</v>
      </c>
      <c r="N173" t="s">
        <v>895</v>
      </c>
      <c r="O173">
        <v>173</v>
      </c>
      <c r="P173" t="str">
        <f t="shared" si="2"/>
        <v xml:space="preserve">[^ftn173]: </v>
      </c>
    </row>
    <row r="174" spans="7:16" x14ac:dyDescent="0.25">
      <c r="G174" t="s">
        <v>894</v>
      </c>
      <c r="H174">
        <v>174</v>
      </c>
      <c r="I174">
        <v>174</v>
      </c>
      <c r="N174" t="s">
        <v>895</v>
      </c>
      <c r="O174">
        <v>174</v>
      </c>
      <c r="P174" t="str">
        <f t="shared" si="2"/>
        <v xml:space="preserve">[^ftn174]: </v>
      </c>
    </row>
    <row r="175" spans="7:16" x14ac:dyDescent="0.25">
      <c r="G175" t="s">
        <v>894</v>
      </c>
      <c r="H175">
        <v>175</v>
      </c>
      <c r="I175">
        <v>175</v>
      </c>
      <c r="N175" t="s">
        <v>895</v>
      </c>
      <c r="O175">
        <v>175</v>
      </c>
      <c r="P175" t="str">
        <f t="shared" si="2"/>
        <v xml:space="preserve">[^ftn175]: </v>
      </c>
    </row>
    <row r="176" spans="7:16" x14ac:dyDescent="0.25">
      <c r="G176" t="s">
        <v>894</v>
      </c>
      <c r="H176">
        <v>176</v>
      </c>
      <c r="I176">
        <v>176</v>
      </c>
      <c r="N176" t="s">
        <v>895</v>
      </c>
      <c r="O176">
        <v>176</v>
      </c>
      <c r="P176" t="str">
        <f t="shared" si="2"/>
        <v xml:space="preserve">[^ftn176]: </v>
      </c>
    </row>
    <row r="177" spans="7:16" x14ac:dyDescent="0.25">
      <c r="G177" t="s">
        <v>894</v>
      </c>
      <c r="H177">
        <v>177</v>
      </c>
      <c r="I177">
        <v>177</v>
      </c>
      <c r="N177" t="s">
        <v>895</v>
      </c>
      <c r="O177">
        <v>177</v>
      </c>
      <c r="P177" t="str">
        <f t="shared" si="2"/>
        <v xml:space="preserve">[^ftn177]: </v>
      </c>
    </row>
    <row r="178" spans="7:16" x14ac:dyDescent="0.25">
      <c r="G178" t="s">
        <v>894</v>
      </c>
      <c r="H178">
        <v>178</v>
      </c>
      <c r="I178">
        <v>178</v>
      </c>
      <c r="N178" t="s">
        <v>895</v>
      </c>
      <c r="O178">
        <v>178</v>
      </c>
      <c r="P178" t="str">
        <f t="shared" si="2"/>
        <v xml:space="preserve">[^ftn178]: </v>
      </c>
    </row>
    <row r="179" spans="7:16" x14ac:dyDescent="0.25">
      <c r="G179" t="s">
        <v>894</v>
      </c>
      <c r="H179">
        <v>179</v>
      </c>
      <c r="I179">
        <v>179</v>
      </c>
      <c r="N179" t="s">
        <v>895</v>
      </c>
      <c r="O179">
        <v>179</v>
      </c>
      <c r="P179" t="str">
        <f t="shared" si="2"/>
        <v xml:space="preserve">[^ftn179]: </v>
      </c>
    </row>
    <row r="180" spans="7:16" x14ac:dyDescent="0.25">
      <c r="G180" t="s">
        <v>894</v>
      </c>
      <c r="H180">
        <v>180</v>
      </c>
      <c r="I180">
        <v>180</v>
      </c>
      <c r="N180" t="s">
        <v>895</v>
      </c>
      <c r="O180">
        <v>180</v>
      </c>
      <c r="P180" t="str">
        <f t="shared" si="2"/>
        <v xml:space="preserve">[^ftn180]: </v>
      </c>
    </row>
    <row r="181" spans="7:16" x14ac:dyDescent="0.25">
      <c r="G181" t="s">
        <v>894</v>
      </c>
      <c r="H181">
        <v>181</v>
      </c>
      <c r="I181">
        <v>181</v>
      </c>
      <c r="N181" t="s">
        <v>895</v>
      </c>
      <c r="O181">
        <v>181</v>
      </c>
      <c r="P181" t="str">
        <f t="shared" si="2"/>
        <v xml:space="preserve">[^ftn181]: </v>
      </c>
    </row>
    <row r="182" spans="7:16" x14ac:dyDescent="0.25">
      <c r="G182" t="s">
        <v>894</v>
      </c>
      <c r="H182">
        <v>182</v>
      </c>
      <c r="I182">
        <v>182</v>
      </c>
      <c r="N182" t="s">
        <v>895</v>
      </c>
      <c r="O182">
        <v>182</v>
      </c>
      <c r="P182" t="str">
        <f t="shared" si="2"/>
        <v xml:space="preserve">[^ftn182]: </v>
      </c>
    </row>
    <row r="183" spans="7:16" x14ac:dyDescent="0.25">
      <c r="G183" t="s">
        <v>894</v>
      </c>
      <c r="H183">
        <v>183</v>
      </c>
      <c r="I183">
        <v>183</v>
      </c>
      <c r="N183" t="s">
        <v>895</v>
      </c>
      <c r="O183">
        <v>183</v>
      </c>
      <c r="P183" t="str">
        <f t="shared" si="2"/>
        <v xml:space="preserve">[^ftn183]: </v>
      </c>
    </row>
    <row r="184" spans="7:16" x14ac:dyDescent="0.25">
      <c r="G184" t="s">
        <v>894</v>
      </c>
      <c r="H184">
        <v>184</v>
      </c>
      <c r="I184">
        <v>184</v>
      </c>
      <c r="N184" t="s">
        <v>895</v>
      </c>
      <c r="O184">
        <v>184</v>
      </c>
      <c r="P184" t="str">
        <f t="shared" si="2"/>
        <v xml:space="preserve">[^ftn184]: </v>
      </c>
    </row>
    <row r="185" spans="7:16" x14ac:dyDescent="0.25">
      <c r="G185" t="s">
        <v>894</v>
      </c>
      <c r="H185">
        <v>185</v>
      </c>
      <c r="I185">
        <v>185</v>
      </c>
      <c r="N185" t="s">
        <v>895</v>
      </c>
      <c r="O185">
        <v>185</v>
      </c>
      <c r="P185" t="str">
        <f t="shared" si="2"/>
        <v xml:space="preserve">[^ftn185]: </v>
      </c>
    </row>
    <row r="186" spans="7:16" x14ac:dyDescent="0.25">
      <c r="G186" t="s">
        <v>894</v>
      </c>
      <c r="H186">
        <v>186</v>
      </c>
      <c r="I186">
        <v>186</v>
      </c>
      <c r="N186" t="s">
        <v>895</v>
      </c>
      <c r="O186">
        <v>186</v>
      </c>
      <c r="P186" t="str">
        <f t="shared" si="2"/>
        <v xml:space="preserve">[^ftn186]: </v>
      </c>
    </row>
    <row r="187" spans="7:16" x14ac:dyDescent="0.25">
      <c r="G187" t="s">
        <v>894</v>
      </c>
      <c r="H187">
        <v>187</v>
      </c>
      <c r="I187">
        <v>187</v>
      </c>
      <c r="N187" t="s">
        <v>895</v>
      </c>
      <c r="O187">
        <v>187</v>
      </c>
      <c r="P187" t="str">
        <f t="shared" si="2"/>
        <v xml:space="preserve">[^ftn187]: </v>
      </c>
    </row>
    <row r="188" spans="7:16" x14ac:dyDescent="0.25">
      <c r="G188" t="s">
        <v>894</v>
      </c>
      <c r="H188">
        <v>188</v>
      </c>
      <c r="I188">
        <v>188</v>
      </c>
      <c r="N188" t="s">
        <v>895</v>
      </c>
      <c r="O188">
        <v>188</v>
      </c>
      <c r="P188" t="str">
        <f t="shared" si="2"/>
        <v xml:space="preserve">[^ftn188]: </v>
      </c>
    </row>
    <row r="189" spans="7:16" x14ac:dyDescent="0.25">
      <c r="G189" t="s">
        <v>894</v>
      </c>
      <c r="H189">
        <v>189</v>
      </c>
      <c r="I189">
        <v>189</v>
      </c>
      <c r="N189" t="s">
        <v>895</v>
      </c>
      <c r="O189">
        <v>189</v>
      </c>
      <c r="P189" t="str">
        <f t="shared" si="2"/>
        <v xml:space="preserve">[^ftn189]: </v>
      </c>
    </row>
    <row r="190" spans="7:16" x14ac:dyDescent="0.25">
      <c r="G190" t="s">
        <v>894</v>
      </c>
      <c r="H190">
        <v>190</v>
      </c>
      <c r="I190">
        <v>190</v>
      </c>
      <c r="N190" t="s">
        <v>895</v>
      </c>
      <c r="O190">
        <v>190</v>
      </c>
      <c r="P190" t="str">
        <f t="shared" si="2"/>
        <v xml:space="preserve">[^ftn190]: </v>
      </c>
    </row>
    <row r="191" spans="7:16" x14ac:dyDescent="0.25">
      <c r="G191" t="s">
        <v>894</v>
      </c>
      <c r="H191">
        <v>191</v>
      </c>
      <c r="I191">
        <v>191</v>
      </c>
      <c r="N191" t="s">
        <v>895</v>
      </c>
      <c r="O191">
        <v>191</v>
      </c>
      <c r="P191" t="str">
        <f t="shared" si="2"/>
        <v xml:space="preserve">[^ftn191]: </v>
      </c>
    </row>
    <row r="192" spans="7:16" x14ac:dyDescent="0.25">
      <c r="G192" t="s">
        <v>894</v>
      </c>
      <c r="H192">
        <v>192</v>
      </c>
      <c r="I192">
        <v>192</v>
      </c>
      <c r="N192" t="s">
        <v>895</v>
      </c>
      <c r="O192">
        <v>192</v>
      </c>
      <c r="P192" t="str">
        <f t="shared" si="2"/>
        <v xml:space="preserve">[^ftn192]: </v>
      </c>
    </row>
    <row r="193" spans="7:16" x14ac:dyDescent="0.25">
      <c r="G193" t="s">
        <v>894</v>
      </c>
      <c r="H193">
        <v>193</v>
      </c>
      <c r="I193">
        <v>193</v>
      </c>
      <c r="N193" t="s">
        <v>895</v>
      </c>
      <c r="O193">
        <v>193</v>
      </c>
      <c r="P193" t="str">
        <f t="shared" si="2"/>
        <v xml:space="preserve">[^ftn193]: </v>
      </c>
    </row>
    <row r="194" spans="7:16" x14ac:dyDescent="0.25">
      <c r="G194" t="s">
        <v>894</v>
      </c>
      <c r="H194">
        <v>194</v>
      </c>
      <c r="I194">
        <v>194</v>
      </c>
      <c r="N194" t="s">
        <v>895</v>
      </c>
      <c r="O194">
        <v>194</v>
      </c>
      <c r="P194" t="str">
        <f t="shared" ref="P194:P257" si="3">_xlfn.CONCAT("[^ftn",O194,"]: ",)</f>
        <v xml:space="preserve">[^ftn194]: </v>
      </c>
    </row>
    <row r="195" spans="7:16" x14ac:dyDescent="0.25">
      <c r="G195" t="s">
        <v>894</v>
      </c>
      <c r="H195">
        <v>195</v>
      </c>
      <c r="I195">
        <v>195</v>
      </c>
      <c r="N195" t="s">
        <v>895</v>
      </c>
      <c r="O195">
        <v>195</v>
      </c>
      <c r="P195" t="str">
        <f t="shared" si="3"/>
        <v xml:space="preserve">[^ftn195]: </v>
      </c>
    </row>
    <row r="196" spans="7:16" x14ac:dyDescent="0.25">
      <c r="G196" t="s">
        <v>894</v>
      </c>
      <c r="H196">
        <v>196</v>
      </c>
      <c r="I196">
        <v>196</v>
      </c>
      <c r="N196" t="s">
        <v>895</v>
      </c>
      <c r="O196">
        <v>196</v>
      </c>
      <c r="P196" t="str">
        <f t="shared" si="3"/>
        <v xml:space="preserve">[^ftn196]: </v>
      </c>
    </row>
    <row r="197" spans="7:16" x14ac:dyDescent="0.25">
      <c r="G197" t="s">
        <v>894</v>
      </c>
      <c r="H197">
        <v>197</v>
      </c>
      <c r="I197">
        <v>197</v>
      </c>
      <c r="N197" t="s">
        <v>895</v>
      </c>
      <c r="O197">
        <v>197</v>
      </c>
      <c r="P197" t="str">
        <f t="shared" si="3"/>
        <v xml:space="preserve">[^ftn197]: </v>
      </c>
    </row>
    <row r="198" spans="7:16" x14ac:dyDescent="0.25">
      <c r="G198" t="s">
        <v>894</v>
      </c>
      <c r="H198">
        <v>198</v>
      </c>
      <c r="I198">
        <v>198</v>
      </c>
      <c r="N198" t="s">
        <v>895</v>
      </c>
      <c r="O198">
        <v>198</v>
      </c>
      <c r="P198" t="str">
        <f t="shared" si="3"/>
        <v xml:space="preserve">[^ftn198]: </v>
      </c>
    </row>
    <row r="199" spans="7:16" x14ac:dyDescent="0.25">
      <c r="G199" t="s">
        <v>894</v>
      </c>
      <c r="H199">
        <v>199</v>
      </c>
      <c r="I199">
        <v>199</v>
      </c>
      <c r="N199" t="s">
        <v>895</v>
      </c>
      <c r="O199">
        <v>199</v>
      </c>
      <c r="P199" t="str">
        <f t="shared" si="3"/>
        <v xml:space="preserve">[^ftn199]: </v>
      </c>
    </row>
    <row r="200" spans="7:16" x14ac:dyDescent="0.25">
      <c r="G200" t="s">
        <v>894</v>
      </c>
      <c r="H200">
        <v>200</v>
      </c>
      <c r="I200">
        <v>200</v>
      </c>
      <c r="N200" t="s">
        <v>895</v>
      </c>
      <c r="O200">
        <v>200</v>
      </c>
      <c r="P200" t="str">
        <f t="shared" si="3"/>
        <v xml:space="preserve">[^ftn200]: </v>
      </c>
    </row>
    <row r="201" spans="7:16" x14ac:dyDescent="0.25">
      <c r="G201" t="s">
        <v>894</v>
      </c>
      <c r="H201">
        <v>201</v>
      </c>
      <c r="I201">
        <v>201</v>
      </c>
      <c r="N201" t="s">
        <v>895</v>
      </c>
      <c r="O201">
        <v>201</v>
      </c>
      <c r="P201" t="str">
        <f t="shared" si="3"/>
        <v xml:space="preserve">[^ftn201]: </v>
      </c>
    </row>
    <row r="202" spans="7:16" x14ac:dyDescent="0.25">
      <c r="G202" t="s">
        <v>894</v>
      </c>
      <c r="H202">
        <v>202</v>
      </c>
      <c r="I202">
        <v>202</v>
      </c>
      <c r="N202" t="s">
        <v>895</v>
      </c>
      <c r="O202">
        <v>202</v>
      </c>
      <c r="P202" t="str">
        <f t="shared" si="3"/>
        <v xml:space="preserve">[^ftn202]: </v>
      </c>
    </row>
    <row r="203" spans="7:16" x14ac:dyDescent="0.25">
      <c r="G203" t="s">
        <v>894</v>
      </c>
      <c r="H203">
        <v>203</v>
      </c>
      <c r="I203">
        <v>203</v>
      </c>
      <c r="N203" t="s">
        <v>895</v>
      </c>
      <c r="O203">
        <v>203</v>
      </c>
      <c r="P203" t="str">
        <f t="shared" si="3"/>
        <v xml:space="preserve">[^ftn203]: </v>
      </c>
    </row>
    <row r="204" spans="7:16" x14ac:dyDescent="0.25">
      <c r="G204" t="s">
        <v>894</v>
      </c>
      <c r="H204">
        <v>204</v>
      </c>
      <c r="I204">
        <v>204</v>
      </c>
      <c r="N204" t="s">
        <v>895</v>
      </c>
      <c r="O204">
        <v>204</v>
      </c>
      <c r="P204" t="str">
        <f t="shared" si="3"/>
        <v xml:space="preserve">[^ftn204]: </v>
      </c>
    </row>
    <row r="205" spans="7:16" x14ac:dyDescent="0.25">
      <c r="G205" t="s">
        <v>894</v>
      </c>
      <c r="H205">
        <v>205</v>
      </c>
      <c r="I205">
        <v>205</v>
      </c>
      <c r="N205" t="s">
        <v>895</v>
      </c>
      <c r="O205">
        <v>205</v>
      </c>
      <c r="P205" t="str">
        <f t="shared" si="3"/>
        <v xml:space="preserve">[^ftn205]: </v>
      </c>
    </row>
    <row r="206" spans="7:16" x14ac:dyDescent="0.25">
      <c r="G206" t="s">
        <v>894</v>
      </c>
      <c r="H206">
        <v>206</v>
      </c>
      <c r="I206">
        <v>206</v>
      </c>
      <c r="N206" t="s">
        <v>895</v>
      </c>
      <c r="O206">
        <v>206</v>
      </c>
      <c r="P206" t="str">
        <f t="shared" si="3"/>
        <v xml:space="preserve">[^ftn206]: </v>
      </c>
    </row>
    <row r="207" spans="7:16" x14ac:dyDescent="0.25">
      <c r="G207" t="s">
        <v>894</v>
      </c>
      <c r="H207">
        <v>207</v>
      </c>
      <c r="I207">
        <v>207</v>
      </c>
      <c r="N207" t="s">
        <v>895</v>
      </c>
      <c r="O207">
        <v>207</v>
      </c>
      <c r="P207" t="str">
        <f t="shared" si="3"/>
        <v xml:space="preserve">[^ftn207]: </v>
      </c>
    </row>
    <row r="208" spans="7:16" x14ac:dyDescent="0.25">
      <c r="G208" t="s">
        <v>894</v>
      </c>
      <c r="H208">
        <v>208</v>
      </c>
      <c r="I208">
        <v>208</v>
      </c>
      <c r="N208" t="s">
        <v>895</v>
      </c>
      <c r="O208">
        <v>208</v>
      </c>
      <c r="P208" t="str">
        <f t="shared" si="3"/>
        <v xml:space="preserve">[^ftn208]: </v>
      </c>
    </row>
    <row r="209" spans="7:16" x14ac:dyDescent="0.25">
      <c r="G209" t="s">
        <v>894</v>
      </c>
      <c r="H209">
        <v>209</v>
      </c>
      <c r="I209">
        <v>209</v>
      </c>
      <c r="N209" t="s">
        <v>895</v>
      </c>
      <c r="O209">
        <v>209</v>
      </c>
      <c r="P209" t="str">
        <f t="shared" si="3"/>
        <v xml:space="preserve">[^ftn209]: </v>
      </c>
    </row>
    <row r="210" spans="7:16" x14ac:dyDescent="0.25">
      <c r="G210" t="s">
        <v>894</v>
      </c>
      <c r="H210">
        <v>210</v>
      </c>
      <c r="I210">
        <v>210</v>
      </c>
      <c r="N210" t="s">
        <v>895</v>
      </c>
      <c r="O210">
        <v>210</v>
      </c>
      <c r="P210" t="str">
        <f t="shared" si="3"/>
        <v xml:space="preserve">[^ftn210]: </v>
      </c>
    </row>
    <row r="211" spans="7:16" x14ac:dyDescent="0.25">
      <c r="G211" t="s">
        <v>894</v>
      </c>
      <c r="H211">
        <v>211</v>
      </c>
      <c r="I211">
        <v>211</v>
      </c>
      <c r="N211" t="s">
        <v>895</v>
      </c>
      <c r="O211">
        <v>211</v>
      </c>
      <c r="P211" t="str">
        <f t="shared" si="3"/>
        <v xml:space="preserve">[^ftn211]: </v>
      </c>
    </row>
    <row r="212" spans="7:16" x14ac:dyDescent="0.25">
      <c r="G212" t="s">
        <v>894</v>
      </c>
      <c r="H212">
        <v>212</v>
      </c>
      <c r="I212">
        <v>212</v>
      </c>
      <c r="N212" t="s">
        <v>895</v>
      </c>
      <c r="O212">
        <v>212</v>
      </c>
      <c r="P212" t="str">
        <f t="shared" si="3"/>
        <v xml:space="preserve">[^ftn212]: </v>
      </c>
    </row>
    <row r="213" spans="7:16" x14ac:dyDescent="0.25">
      <c r="G213" t="s">
        <v>894</v>
      </c>
      <c r="H213">
        <v>213</v>
      </c>
      <c r="I213">
        <v>213</v>
      </c>
      <c r="N213" t="s">
        <v>895</v>
      </c>
      <c r="O213">
        <v>213</v>
      </c>
      <c r="P213" t="str">
        <f t="shared" si="3"/>
        <v xml:space="preserve">[^ftn213]: </v>
      </c>
    </row>
    <row r="214" spans="7:16" x14ac:dyDescent="0.25">
      <c r="G214" t="s">
        <v>894</v>
      </c>
      <c r="H214">
        <v>214</v>
      </c>
      <c r="I214">
        <v>214</v>
      </c>
      <c r="N214" t="s">
        <v>895</v>
      </c>
      <c r="O214">
        <v>214</v>
      </c>
      <c r="P214" t="str">
        <f t="shared" si="3"/>
        <v xml:space="preserve">[^ftn214]: </v>
      </c>
    </row>
    <row r="215" spans="7:16" x14ac:dyDescent="0.25">
      <c r="G215" t="s">
        <v>894</v>
      </c>
      <c r="H215">
        <v>215</v>
      </c>
      <c r="I215">
        <v>215</v>
      </c>
      <c r="N215" t="s">
        <v>895</v>
      </c>
      <c r="O215">
        <v>215</v>
      </c>
      <c r="P215" t="str">
        <f t="shared" si="3"/>
        <v xml:space="preserve">[^ftn215]: </v>
      </c>
    </row>
    <row r="216" spans="7:16" x14ac:dyDescent="0.25">
      <c r="G216" t="s">
        <v>894</v>
      </c>
      <c r="H216">
        <v>216</v>
      </c>
      <c r="I216">
        <v>216</v>
      </c>
      <c r="N216" t="s">
        <v>895</v>
      </c>
      <c r="O216">
        <v>216</v>
      </c>
      <c r="P216" t="str">
        <f t="shared" si="3"/>
        <v xml:space="preserve">[^ftn216]: </v>
      </c>
    </row>
    <row r="217" spans="7:16" x14ac:dyDescent="0.25">
      <c r="G217" t="s">
        <v>894</v>
      </c>
      <c r="H217">
        <v>217</v>
      </c>
      <c r="I217">
        <v>217</v>
      </c>
      <c r="N217" t="s">
        <v>895</v>
      </c>
      <c r="O217">
        <v>217</v>
      </c>
      <c r="P217" t="str">
        <f t="shared" si="3"/>
        <v xml:space="preserve">[^ftn217]: </v>
      </c>
    </row>
    <row r="218" spans="7:16" x14ac:dyDescent="0.25">
      <c r="G218" t="s">
        <v>894</v>
      </c>
      <c r="H218">
        <v>218</v>
      </c>
      <c r="I218">
        <v>218</v>
      </c>
      <c r="N218" t="s">
        <v>895</v>
      </c>
      <c r="O218">
        <v>218</v>
      </c>
      <c r="P218" t="str">
        <f t="shared" si="3"/>
        <v xml:space="preserve">[^ftn218]: </v>
      </c>
    </row>
    <row r="219" spans="7:16" x14ac:dyDescent="0.25">
      <c r="G219" t="s">
        <v>894</v>
      </c>
      <c r="H219">
        <v>219</v>
      </c>
      <c r="I219">
        <v>219</v>
      </c>
      <c r="N219" t="s">
        <v>895</v>
      </c>
      <c r="O219">
        <v>219</v>
      </c>
      <c r="P219" t="str">
        <f t="shared" si="3"/>
        <v xml:space="preserve">[^ftn219]: </v>
      </c>
    </row>
    <row r="220" spans="7:16" x14ac:dyDescent="0.25">
      <c r="G220" t="s">
        <v>894</v>
      </c>
      <c r="H220">
        <v>220</v>
      </c>
      <c r="I220">
        <v>220</v>
      </c>
      <c r="N220" t="s">
        <v>895</v>
      </c>
      <c r="O220">
        <v>220</v>
      </c>
      <c r="P220" t="str">
        <f t="shared" si="3"/>
        <v xml:space="preserve">[^ftn220]: </v>
      </c>
    </row>
    <row r="221" spans="7:16" x14ac:dyDescent="0.25">
      <c r="G221" t="s">
        <v>894</v>
      </c>
      <c r="H221">
        <v>221</v>
      </c>
      <c r="I221">
        <v>221</v>
      </c>
      <c r="N221" t="s">
        <v>895</v>
      </c>
      <c r="O221">
        <v>221</v>
      </c>
      <c r="P221" t="str">
        <f t="shared" si="3"/>
        <v xml:space="preserve">[^ftn221]: </v>
      </c>
    </row>
    <row r="222" spans="7:16" x14ac:dyDescent="0.25">
      <c r="G222" t="s">
        <v>894</v>
      </c>
      <c r="H222">
        <v>222</v>
      </c>
      <c r="I222">
        <v>222</v>
      </c>
      <c r="N222" t="s">
        <v>895</v>
      </c>
      <c r="O222">
        <v>222</v>
      </c>
      <c r="P222" t="str">
        <f t="shared" si="3"/>
        <v xml:space="preserve">[^ftn222]: </v>
      </c>
    </row>
    <row r="223" spans="7:16" x14ac:dyDescent="0.25">
      <c r="G223" t="s">
        <v>894</v>
      </c>
      <c r="H223">
        <v>223</v>
      </c>
      <c r="I223">
        <v>223</v>
      </c>
      <c r="N223" t="s">
        <v>895</v>
      </c>
      <c r="O223">
        <v>223</v>
      </c>
      <c r="P223" t="str">
        <f t="shared" si="3"/>
        <v xml:space="preserve">[^ftn223]: </v>
      </c>
    </row>
    <row r="224" spans="7:16" x14ac:dyDescent="0.25">
      <c r="G224" t="s">
        <v>894</v>
      </c>
      <c r="H224">
        <v>224</v>
      </c>
      <c r="I224">
        <v>224</v>
      </c>
      <c r="N224" t="s">
        <v>895</v>
      </c>
      <c r="O224">
        <v>224</v>
      </c>
      <c r="P224" t="str">
        <f t="shared" si="3"/>
        <v xml:space="preserve">[^ftn224]: </v>
      </c>
    </row>
    <row r="225" spans="7:16" x14ac:dyDescent="0.25">
      <c r="G225" t="s">
        <v>894</v>
      </c>
      <c r="H225">
        <v>225</v>
      </c>
      <c r="I225">
        <v>225</v>
      </c>
      <c r="N225" t="s">
        <v>895</v>
      </c>
      <c r="O225">
        <v>225</v>
      </c>
      <c r="P225" t="str">
        <f t="shared" si="3"/>
        <v xml:space="preserve">[^ftn225]: </v>
      </c>
    </row>
    <row r="226" spans="7:16" x14ac:dyDescent="0.25">
      <c r="G226" t="s">
        <v>894</v>
      </c>
      <c r="H226">
        <v>226</v>
      </c>
      <c r="I226">
        <v>226</v>
      </c>
      <c r="N226" t="s">
        <v>895</v>
      </c>
      <c r="O226">
        <v>226</v>
      </c>
      <c r="P226" t="str">
        <f t="shared" si="3"/>
        <v xml:space="preserve">[^ftn226]: </v>
      </c>
    </row>
    <row r="227" spans="7:16" x14ac:dyDescent="0.25">
      <c r="G227" t="s">
        <v>894</v>
      </c>
      <c r="H227">
        <v>227</v>
      </c>
      <c r="I227">
        <v>227</v>
      </c>
      <c r="N227" t="s">
        <v>895</v>
      </c>
      <c r="O227">
        <v>227</v>
      </c>
      <c r="P227" t="str">
        <f t="shared" si="3"/>
        <v xml:space="preserve">[^ftn227]: </v>
      </c>
    </row>
    <row r="228" spans="7:16" x14ac:dyDescent="0.25">
      <c r="G228" t="s">
        <v>894</v>
      </c>
      <c r="H228">
        <v>228</v>
      </c>
      <c r="I228">
        <v>228</v>
      </c>
      <c r="N228" t="s">
        <v>895</v>
      </c>
      <c r="O228">
        <v>228</v>
      </c>
      <c r="P228" t="str">
        <f t="shared" si="3"/>
        <v xml:space="preserve">[^ftn228]: </v>
      </c>
    </row>
    <row r="229" spans="7:16" x14ac:dyDescent="0.25">
      <c r="G229" t="s">
        <v>894</v>
      </c>
      <c r="H229">
        <v>229</v>
      </c>
      <c r="I229">
        <v>229</v>
      </c>
      <c r="N229" t="s">
        <v>895</v>
      </c>
      <c r="O229">
        <v>229</v>
      </c>
      <c r="P229" t="str">
        <f t="shared" si="3"/>
        <v xml:space="preserve">[^ftn229]: </v>
      </c>
    </row>
    <row r="230" spans="7:16" x14ac:dyDescent="0.25">
      <c r="G230" t="s">
        <v>894</v>
      </c>
      <c r="H230">
        <v>230</v>
      </c>
      <c r="I230">
        <v>230</v>
      </c>
      <c r="N230" t="s">
        <v>895</v>
      </c>
      <c r="O230">
        <v>230</v>
      </c>
      <c r="P230" t="str">
        <f t="shared" si="3"/>
        <v xml:space="preserve">[^ftn230]: </v>
      </c>
    </row>
    <row r="231" spans="7:16" x14ac:dyDescent="0.25">
      <c r="G231" t="s">
        <v>894</v>
      </c>
      <c r="H231">
        <v>231</v>
      </c>
      <c r="I231">
        <v>231</v>
      </c>
      <c r="N231" t="s">
        <v>895</v>
      </c>
      <c r="O231">
        <v>231</v>
      </c>
      <c r="P231" t="str">
        <f t="shared" si="3"/>
        <v xml:space="preserve">[^ftn231]: </v>
      </c>
    </row>
    <row r="232" spans="7:16" x14ac:dyDescent="0.25">
      <c r="G232" t="s">
        <v>894</v>
      </c>
      <c r="H232">
        <v>232</v>
      </c>
      <c r="I232">
        <v>232</v>
      </c>
      <c r="N232" t="s">
        <v>895</v>
      </c>
      <c r="O232">
        <v>232</v>
      </c>
      <c r="P232" t="str">
        <f t="shared" si="3"/>
        <v xml:space="preserve">[^ftn232]: </v>
      </c>
    </row>
    <row r="233" spans="7:16" x14ac:dyDescent="0.25">
      <c r="G233" t="s">
        <v>894</v>
      </c>
      <c r="H233">
        <v>233</v>
      </c>
      <c r="I233">
        <v>233</v>
      </c>
      <c r="N233" t="s">
        <v>895</v>
      </c>
      <c r="O233">
        <v>233</v>
      </c>
      <c r="P233" t="str">
        <f t="shared" si="3"/>
        <v xml:space="preserve">[^ftn233]: </v>
      </c>
    </row>
    <row r="234" spans="7:16" x14ac:dyDescent="0.25">
      <c r="G234" t="s">
        <v>894</v>
      </c>
      <c r="H234">
        <v>234</v>
      </c>
      <c r="I234">
        <v>234</v>
      </c>
      <c r="N234" t="s">
        <v>895</v>
      </c>
      <c r="O234">
        <v>234</v>
      </c>
      <c r="P234" t="str">
        <f t="shared" si="3"/>
        <v xml:space="preserve">[^ftn234]: </v>
      </c>
    </row>
    <row r="235" spans="7:16" x14ac:dyDescent="0.25">
      <c r="G235" t="s">
        <v>894</v>
      </c>
      <c r="H235">
        <v>235</v>
      </c>
      <c r="I235">
        <v>235</v>
      </c>
      <c r="N235" t="s">
        <v>895</v>
      </c>
      <c r="O235">
        <v>235</v>
      </c>
      <c r="P235" t="str">
        <f t="shared" si="3"/>
        <v xml:space="preserve">[^ftn235]: </v>
      </c>
    </row>
    <row r="236" spans="7:16" x14ac:dyDescent="0.25">
      <c r="G236" t="s">
        <v>894</v>
      </c>
      <c r="H236">
        <v>236</v>
      </c>
      <c r="I236">
        <v>236</v>
      </c>
      <c r="N236" t="s">
        <v>895</v>
      </c>
      <c r="O236">
        <v>236</v>
      </c>
      <c r="P236" t="str">
        <f t="shared" si="3"/>
        <v xml:space="preserve">[^ftn236]: </v>
      </c>
    </row>
    <row r="237" spans="7:16" x14ac:dyDescent="0.25">
      <c r="G237" t="s">
        <v>894</v>
      </c>
      <c r="H237">
        <v>237</v>
      </c>
      <c r="I237">
        <v>237</v>
      </c>
      <c r="N237" t="s">
        <v>895</v>
      </c>
      <c r="O237">
        <v>237</v>
      </c>
      <c r="P237" t="str">
        <f t="shared" si="3"/>
        <v xml:space="preserve">[^ftn237]: </v>
      </c>
    </row>
    <row r="238" spans="7:16" x14ac:dyDescent="0.25">
      <c r="G238" t="s">
        <v>894</v>
      </c>
      <c r="H238">
        <v>238</v>
      </c>
      <c r="I238">
        <v>238</v>
      </c>
      <c r="N238" t="s">
        <v>895</v>
      </c>
      <c r="O238">
        <v>238</v>
      </c>
      <c r="P238" t="str">
        <f t="shared" si="3"/>
        <v xml:space="preserve">[^ftn238]: </v>
      </c>
    </row>
    <row r="239" spans="7:16" x14ac:dyDescent="0.25">
      <c r="G239" t="s">
        <v>894</v>
      </c>
      <c r="H239">
        <v>239</v>
      </c>
      <c r="I239">
        <v>239</v>
      </c>
      <c r="N239" t="s">
        <v>895</v>
      </c>
      <c r="O239">
        <v>239</v>
      </c>
      <c r="P239" t="str">
        <f t="shared" si="3"/>
        <v xml:space="preserve">[^ftn239]: </v>
      </c>
    </row>
    <row r="240" spans="7:16" x14ac:dyDescent="0.25">
      <c r="G240" t="s">
        <v>894</v>
      </c>
      <c r="H240">
        <v>240</v>
      </c>
      <c r="I240">
        <v>240</v>
      </c>
      <c r="N240" t="s">
        <v>895</v>
      </c>
      <c r="O240">
        <v>240</v>
      </c>
      <c r="P240" t="str">
        <f t="shared" si="3"/>
        <v xml:space="preserve">[^ftn240]: </v>
      </c>
    </row>
    <row r="241" spans="7:16" x14ac:dyDescent="0.25">
      <c r="G241" t="s">
        <v>894</v>
      </c>
      <c r="H241">
        <v>241</v>
      </c>
      <c r="I241">
        <v>241</v>
      </c>
      <c r="N241" t="s">
        <v>895</v>
      </c>
      <c r="O241">
        <v>241</v>
      </c>
      <c r="P241" t="str">
        <f t="shared" si="3"/>
        <v xml:space="preserve">[^ftn241]: </v>
      </c>
    </row>
    <row r="242" spans="7:16" x14ac:dyDescent="0.25">
      <c r="G242" t="s">
        <v>894</v>
      </c>
      <c r="H242">
        <v>242</v>
      </c>
      <c r="I242">
        <v>242</v>
      </c>
      <c r="N242" t="s">
        <v>895</v>
      </c>
      <c r="O242">
        <v>242</v>
      </c>
      <c r="P242" t="str">
        <f t="shared" si="3"/>
        <v xml:space="preserve">[^ftn242]: </v>
      </c>
    </row>
    <row r="243" spans="7:16" x14ac:dyDescent="0.25">
      <c r="G243" t="s">
        <v>894</v>
      </c>
      <c r="H243">
        <v>243</v>
      </c>
      <c r="I243">
        <v>243</v>
      </c>
      <c r="N243" t="s">
        <v>895</v>
      </c>
      <c r="O243">
        <v>243</v>
      </c>
      <c r="P243" t="str">
        <f t="shared" si="3"/>
        <v xml:space="preserve">[^ftn243]: </v>
      </c>
    </row>
    <row r="244" spans="7:16" x14ac:dyDescent="0.25">
      <c r="G244" t="s">
        <v>894</v>
      </c>
      <c r="H244">
        <v>244</v>
      </c>
      <c r="I244">
        <v>244</v>
      </c>
      <c r="N244" t="s">
        <v>895</v>
      </c>
      <c r="O244">
        <v>244</v>
      </c>
      <c r="P244" t="str">
        <f t="shared" si="3"/>
        <v xml:space="preserve">[^ftn244]: </v>
      </c>
    </row>
    <row r="245" spans="7:16" x14ac:dyDescent="0.25">
      <c r="G245" t="s">
        <v>894</v>
      </c>
      <c r="H245">
        <v>245</v>
      </c>
      <c r="I245">
        <v>245</v>
      </c>
      <c r="N245" t="s">
        <v>895</v>
      </c>
      <c r="O245">
        <v>245</v>
      </c>
      <c r="P245" t="str">
        <f t="shared" si="3"/>
        <v xml:space="preserve">[^ftn245]: </v>
      </c>
    </row>
    <row r="246" spans="7:16" x14ac:dyDescent="0.25">
      <c r="G246" t="s">
        <v>894</v>
      </c>
      <c r="H246">
        <v>246</v>
      </c>
      <c r="I246">
        <v>246</v>
      </c>
      <c r="N246" t="s">
        <v>895</v>
      </c>
      <c r="O246">
        <v>246</v>
      </c>
      <c r="P246" t="str">
        <f t="shared" si="3"/>
        <v xml:space="preserve">[^ftn246]: </v>
      </c>
    </row>
    <row r="247" spans="7:16" x14ac:dyDescent="0.25">
      <c r="G247" t="s">
        <v>894</v>
      </c>
      <c r="H247">
        <v>247</v>
      </c>
      <c r="I247">
        <v>247</v>
      </c>
      <c r="N247" t="s">
        <v>895</v>
      </c>
      <c r="O247">
        <v>247</v>
      </c>
      <c r="P247" t="str">
        <f t="shared" si="3"/>
        <v xml:space="preserve">[^ftn247]: </v>
      </c>
    </row>
    <row r="248" spans="7:16" x14ac:dyDescent="0.25">
      <c r="G248" t="s">
        <v>894</v>
      </c>
      <c r="H248">
        <v>248</v>
      </c>
      <c r="I248">
        <v>248</v>
      </c>
      <c r="N248" t="s">
        <v>895</v>
      </c>
      <c r="O248">
        <v>248</v>
      </c>
      <c r="P248" t="str">
        <f t="shared" si="3"/>
        <v xml:space="preserve">[^ftn248]: </v>
      </c>
    </row>
    <row r="249" spans="7:16" x14ac:dyDescent="0.25">
      <c r="G249" t="s">
        <v>894</v>
      </c>
      <c r="H249">
        <v>249</v>
      </c>
      <c r="I249">
        <v>249</v>
      </c>
      <c r="N249" t="s">
        <v>895</v>
      </c>
      <c r="O249">
        <v>249</v>
      </c>
      <c r="P249" t="str">
        <f t="shared" si="3"/>
        <v xml:space="preserve">[^ftn249]: </v>
      </c>
    </row>
    <row r="250" spans="7:16" x14ac:dyDescent="0.25">
      <c r="G250" t="s">
        <v>894</v>
      </c>
      <c r="H250">
        <v>250</v>
      </c>
      <c r="I250">
        <v>250</v>
      </c>
      <c r="N250" t="s">
        <v>895</v>
      </c>
      <c r="O250">
        <v>250</v>
      </c>
      <c r="P250" t="str">
        <f t="shared" si="3"/>
        <v xml:space="preserve">[^ftn250]: </v>
      </c>
    </row>
    <row r="251" spans="7:16" x14ac:dyDescent="0.25">
      <c r="G251" t="s">
        <v>894</v>
      </c>
      <c r="H251">
        <v>251</v>
      </c>
      <c r="I251">
        <v>251</v>
      </c>
      <c r="N251" t="s">
        <v>895</v>
      </c>
      <c r="O251">
        <v>251</v>
      </c>
      <c r="P251" t="str">
        <f t="shared" si="3"/>
        <v xml:space="preserve">[^ftn251]: </v>
      </c>
    </row>
    <row r="252" spans="7:16" x14ac:dyDescent="0.25">
      <c r="G252" t="s">
        <v>894</v>
      </c>
      <c r="H252">
        <v>252</v>
      </c>
      <c r="I252">
        <v>252</v>
      </c>
      <c r="N252" t="s">
        <v>895</v>
      </c>
      <c r="O252">
        <v>252</v>
      </c>
      <c r="P252" t="str">
        <f t="shared" si="3"/>
        <v xml:space="preserve">[^ftn252]: </v>
      </c>
    </row>
    <row r="253" spans="7:16" x14ac:dyDescent="0.25">
      <c r="G253" t="s">
        <v>894</v>
      </c>
      <c r="H253">
        <v>253</v>
      </c>
      <c r="I253">
        <v>253</v>
      </c>
      <c r="N253" t="s">
        <v>895</v>
      </c>
      <c r="O253">
        <v>253</v>
      </c>
      <c r="P253" t="str">
        <f t="shared" si="3"/>
        <v xml:space="preserve">[^ftn253]: </v>
      </c>
    </row>
    <row r="254" spans="7:16" x14ac:dyDescent="0.25">
      <c r="G254" t="s">
        <v>894</v>
      </c>
      <c r="H254">
        <v>254</v>
      </c>
      <c r="I254">
        <v>254</v>
      </c>
      <c r="N254" t="s">
        <v>895</v>
      </c>
      <c r="O254">
        <v>254</v>
      </c>
      <c r="P254" t="str">
        <f t="shared" si="3"/>
        <v xml:space="preserve">[^ftn254]: </v>
      </c>
    </row>
    <row r="255" spans="7:16" x14ac:dyDescent="0.25">
      <c r="G255" t="s">
        <v>894</v>
      </c>
      <c r="H255">
        <v>255</v>
      </c>
      <c r="I255">
        <v>255</v>
      </c>
      <c r="N255" t="s">
        <v>895</v>
      </c>
      <c r="O255">
        <v>255</v>
      </c>
      <c r="P255" t="str">
        <f t="shared" si="3"/>
        <v xml:space="preserve">[^ftn255]: </v>
      </c>
    </row>
    <row r="256" spans="7:16" x14ac:dyDescent="0.25">
      <c r="G256" t="s">
        <v>894</v>
      </c>
      <c r="H256">
        <v>256</v>
      </c>
      <c r="I256">
        <v>256</v>
      </c>
      <c r="N256" t="s">
        <v>895</v>
      </c>
      <c r="O256">
        <v>256</v>
      </c>
      <c r="P256" t="str">
        <f t="shared" si="3"/>
        <v xml:space="preserve">[^ftn256]: </v>
      </c>
    </row>
    <row r="257" spans="7:16" x14ac:dyDescent="0.25">
      <c r="G257" t="s">
        <v>894</v>
      </c>
      <c r="H257">
        <v>257</v>
      </c>
      <c r="I257">
        <v>257</v>
      </c>
      <c r="N257" t="s">
        <v>895</v>
      </c>
      <c r="O257">
        <v>257</v>
      </c>
      <c r="P257" t="str">
        <f t="shared" si="3"/>
        <v xml:space="preserve">[^ftn257]: </v>
      </c>
    </row>
    <row r="258" spans="7:16" x14ac:dyDescent="0.25">
      <c r="G258" t="s">
        <v>894</v>
      </c>
      <c r="H258">
        <v>258</v>
      </c>
      <c r="I258">
        <v>258</v>
      </c>
      <c r="N258" t="s">
        <v>895</v>
      </c>
      <c r="O258">
        <v>258</v>
      </c>
      <c r="P258" t="str">
        <f t="shared" ref="P258:P321" si="4">_xlfn.CONCAT("[^ftn",O258,"]: ",)</f>
        <v xml:space="preserve">[^ftn258]: </v>
      </c>
    </row>
    <row r="259" spans="7:16" x14ac:dyDescent="0.25">
      <c r="G259" t="s">
        <v>894</v>
      </c>
      <c r="H259">
        <v>259</v>
      </c>
      <c r="I259">
        <v>259</v>
      </c>
      <c r="N259" t="s">
        <v>895</v>
      </c>
      <c r="O259">
        <v>259</v>
      </c>
      <c r="P259" t="str">
        <f t="shared" si="4"/>
        <v xml:space="preserve">[^ftn259]: </v>
      </c>
    </row>
    <row r="260" spans="7:16" x14ac:dyDescent="0.25">
      <c r="G260" t="s">
        <v>894</v>
      </c>
      <c r="H260">
        <v>260</v>
      </c>
      <c r="I260">
        <v>260</v>
      </c>
      <c r="N260" t="s">
        <v>895</v>
      </c>
      <c r="O260">
        <v>260</v>
      </c>
      <c r="P260" t="str">
        <f t="shared" si="4"/>
        <v xml:space="preserve">[^ftn260]: </v>
      </c>
    </row>
    <row r="261" spans="7:16" x14ac:dyDescent="0.25">
      <c r="G261" t="s">
        <v>894</v>
      </c>
      <c r="H261">
        <v>261</v>
      </c>
      <c r="I261">
        <v>261</v>
      </c>
      <c r="N261" t="s">
        <v>895</v>
      </c>
      <c r="O261">
        <v>261</v>
      </c>
      <c r="P261" t="str">
        <f t="shared" si="4"/>
        <v xml:space="preserve">[^ftn261]: </v>
      </c>
    </row>
    <row r="262" spans="7:16" x14ac:dyDescent="0.25">
      <c r="G262" t="s">
        <v>894</v>
      </c>
      <c r="H262">
        <v>262</v>
      </c>
      <c r="I262">
        <v>262</v>
      </c>
      <c r="N262" t="s">
        <v>895</v>
      </c>
      <c r="O262">
        <v>262</v>
      </c>
      <c r="P262" t="str">
        <f t="shared" si="4"/>
        <v xml:space="preserve">[^ftn262]: </v>
      </c>
    </row>
    <row r="263" spans="7:16" x14ac:dyDescent="0.25">
      <c r="G263" t="s">
        <v>894</v>
      </c>
      <c r="H263">
        <v>263</v>
      </c>
      <c r="I263">
        <v>263</v>
      </c>
      <c r="N263" t="s">
        <v>895</v>
      </c>
      <c r="O263">
        <v>263</v>
      </c>
      <c r="P263" t="str">
        <f t="shared" si="4"/>
        <v xml:space="preserve">[^ftn263]: </v>
      </c>
    </row>
    <row r="264" spans="7:16" x14ac:dyDescent="0.25">
      <c r="G264" t="s">
        <v>894</v>
      </c>
      <c r="H264">
        <v>264</v>
      </c>
      <c r="I264">
        <v>264</v>
      </c>
      <c r="N264" t="s">
        <v>895</v>
      </c>
      <c r="O264">
        <v>264</v>
      </c>
      <c r="P264" t="str">
        <f t="shared" si="4"/>
        <v xml:space="preserve">[^ftn264]: </v>
      </c>
    </row>
    <row r="265" spans="7:16" x14ac:dyDescent="0.25">
      <c r="G265" t="s">
        <v>894</v>
      </c>
      <c r="H265">
        <v>265</v>
      </c>
      <c r="I265">
        <v>265</v>
      </c>
      <c r="N265" t="s">
        <v>895</v>
      </c>
      <c r="O265">
        <v>265</v>
      </c>
      <c r="P265" t="str">
        <f t="shared" si="4"/>
        <v xml:space="preserve">[^ftn265]: </v>
      </c>
    </row>
    <row r="266" spans="7:16" x14ac:dyDescent="0.25">
      <c r="G266" t="s">
        <v>894</v>
      </c>
      <c r="H266">
        <v>266</v>
      </c>
      <c r="I266">
        <v>266</v>
      </c>
      <c r="N266" t="s">
        <v>895</v>
      </c>
      <c r="O266">
        <v>266</v>
      </c>
      <c r="P266" t="str">
        <f t="shared" si="4"/>
        <v xml:space="preserve">[^ftn266]: </v>
      </c>
    </row>
    <row r="267" spans="7:16" x14ac:dyDescent="0.25">
      <c r="G267" t="s">
        <v>894</v>
      </c>
      <c r="H267">
        <v>267</v>
      </c>
      <c r="I267">
        <v>267</v>
      </c>
      <c r="N267" t="s">
        <v>895</v>
      </c>
      <c r="O267">
        <v>267</v>
      </c>
      <c r="P267" t="str">
        <f t="shared" si="4"/>
        <v xml:space="preserve">[^ftn267]: </v>
      </c>
    </row>
    <row r="268" spans="7:16" x14ac:dyDescent="0.25">
      <c r="G268" t="s">
        <v>894</v>
      </c>
      <c r="H268">
        <v>268</v>
      </c>
      <c r="I268">
        <v>268</v>
      </c>
      <c r="N268" t="s">
        <v>895</v>
      </c>
      <c r="O268">
        <v>268</v>
      </c>
      <c r="P268" t="str">
        <f t="shared" si="4"/>
        <v xml:space="preserve">[^ftn268]: </v>
      </c>
    </row>
    <row r="269" spans="7:16" x14ac:dyDescent="0.25">
      <c r="G269" t="s">
        <v>894</v>
      </c>
      <c r="H269">
        <v>269</v>
      </c>
      <c r="I269">
        <v>269</v>
      </c>
      <c r="N269" t="s">
        <v>895</v>
      </c>
      <c r="O269">
        <v>269</v>
      </c>
      <c r="P269" t="str">
        <f t="shared" si="4"/>
        <v xml:space="preserve">[^ftn269]: </v>
      </c>
    </row>
    <row r="270" spans="7:16" x14ac:dyDescent="0.25">
      <c r="G270" t="s">
        <v>894</v>
      </c>
      <c r="H270">
        <v>270</v>
      </c>
      <c r="I270">
        <v>270</v>
      </c>
      <c r="N270" t="s">
        <v>895</v>
      </c>
      <c r="O270">
        <v>270</v>
      </c>
      <c r="P270" t="str">
        <f t="shared" si="4"/>
        <v xml:space="preserve">[^ftn270]: </v>
      </c>
    </row>
    <row r="271" spans="7:16" x14ac:dyDescent="0.25">
      <c r="G271" t="s">
        <v>894</v>
      </c>
      <c r="H271">
        <v>271</v>
      </c>
      <c r="I271">
        <v>271</v>
      </c>
      <c r="N271" t="s">
        <v>895</v>
      </c>
      <c r="O271">
        <v>271</v>
      </c>
      <c r="P271" t="str">
        <f t="shared" si="4"/>
        <v xml:space="preserve">[^ftn271]: </v>
      </c>
    </row>
    <row r="272" spans="7:16" x14ac:dyDescent="0.25">
      <c r="G272" t="s">
        <v>894</v>
      </c>
      <c r="H272">
        <v>272</v>
      </c>
      <c r="I272">
        <v>272</v>
      </c>
      <c r="N272" t="s">
        <v>895</v>
      </c>
      <c r="O272">
        <v>272</v>
      </c>
      <c r="P272" t="str">
        <f t="shared" si="4"/>
        <v xml:space="preserve">[^ftn272]: </v>
      </c>
    </row>
    <row r="273" spans="7:16" x14ac:dyDescent="0.25">
      <c r="G273" t="s">
        <v>894</v>
      </c>
      <c r="H273">
        <v>273</v>
      </c>
      <c r="I273">
        <v>273</v>
      </c>
      <c r="N273" t="s">
        <v>895</v>
      </c>
      <c r="O273">
        <v>273</v>
      </c>
      <c r="P273" t="str">
        <f t="shared" si="4"/>
        <v xml:space="preserve">[^ftn273]: </v>
      </c>
    </row>
    <row r="274" spans="7:16" x14ac:dyDescent="0.25">
      <c r="G274" t="s">
        <v>894</v>
      </c>
      <c r="H274">
        <v>274</v>
      </c>
      <c r="I274">
        <v>274</v>
      </c>
      <c r="N274" t="s">
        <v>895</v>
      </c>
      <c r="O274">
        <v>274</v>
      </c>
      <c r="P274" t="str">
        <f t="shared" si="4"/>
        <v xml:space="preserve">[^ftn274]: </v>
      </c>
    </row>
    <row r="275" spans="7:16" x14ac:dyDescent="0.25">
      <c r="G275" t="s">
        <v>894</v>
      </c>
      <c r="H275">
        <v>275</v>
      </c>
      <c r="I275">
        <v>275</v>
      </c>
      <c r="N275" t="s">
        <v>895</v>
      </c>
      <c r="O275">
        <v>275</v>
      </c>
      <c r="P275" t="str">
        <f t="shared" si="4"/>
        <v xml:space="preserve">[^ftn275]: </v>
      </c>
    </row>
    <row r="276" spans="7:16" x14ac:dyDescent="0.25">
      <c r="G276" t="s">
        <v>894</v>
      </c>
      <c r="H276">
        <v>276</v>
      </c>
      <c r="I276">
        <v>276</v>
      </c>
      <c r="N276" t="s">
        <v>895</v>
      </c>
      <c r="O276">
        <v>276</v>
      </c>
      <c r="P276" t="str">
        <f t="shared" si="4"/>
        <v xml:space="preserve">[^ftn276]: </v>
      </c>
    </row>
    <row r="277" spans="7:16" x14ac:dyDescent="0.25">
      <c r="G277" t="s">
        <v>894</v>
      </c>
      <c r="H277">
        <v>277</v>
      </c>
      <c r="I277">
        <v>277</v>
      </c>
      <c r="N277" t="s">
        <v>895</v>
      </c>
      <c r="O277">
        <v>277</v>
      </c>
      <c r="P277" t="str">
        <f t="shared" si="4"/>
        <v xml:space="preserve">[^ftn277]: </v>
      </c>
    </row>
    <row r="278" spans="7:16" x14ac:dyDescent="0.25">
      <c r="G278" t="s">
        <v>894</v>
      </c>
      <c r="H278">
        <v>278</v>
      </c>
      <c r="I278">
        <v>278</v>
      </c>
      <c r="N278" t="s">
        <v>895</v>
      </c>
      <c r="O278">
        <v>278</v>
      </c>
      <c r="P278" t="str">
        <f t="shared" si="4"/>
        <v xml:space="preserve">[^ftn278]: </v>
      </c>
    </row>
    <row r="279" spans="7:16" x14ac:dyDescent="0.25">
      <c r="G279" t="s">
        <v>894</v>
      </c>
      <c r="H279">
        <v>279</v>
      </c>
      <c r="I279">
        <v>279</v>
      </c>
      <c r="N279" t="s">
        <v>895</v>
      </c>
      <c r="O279">
        <v>279</v>
      </c>
      <c r="P279" t="str">
        <f t="shared" si="4"/>
        <v xml:space="preserve">[^ftn279]: </v>
      </c>
    </row>
    <row r="280" spans="7:16" x14ac:dyDescent="0.25">
      <c r="G280" t="s">
        <v>894</v>
      </c>
      <c r="H280">
        <v>280</v>
      </c>
      <c r="I280">
        <v>280</v>
      </c>
      <c r="N280" t="s">
        <v>895</v>
      </c>
      <c r="O280">
        <v>280</v>
      </c>
      <c r="P280" t="str">
        <f t="shared" si="4"/>
        <v xml:space="preserve">[^ftn280]: </v>
      </c>
    </row>
    <row r="281" spans="7:16" x14ac:dyDescent="0.25">
      <c r="G281" t="s">
        <v>894</v>
      </c>
      <c r="H281">
        <v>281</v>
      </c>
      <c r="I281">
        <v>281</v>
      </c>
      <c r="N281" t="s">
        <v>895</v>
      </c>
      <c r="O281">
        <v>281</v>
      </c>
      <c r="P281" t="str">
        <f t="shared" si="4"/>
        <v xml:space="preserve">[^ftn281]: </v>
      </c>
    </row>
    <row r="282" spans="7:16" x14ac:dyDescent="0.25">
      <c r="G282" t="s">
        <v>894</v>
      </c>
      <c r="H282">
        <v>282</v>
      </c>
      <c r="I282">
        <v>282</v>
      </c>
      <c r="N282" t="s">
        <v>895</v>
      </c>
      <c r="O282">
        <v>282</v>
      </c>
      <c r="P282" t="str">
        <f t="shared" si="4"/>
        <v xml:space="preserve">[^ftn282]: </v>
      </c>
    </row>
    <row r="283" spans="7:16" x14ac:dyDescent="0.25">
      <c r="G283" t="s">
        <v>894</v>
      </c>
      <c r="H283">
        <v>283</v>
      </c>
      <c r="I283">
        <v>283</v>
      </c>
      <c r="N283" t="s">
        <v>895</v>
      </c>
      <c r="O283">
        <v>283</v>
      </c>
      <c r="P283" t="str">
        <f t="shared" si="4"/>
        <v xml:space="preserve">[^ftn283]: </v>
      </c>
    </row>
    <row r="284" spans="7:16" x14ac:dyDescent="0.25">
      <c r="G284" t="s">
        <v>894</v>
      </c>
      <c r="H284">
        <v>284</v>
      </c>
      <c r="I284">
        <v>284</v>
      </c>
      <c r="N284" t="s">
        <v>895</v>
      </c>
      <c r="O284">
        <v>284</v>
      </c>
      <c r="P284" t="str">
        <f t="shared" si="4"/>
        <v xml:space="preserve">[^ftn284]: </v>
      </c>
    </row>
    <row r="285" spans="7:16" x14ac:dyDescent="0.25">
      <c r="G285" t="s">
        <v>894</v>
      </c>
      <c r="H285">
        <v>285</v>
      </c>
      <c r="I285">
        <v>285</v>
      </c>
      <c r="N285" t="s">
        <v>895</v>
      </c>
      <c r="O285">
        <v>285</v>
      </c>
      <c r="P285" t="str">
        <f t="shared" si="4"/>
        <v xml:space="preserve">[^ftn285]: </v>
      </c>
    </row>
    <row r="286" spans="7:16" x14ac:dyDescent="0.25">
      <c r="G286" t="s">
        <v>894</v>
      </c>
      <c r="H286">
        <v>286</v>
      </c>
      <c r="I286">
        <v>286</v>
      </c>
      <c r="N286" t="s">
        <v>895</v>
      </c>
      <c r="O286">
        <v>286</v>
      </c>
      <c r="P286" t="str">
        <f t="shared" si="4"/>
        <v xml:space="preserve">[^ftn286]: </v>
      </c>
    </row>
    <row r="287" spans="7:16" x14ac:dyDescent="0.25">
      <c r="G287" t="s">
        <v>894</v>
      </c>
      <c r="H287">
        <v>287</v>
      </c>
      <c r="I287">
        <v>287</v>
      </c>
      <c r="N287" t="s">
        <v>895</v>
      </c>
      <c r="O287">
        <v>287</v>
      </c>
      <c r="P287" t="str">
        <f t="shared" si="4"/>
        <v xml:space="preserve">[^ftn287]: </v>
      </c>
    </row>
    <row r="288" spans="7:16" x14ac:dyDescent="0.25">
      <c r="G288" t="s">
        <v>894</v>
      </c>
      <c r="H288">
        <v>288</v>
      </c>
      <c r="I288">
        <v>288</v>
      </c>
      <c r="N288" t="s">
        <v>895</v>
      </c>
      <c r="O288">
        <v>288</v>
      </c>
      <c r="P288" t="str">
        <f t="shared" si="4"/>
        <v xml:space="preserve">[^ftn288]: </v>
      </c>
    </row>
    <row r="289" spans="7:16" x14ac:dyDescent="0.25">
      <c r="G289" t="s">
        <v>894</v>
      </c>
      <c r="H289">
        <v>289</v>
      </c>
      <c r="I289">
        <v>289</v>
      </c>
      <c r="N289" t="s">
        <v>895</v>
      </c>
      <c r="O289">
        <v>289</v>
      </c>
      <c r="P289" t="str">
        <f t="shared" si="4"/>
        <v xml:space="preserve">[^ftn289]: </v>
      </c>
    </row>
    <row r="290" spans="7:16" x14ac:dyDescent="0.25">
      <c r="G290" t="s">
        <v>894</v>
      </c>
      <c r="H290">
        <v>290</v>
      </c>
      <c r="I290">
        <v>290</v>
      </c>
      <c r="N290" t="s">
        <v>895</v>
      </c>
      <c r="O290">
        <v>290</v>
      </c>
      <c r="P290" t="str">
        <f t="shared" si="4"/>
        <v xml:space="preserve">[^ftn290]: </v>
      </c>
    </row>
    <row r="291" spans="7:16" x14ac:dyDescent="0.25">
      <c r="G291" t="s">
        <v>894</v>
      </c>
      <c r="H291">
        <v>291</v>
      </c>
      <c r="I291">
        <v>291</v>
      </c>
      <c r="N291" t="s">
        <v>895</v>
      </c>
      <c r="O291">
        <v>291</v>
      </c>
      <c r="P291" t="str">
        <f t="shared" si="4"/>
        <v xml:space="preserve">[^ftn291]: </v>
      </c>
    </row>
    <row r="292" spans="7:16" x14ac:dyDescent="0.25">
      <c r="G292" t="s">
        <v>894</v>
      </c>
      <c r="H292">
        <v>292</v>
      </c>
      <c r="I292">
        <v>292</v>
      </c>
      <c r="N292" t="s">
        <v>895</v>
      </c>
      <c r="O292">
        <v>292</v>
      </c>
      <c r="P292" t="str">
        <f t="shared" si="4"/>
        <v xml:space="preserve">[^ftn292]: </v>
      </c>
    </row>
    <row r="293" spans="7:16" x14ac:dyDescent="0.25">
      <c r="G293" t="s">
        <v>894</v>
      </c>
      <c r="H293">
        <v>293</v>
      </c>
      <c r="I293">
        <v>293</v>
      </c>
      <c r="N293" t="s">
        <v>895</v>
      </c>
      <c r="O293">
        <v>293</v>
      </c>
      <c r="P293" t="str">
        <f t="shared" si="4"/>
        <v xml:space="preserve">[^ftn293]: </v>
      </c>
    </row>
    <row r="294" spans="7:16" x14ac:dyDescent="0.25">
      <c r="G294" t="s">
        <v>894</v>
      </c>
      <c r="H294">
        <v>294</v>
      </c>
      <c r="I294">
        <v>294</v>
      </c>
      <c r="N294" t="s">
        <v>895</v>
      </c>
      <c r="O294">
        <v>294</v>
      </c>
      <c r="P294" t="str">
        <f t="shared" si="4"/>
        <v xml:space="preserve">[^ftn294]: </v>
      </c>
    </row>
    <row r="295" spans="7:16" x14ac:dyDescent="0.25">
      <c r="G295" t="s">
        <v>894</v>
      </c>
      <c r="H295">
        <v>295</v>
      </c>
      <c r="I295">
        <v>295</v>
      </c>
      <c r="N295" t="s">
        <v>895</v>
      </c>
      <c r="O295">
        <v>295</v>
      </c>
      <c r="P295" t="str">
        <f t="shared" si="4"/>
        <v xml:space="preserve">[^ftn295]: </v>
      </c>
    </row>
    <row r="296" spans="7:16" x14ac:dyDescent="0.25">
      <c r="G296" t="s">
        <v>894</v>
      </c>
      <c r="H296">
        <v>296</v>
      </c>
      <c r="I296">
        <v>296</v>
      </c>
      <c r="N296" t="s">
        <v>895</v>
      </c>
      <c r="O296">
        <v>296</v>
      </c>
      <c r="P296" t="str">
        <f t="shared" si="4"/>
        <v xml:space="preserve">[^ftn296]: </v>
      </c>
    </row>
    <row r="297" spans="7:16" x14ac:dyDescent="0.25">
      <c r="G297" t="s">
        <v>894</v>
      </c>
      <c r="H297">
        <v>297</v>
      </c>
      <c r="I297">
        <v>297</v>
      </c>
      <c r="N297" t="s">
        <v>895</v>
      </c>
      <c r="O297">
        <v>297</v>
      </c>
      <c r="P297" t="str">
        <f t="shared" si="4"/>
        <v xml:space="preserve">[^ftn297]: </v>
      </c>
    </row>
    <row r="298" spans="7:16" x14ac:dyDescent="0.25">
      <c r="G298" t="s">
        <v>894</v>
      </c>
      <c r="H298">
        <v>298</v>
      </c>
      <c r="I298">
        <v>298</v>
      </c>
      <c r="N298" t="s">
        <v>895</v>
      </c>
      <c r="O298">
        <v>298</v>
      </c>
      <c r="P298" t="str">
        <f t="shared" si="4"/>
        <v xml:space="preserve">[^ftn298]: </v>
      </c>
    </row>
    <row r="299" spans="7:16" x14ac:dyDescent="0.25">
      <c r="G299" t="s">
        <v>894</v>
      </c>
      <c r="H299">
        <v>299</v>
      </c>
      <c r="I299">
        <v>299</v>
      </c>
      <c r="N299" t="s">
        <v>895</v>
      </c>
      <c r="O299">
        <v>299</v>
      </c>
      <c r="P299" t="str">
        <f t="shared" si="4"/>
        <v xml:space="preserve">[^ftn299]: </v>
      </c>
    </row>
    <row r="300" spans="7:16" x14ac:dyDescent="0.25">
      <c r="G300" t="s">
        <v>894</v>
      </c>
      <c r="H300">
        <v>300</v>
      </c>
      <c r="I300">
        <v>300</v>
      </c>
      <c r="N300" t="s">
        <v>895</v>
      </c>
      <c r="O300">
        <v>300</v>
      </c>
      <c r="P300" t="str">
        <f t="shared" si="4"/>
        <v xml:space="preserve">[^ftn300]: </v>
      </c>
    </row>
    <row r="301" spans="7:16" x14ac:dyDescent="0.25">
      <c r="G301" t="s">
        <v>894</v>
      </c>
      <c r="H301">
        <v>301</v>
      </c>
      <c r="I301">
        <v>301</v>
      </c>
      <c r="N301" t="s">
        <v>895</v>
      </c>
      <c r="O301">
        <v>301</v>
      </c>
      <c r="P301" t="str">
        <f t="shared" si="4"/>
        <v xml:space="preserve">[^ftn301]: </v>
      </c>
    </row>
    <row r="302" spans="7:16" x14ac:dyDescent="0.25">
      <c r="G302" t="s">
        <v>894</v>
      </c>
      <c r="H302">
        <v>302</v>
      </c>
      <c r="I302">
        <v>302</v>
      </c>
      <c r="N302" t="s">
        <v>895</v>
      </c>
      <c r="O302">
        <v>302</v>
      </c>
      <c r="P302" t="str">
        <f t="shared" si="4"/>
        <v xml:space="preserve">[^ftn302]: </v>
      </c>
    </row>
    <row r="303" spans="7:16" x14ac:dyDescent="0.25">
      <c r="G303" t="s">
        <v>894</v>
      </c>
      <c r="H303">
        <v>303</v>
      </c>
      <c r="I303">
        <v>303</v>
      </c>
      <c r="N303" t="s">
        <v>895</v>
      </c>
      <c r="O303">
        <v>303</v>
      </c>
      <c r="P303" t="str">
        <f t="shared" si="4"/>
        <v xml:space="preserve">[^ftn303]: </v>
      </c>
    </row>
    <row r="304" spans="7:16" x14ac:dyDescent="0.25">
      <c r="G304" t="s">
        <v>894</v>
      </c>
      <c r="H304">
        <v>304</v>
      </c>
      <c r="I304">
        <v>304</v>
      </c>
      <c r="N304" t="s">
        <v>895</v>
      </c>
      <c r="O304">
        <v>304</v>
      </c>
      <c r="P304" t="str">
        <f t="shared" si="4"/>
        <v xml:space="preserve">[^ftn304]: </v>
      </c>
    </row>
    <row r="305" spans="7:16" x14ac:dyDescent="0.25">
      <c r="G305" t="s">
        <v>894</v>
      </c>
      <c r="H305">
        <v>305</v>
      </c>
      <c r="I305">
        <v>305</v>
      </c>
      <c r="N305" t="s">
        <v>895</v>
      </c>
      <c r="O305">
        <v>305</v>
      </c>
      <c r="P305" t="str">
        <f t="shared" si="4"/>
        <v xml:space="preserve">[^ftn305]: </v>
      </c>
    </row>
    <row r="306" spans="7:16" x14ac:dyDescent="0.25">
      <c r="G306" t="s">
        <v>894</v>
      </c>
      <c r="H306">
        <v>306</v>
      </c>
      <c r="I306">
        <v>306</v>
      </c>
      <c r="N306" t="s">
        <v>895</v>
      </c>
      <c r="O306">
        <v>306</v>
      </c>
      <c r="P306" t="str">
        <f t="shared" si="4"/>
        <v xml:space="preserve">[^ftn306]: </v>
      </c>
    </row>
    <row r="307" spans="7:16" x14ac:dyDescent="0.25">
      <c r="G307" t="s">
        <v>894</v>
      </c>
      <c r="H307">
        <v>307</v>
      </c>
      <c r="I307">
        <v>307</v>
      </c>
      <c r="N307" t="s">
        <v>895</v>
      </c>
      <c r="O307">
        <v>307</v>
      </c>
      <c r="P307" t="str">
        <f t="shared" si="4"/>
        <v xml:space="preserve">[^ftn307]: </v>
      </c>
    </row>
    <row r="308" spans="7:16" x14ac:dyDescent="0.25">
      <c r="G308" t="s">
        <v>894</v>
      </c>
      <c r="H308">
        <v>308</v>
      </c>
      <c r="I308">
        <v>308</v>
      </c>
      <c r="N308" t="s">
        <v>895</v>
      </c>
      <c r="O308">
        <v>308</v>
      </c>
      <c r="P308" t="str">
        <f t="shared" si="4"/>
        <v xml:space="preserve">[^ftn308]: </v>
      </c>
    </row>
    <row r="309" spans="7:16" x14ac:dyDescent="0.25">
      <c r="G309" t="s">
        <v>894</v>
      </c>
      <c r="H309">
        <v>309</v>
      </c>
      <c r="I309">
        <v>309</v>
      </c>
      <c r="N309" t="s">
        <v>895</v>
      </c>
      <c r="O309">
        <v>309</v>
      </c>
      <c r="P309" t="str">
        <f t="shared" si="4"/>
        <v xml:space="preserve">[^ftn309]: </v>
      </c>
    </row>
    <row r="310" spans="7:16" x14ac:dyDescent="0.25">
      <c r="G310" t="s">
        <v>894</v>
      </c>
      <c r="H310">
        <v>310</v>
      </c>
      <c r="I310">
        <v>310</v>
      </c>
      <c r="N310" t="s">
        <v>895</v>
      </c>
      <c r="O310">
        <v>310</v>
      </c>
      <c r="P310" t="str">
        <f t="shared" si="4"/>
        <v xml:space="preserve">[^ftn310]: </v>
      </c>
    </row>
    <row r="311" spans="7:16" x14ac:dyDescent="0.25">
      <c r="G311" t="s">
        <v>894</v>
      </c>
      <c r="H311">
        <v>311</v>
      </c>
      <c r="I311">
        <v>311</v>
      </c>
      <c r="N311" t="s">
        <v>895</v>
      </c>
      <c r="O311">
        <v>311</v>
      </c>
      <c r="P311" t="str">
        <f t="shared" si="4"/>
        <v xml:space="preserve">[^ftn311]: </v>
      </c>
    </row>
    <row r="312" spans="7:16" x14ac:dyDescent="0.25">
      <c r="G312" t="s">
        <v>894</v>
      </c>
      <c r="H312">
        <v>312</v>
      </c>
      <c r="I312">
        <v>312</v>
      </c>
      <c r="N312" t="s">
        <v>895</v>
      </c>
      <c r="O312">
        <v>312</v>
      </c>
      <c r="P312" t="str">
        <f t="shared" si="4"/>
        <v xml:space="preserve">[^ftn312]: </v>
      </c>
    </row>
    <row r="313" spans="7:16" x14ac:dyDescent="0.25">
      <c r="G313" t="s">
        <v>894</v>
      </c>
      <c r="H313">
        <v>313</v>
      </c>
      <c r="I313">
        <v>313</v>
      </c>
      <c r="N313" t="s">
        <v>895</v>
      </c>
      <c r="O313">
        <v>313</v>
      </c>
      <c r="P313" t="str">
        <f t="shared" si="4"/>
        <v xml:space="preserve">[^ftn313]: </v>
      </c>
    </row>
    <row r="314" spans="7:16" x14ac:dyDescent="0.25">
      <c r="G314" t="s">
        <v>894</v>
      </c>
      <c r="H314">
        <v>314</v>
      </c>
      <c r="I314">
        <v>314</v>
      </c>
      <c r="N314" t="s">
        <v>895</v>
      </c>
      <c r="O314">
        <v>314</v>
      </c>
      <c r="P314" t="str">
        <f t="shared" si="4"/>
        <v xml:space="preserve">[^ftn314]: </v>
      </c>
    </row>
    <row r="315" spans="7:16" x14ac:dyDescent="0.25">
      <c r="G315" t="s">
        <v>894</v>
      </c>
      <c r="H315">
        <v>315</v>
      </c>
      <c r="I315">
        <v>315</v>
      </c>
      <c r="N315" t="s">
        <v>895</v>
      </c>
      <c r="O315">
        <v>315</v>
      </c>
      <c r="P315" t="str">
        <f t="shared" si="4"/>
        <v xml:space="preserve">[^ftn315]: </v>
      </c>
    </row>
    <row r="316" spans="7:16" x14ac:dyDescent="0.25">
      <c r="G316" t="s">
        <v>894</v>
      </c>
      <c r="H316">
        <v>316</v>
      </c>
      <c r="I316">
        <v>316</v>
      </c>
      <c r="N316" t="s">
        <v>895</v>
      </c>
      <c r="O316">
        <v>316</v>
      </c>
      <c r="P316" t="str">
        <f t="shared" si="4"/>
        <v xml:space="preserve">[^ftn316]: </v>
      </c>
    </row>
    <row r="317" spans="7:16" x14ac:dyDescent="0.25">
      <c r="G317" t="s">
        <v>894</v>
      </c>
      <c r="H317">
        <v>317</v>
      </c>
      <c r="I317">
        <v>317</v>
      </c>
      <c r="N317" t="s">
        <v>895</v>
      </c>
      <c r="O317">
        <v>317</v>
      </c>
      <c r="P317" t="str">
        <f t="shared" si="4"/>
        <v xml:space="preserve">[^ftn317]: </v>
      </c>
    </row>
    <row r="318" spans="7:16" x14ac:dyDescent="0.25">
      <c r="G318" t="s">
        <v>894</v>
      </c>
      <c r="H318">
        <v>318</v>
      </c>
      <c r="I318">
        <v>318</v>
      </c>
      <c r="N318" t="s">
        <v>895</v>
      </c>
      <c r="O318">
        <v>318</v>
      </c>
      <c r="P318" t="str">
        <f t="shared" si="4"/>
        <v xml:space="preserve">[^ftn318]: </v>
      </c>
    </row>
    <row r="319" spans="7:16" x14ac:dyDescent="0.25">
      <c r="G319" t="s">
        <v>894</v>
      </c>
      <c r="H319">
        <v>319</v>
      </c>
      <c r="I319">
        <v>319</v>
      </c>
      <c r="N319" t="s">
        <v>895</v>
      </c>
      <c r="O319">
        <v>319</v>
      </c>
      <c r="P319" t="str">
        <f t="shared" si="4"/>
        <v xml:space="preserve">[^ftn319]: </v>
      </c>
    </row>
    <row r="320" spans="7:16" x14ac:dyDescent="0.25">
      <c r="G320" t="s">
        <v>894</v>
      </c>
      <c r="H320">
        <v>320</v>
      </c>
      <c r="I320">
        <v>320</v>
      </c>
      <c r="N320" t="s">
        <v>895</v>
      </c>
      <c r="O320">
        <v>320</v>
      </c>
      <c r="P320" t="str">
        <f t="shared" si="4"/>
        <v xml:space="preserve">[^ftn320]: </v>
      </c>
    </row>
    <row r="321" spans="7:16" x14ac:dyDescent="0.25">
      <c r="G321" t="s">
        <v>894</v>
      </c>
      <c r="H321">
        <v>321</v>
      </c>
      <c r="I321">
        <v>321</v>
      </c>
      <c r="N321" t="s">
        <v>895</v>
      </c>
      <c r="O321">
        <v>321</v>
      </c>
      <c r="P321" t="str">
        <f t="shared" si="4"/>
        <v xml:space="preserve">[^ftn321]: </v>
      </c>
    </row>
    <row r="322" spans="7:16" x14ac:dyDescent="0.25">
      <c r="G322" t="s">
        <v>894</v>
      </c>
      <c r="H322">
        <v>322</v>
      </c>
      <c r="I322">
        <v>322</v>
      </c>
      <c r="N322" t="s">
        <v>895</v>
      </c>
      <c r="O322">
        <v>322</v>
      </c>
      <c r="P322" t="str">
        <f t="shared" ref="P322:P385" si="5">_xlfn.CONCAT("[^ftn",O322,"]: ",)</f>
        <v xml:space="preserve">[^ftn322]: </v>
      </c>
    </row>
    <row r="323" spans="7:16" x14ac:dyDescent="0.25">
      <c r="G323" t="s">
        <v>894</v>
      </c>
      <c r="H323">
        <v>323</v>
      </c>
      <c r="I323">
        <v>323</v>
      </c>
      <c r="N323" t="s">
        <v>895</v>
      </c>
      <c r="O323">
        <v>323</v>
      </c>
      <c r="P323" t="str">
        <f t="shared" si="5"/>
        <v xml:space="preserve">[^ftn323]: </v>
      </c>
    </row>
    <row r="324" spans="7:16" x14ac:dyDescent="0.25">
      <c r="G324" t="s">
        <v>894</v>
      </c>
      <c r="H324">
        <v>324</v>
      </c>
      <c r="I324">
        <v>324</v>
      </c>
      <c r="N324" t="s">
        <v>895</v>
      </c>
      <c r="O324">
        <v>324</v>
      </c>
      <c r="P324" t="str">
        <f t="shared" si="5"/>
        <v xml:space="preserve">[^ftn324]: </v>
      </c>
    </row>
    <row r="325" spans="7:16" x14ac:dyDescent="0.25">
      <c r="G325" t="s">
        <v>894</v>
      </c>
      <c r="H325">
        <v>325</v>
      </c>
      <c r="I325">
        <v>325</v>
      </c>
      <c r="N325" t="s">
        <v>895</v>
      </c>
      <c r="O325">
        <v>325</v>
      </c>
      <c r="P325" t="str">
        <f t="shared" si="5"/>
        <v xml:space="preserve">[^ftn325]: </v>
      </c>
    </row>
    <row r="326" spans="7:16" x14ac:dyDescent="0.25">
      <c r="G326" t="s">
        <v>894</v>
      </c>
      <c r="H326">
        <v>326</v>
      </c>
      <c r="I326">
        <v>326</v>
      </c>
      <c r="N326" t="s">
        <v>895</v>
      </c>
      <c r="O326">
        <v>326</v>
      </c>
      <c r="P326" t="str">
        <f t="shared" si="5"/>
        <v xml:space="preserve">[^ftn326]: </v>
      </c>
    </row>
    <row r="327" spans="7:16" x14ac:dyDescent="0.25">
      <c r="G327" t="s">
        <v>894</v>
      </c>
      <c r="H327">
        <v>327</v>
      </c>
      <c r="I327">
        <v>327</v>
      </c>
      <c r="N327" t="s">
        <v>895</v>
      </c>
      <c r="O327">
        <v>327</v>
      </c>
      <c r="P327" t="str">
        <f t="shared" si="5"/>
        <v xml:space="preserve">[^ftn327]: </v>
      </c>
    </row>
    <row r="328" spans="7:16" x14ac:dyDescent="0.25">
      <c r="G328" t="s">
        <v>894</v>
      </c>
      <c r="H328">
        <v>328</v>
      </c>
      <c r="I328">
        <v>328</v>
      </c>
      <c r="N328" t="s">
        <v>895</v>
      </c>
      <c r="O328">
        <v>328</v>
      </c>
      <c r="P328" t="str">
        <f t="shared" si="5"/>
        <v xml:space="preserve">[^ftn328]: </v>
      </c>
    </row>
    <row r="329" spans="7:16" x14ac:dyDescent="0.25">
      <c r="G329" t="s">
        <v>894</v>
      </c>
      <c r="H329">
        <v>329</v>
      </c>
      <c r="I329">
        <v>329</v>
      </c>
      <c r="N329" t="s">
        <v>895</v>
      </c>
      <c r="O329">
        <v>329</v>
      </c>
      <c r="P329" t="str">
        <f t="shared" si="5"/>
        <v xml:space="preserve">[^ftn329]: </v>
      </c>
    </row>
    <row r="330" spans="7:16" x14ac:dyDescent="0.25">
      <c r="G330" t="s">
        <v>894</v>
      </c>
      <c r="H330">
        <v>330</v>
      </c>
      <c r="I330">
        <v>330</v>
      </c>
      <c r="N330" t="s">
        <v>895</v>
      </c>
      <c r="O330">
        <v>330</v>
      </c>
      <c r="P330" t="str">
        <f t="shared" si="5"/>
        <v xml:space="preserve">[^ftn330]: </v>
      </c>
    </row>
    <row r="331" spans="7:16" x14ac:dyDescent="0.25">
      <c r="G331" t="s">
        <v>894</v>
      </c>
      <c r="H331">
        <v>331</v>
      </c>
      <c r="I331">
        <v>331</v>
      </c>
      <c r="N331" t="s">
        <v>895</v>
      </c>
      <c r="O331">
        <v>331</v>
      </c>
      <c r="P331" t="str">
        <f t="shared" si="5"/>
        <v xml:space="preserve">[^ftn331]: </v>
      </c>
    </row>
    <row r="332" spans="7:16" x14ac:dyDescent="0.25">
      <c r="G332" t="s">
        <v>894</v>
      </c>
      <c r="H332">
        <v>332</v>
      </c>
      <c r="I332">
        <v>332</v>
      </c>
      <c r="N332" t="s">
        <v>895</v>
      </c>
      <c r="O332">
        <v>332</v>
      </c>
      <c r="P332" t="str">
        <f t="shared" si="5"/>
        <v xml:space="preserve">[^ftn332]: </v>
      </c>
    </row>
    <row r="333" spans="7:16" x14ac:dyDescent="0.25">
      <c r="G333" t="s">
        <v>894</v>
      </c>
      <c r="H333">
        <v>333</v>
      </c>
      <c r="I333">
        <v>333</v>
      </c>
      <c r="N333" t="s">
        <v>895</v>
      </c>
      <c r="O333">
        <v>333</v>
      </c>
      <c r="P333" t="str">
        <f t="shared" si="5"/>
        <v xml:space="preserve">[^ftn333]: </v>
      </c>
    </row>
    <row r="334" spans="7:16" x14ac:dyDescent="0.25">
      <c r="G334" t="s">
        <v>894</v>
      </c>
      <c r="H334">
        <v>334</v>
      </c>
      <c r="I334">
        <v>334</v>
      </c>
      <c r="N334" t="s">
        <v>895</v>
      </c>
      <c r="O334">
        <v>334</v>
      </c>
      <c r="P334" t="str">
        <f t="shared" si="5"/>
        <v xml:space="preserve">[^ftn334]: </v>
      </c>
    </row>
    <row r="335" spans="7:16" x14ac:dyDescent="0.25">
      <c r="G335" t="s">
        <v>894</v>
      </c>
      <c r="H335">
        <v>335</v>
      </c>
      <c r="I335">
        <v>335</v>
      </c>
      <c r="N335" t="s">
        <v>895</v>
      </c>
      <c r="O335">
        <v>335</v>
      </c>
      <c r="P335" t="str">
        <f t="shared" si="5"/>
        <v xml:space="preserve">[^ftn335]: </v>
      </c>
    </row>
    <row r="336" spans="7:16" x14ac:dyDescent="0.25">
      <c r="G336" t="s">
        <v>894</v>
      </c>
      <c r="H336">
        <v>336</v>
      </c>
      <c r="I336">
        <v>336</v>
      </c>
      <c r="N336" t="s">
        <v>895</v>
      </c>
      <c r="O336">
        <v>336</v>
      </c>
      <c r="P336" t="str">
        <f t="shared" si="5"/>
        <v xml:space="preserve">[^ftn336]: </v>
      </c>
    </row>
    <row r="337" spans="7:16" x14ac:dyDescent="0.25">
      <c r="G337" t="s">
        <v>894</v>
      </c>
      <c r="H337">
        <v>337</v>
      </c>
      <c r="I337">
        <v>337</v>
      </c>
      <c r="N337" t="s">
        <v>895</v>
      </c>
      <c r="O337">
        <v>337</v>
      </c>
      <c r="P337" t="str">
        <f t="shared" si="5"/>
        <v xml:space="preserve">[^ftn337]: </v>
      </c>
    </row>
    <row r="338" spans="7:16" x14ac:dyDescent="0.25">
      <c r="G338" t="s">
        <v>894</v>
      </c>
      <c r="H338">
        <v>338</v>
      </c>
      <c r="I338">
        <v>338</v>
      </c>
      <c r="N338" t="s">
        <v>895</v>
      </c>
      <c r="O338">
        <v>338</v>
      </c>
      <c r="P338" t="str">
        <f t="shared" si="5"/>
        <v xml:space="preserve">[^ftn338]: </v>
      </c>
    </row>
    <row r="339" spans="7:16" x14ac:dyDescent="0.25">
      <c r="G339" t="s">
        <v>894</v>
      </c>
      <c r="H339">
        <v>339</v>
      </c>
      <c r="I339">
        <v>339</v>
      </c>
      <c r="N339" t="s">
        <v>895</v>
      </c>
      <c r="O339">
        <v>339</v>
      </c>
      <c r="P339" t="str">
        <f t="shared" si="5"/>
        <v xml:space="preserve">[^ftn339]: </v>
      </c>
    </row>
    <row r="340" spans="7:16" x14ac:dyDescent="0.25">
      <c r="G340" t="s">
        <v>894</v>
      </c>
      <c r="H340">
        <v>340</v>
      </c>
      <c r="I340">
        <v>340</v>
      </c>
      <c r="N340" t="s">
        <v>895</v>
      </c>
      <c r="O340">
        <v>340</v>
      </c>
      <c r="P340" t="str">
        <f t="shared" si="5"/>
        <v xml:space="preserve">[^ftn340]: </v>
      </c>
    </row>
    <row r="341" spans="7:16" x14ac:dyDescent="0.25">
      <c r="G341" t="s">
        <v>894</v>
      </c>
      <c r="H341">
        <v>341</v>
      </c>
      <c r="I341">
        <v>341</v>
      </c>
      <c r="N341" t="s">
        <v>895</v>
      </c>
      <c r="O341">
        <v>341</v>
      </c>
      <c r="P341" t="str">
        <f t="shared" si="5"/>
        <v xml:space="preserve">[^ftn341]: </v>
      </c>
    </row>
    <row r="342" spans="7:16" x14ac:dyDescent="0.25">
      <c r="G342" t="s">
        <v>894</v>
      </c>
      <c r="H342">
        <v>342</v>
      </c>
      <c r="I342">
        <v>342</v>
      </c>
      <c r="N342" t="s">
        <v>895</v>
      </c>
      <c r="O342">
        <v>342</v>
      </c>
      <c r="P342" t="str">
        <f t="shared" si="5"/>
        <v xml:space="preserve">[^ftn342]: </v>
      </c>
    </row>
    <row r="343" spans="7:16" x14ac:dyDescent="0.25">
      <c r="G343" t="s">
        <v>894</v>
      </c>
      <c r="H343">
        <v>343</v>
      </c>
      <c r="I343">
        <v>343</v>
      </c>
      <c r="N343" t="s">
        <v>895</v>
      </c>
      <c r="O343">
        <v>343</v>
      </c>
      <c r="P343" t="str">
        <f t="shared" si="5"/>
        <v xml:space="preserve">[^ftn343]: </v>
      </c>
    </row>
    <row r="344" spans="7:16" x14ac:dyDescent="0.25">
      <c r="G344" t="s">
        <v>894</v>
      </c>
      <c r="H344">
        <v>344</v>
      </c>
      <c r="I344">
        <v>344</v>
      </c>
      <c r="N344" t="s">
        <v>895</v>
      </c>
      <c r="O344">
        <v>344</v>
      </c>
      <c r="P344" t="str">
        <f t="shared" si="5"/>
        <v xml:space="preserve">[^ftn344]: </v>
      </c>
    </row>
    <row r="345" spans="7:16" x14ac:dyDescent="0.25">
      <c r="G345" t="s">
        <v>894</v>
      </c>
      <c r="H345">
        <v>345</v>
      </c>
      <c r="I345">
        <v>345</v>
      </c>
      <c r="N345" t="s">
        <v>895</v>
      </c>
      <c r="O345">
        <v>345</v>
      </c>
      <c r="P345" t="str">
        <f t="shared" si="5"/>
        <v xml:space="preserve">[^ftn345]: </v>
      </c>
    </row>
    <row r="346" spans="7:16" x14ac:dyDescent="0.25">
      <c r="G346" t="s">
        <v>894</v>
      </c>
      <c r="H346">
        <v>346</v>
      </c>
      <c r="I346">
        <v>346</v>
      </c>
      <c r="N346" t="s">
        <v>895</v>
      </c>
      <c r="O346">
        <v>346</v>
      </c>
      <c r="P346" t="str">
        <f t="shared" si="5"/>
        <v xml:space="preserve">[^ftn346]: </v>
      </c>
    </row>
    <row r="347" spans="7:16" x14ac:dyDescent="0.25">
      <c r="G347" t="s">
        <v>894</v>
      </c>
      <c r="H347">
        <v>347</v>
      </c>
      <c r="I347">
        <v>347</v>
      </c>
      <c r="N347" t="s">
        <v>895</v>
      </c>
      <c r="O347">
        <v>347</v>
      </c>
      <c r="P347" t="str">
        <f t="shared" si="5"/>
        <v xml:space="preserve">[^ftn347]: </v>
      </c>
    </row>
    <row r="348" spans="7:16" x14ac:dyDescent="0.25">
      <c r="G348" t="s">
        <v>894</v>
      </c>
      <c r="H348">
        <v>348</v>
      </c>
      <c r="I348">
        <v>348</v>
      </c>
      <c r="N348" t="s">
        <v>895</v>
      </c>
      <c r="O348">
        <v>348</v>
      </c>
      <c r="P348" t="str">
        <f t="shared" si="5"/>
        <v xml:space="preserve">[^ftn348]: </v>
      </c>
    </row>
    <row r="349" spans="7:16" x14ac:dyDescent="0.25">
      <c r="G349" t="s">
        <v>894</v>
      </c>
      <c r="H349">
        <v>349</v>
      </c>
      <c r="I349">
        <v>349</v>
      </c>
      <c r="N349" t="s">
        <v>895</v>
      </c>
      <c r="O349">
        <v>349</v>
      </c>
      <c r="P349" t="str">
        <f t="shared" si="5"/>
        <v xml:space="preserve">[^ftn349]: </v>
      </c>
    </row>
    <row r="350" spans="7:16" x14ac:dyDescent="0.25">
      <c r="G350" t="s">
        <v>894</v>
      </c>
      <c r="H350">
        <v>350</v>
      </c>
      <c r="I350">
        <v>350</v>
      </c>
      <c r="N350" t="s">
        <v>895</v>
      </c>
      <c r="O350">
        <v>350</v>
      </c>
      <c r="P350" t="str">
        <f t="shared" si="5"/>
        <v xml:space="preserve">[^ftn350]: </v>
      </c>
    </row>
    <row r="351" spans="7:16" x14ac:dyDescent="0.25">
      <c r="G351" t="s">
        <v>894</v>
      </c>
      <c r="H351">
        <v>351</v>
      </c>
      <c r="I351">
        <v>351</v>
      </c>
      <c r="N351" t="s">
        <v>895</v>
      </c>
      <c r="O351">
        <v>351</v>
      </c>
      <c r="P351" t="str">
        <f t="shared" si="5"/>
        <v xml:space="preserve">[^ftn351]: </v>
      </c>
    </row>
    <row r="352" spans="7:16" x14ac:dyDescent="0.25">
      <c r="G352" t="s">
        <v>894</v>
      </c>
      <c r="H352">
        <v>352</v>
      </c>
      <c r="I352">
        <v>352</v>
      </c>
      <c r="N352" t="s">
        <v>895</v>
      </c>
      <c r="O352">
        <v>352</v>
      </c>
      <c r="P352" t="str">
        <f t="shared" si="5"/>
        <v xml:space="preserve">[^ftn352]: </v>
      </c>
    </row>
    <row r="353" spans="7:16" x14ac:dyDescent="0.25">
      <c r="G353" t="s">
        <v>894</v>
      </c>
      <c r="H353">
        <v>353</v>
      </c>
      <c r="I353">
        <v>353</v>
      </c>
      <c r="N353" t="s">
        <v>895</v>
      </c>
      <c r="O353">
        <v>353</v>
      </c>
      <c r="P353" t="str">
        <f t="shared" si="5"/>
        <v xml:space="preserve">[^ftn353]: </v>
      </c>
    </row>
    <row r="354" spans="7:16" x14ac:dyDescent="0.25">
      <c r="G354" t="s">
        <v>894</v>
      </c>
      <c r="H354">
        <v>354</v>
      </c>
      <c r="I354">
        <v>354</v>
      </c>
      <c r="N354" t="s">
        <v>895</v>
      </c>
      <c r="O354">
        <v>354</v>
      </c>
      <c r="P354" t="str">
        <f t="shared" si="5"/>
        <v xml:space="preserve">[^ftn354]: </v>
      </c>
    </row>
    <row r="355" spans="7:16" x14ac:dyDescent="0.25">
      <c r="G355" t="s">
        <v>894</v>
      </c>
      <c r="H355">
        <v>355</v>
      </c>
      <c r="I355">
        <v>355</v>
      </c>
      <c r="N355" t="s">
        <v>895</v>
      </c>
      <c r="O355">
        <v>355</v>
      </c>
      <c r="P355" t="str">
        <f t="shared" si="5"/>
        <v xml:space="preserve">[^ftn355]: </v>
      </c>
    </row>
    <row r="356" spans="7:16" x14ac:dyDescent="0.25">
      <c r="G356" t="s">
        <v>894</v>
      </c>
      <c r="H356">
        <v>356</v>
      </c>
      <c r="I356">
        <v>356</v>
      </c>
      <c r="N356" t="s">
        <v>895</v>
      </c>
      <c r="O356">
        <v>356</v>
      </c>
      <c r="P356" t="str">
        <f t="shared" si="5"/>
        <v xml:space="preserve">[^ftn356]: </v>
      </c>
    </row>
    <row r="357" spans="7:16" x14ac:dyDescent="0.25">
      <c r="G357" t="s">
        <v>894</v>
      </c>
      <c r="H357">
        <v>357</v>
      </c>
      <c r="I357">
        <v>357</v>
      </c>
      <c r="N357" t="s">
        <v>895</v>
      </c>
      <c r="O357">
        <v>357</v>
      </c>
      <c r="P357" t="str">
        <f t="shared" si="5"/>
        <v xml:space="preserve">[^ftn357]: </v>
      </c>
    </row>
    <row r="358" spans="7:16" x14ac:dyDescent="0.25">
      <c r="G358" t="s">
        <v>894</v>
      </c>
      <c r="H358">
        <v>358</v>
      </c>
      <c r="I358">
        <v>358</v>
      </c>
      <c r="N358" t="s">
        <v>895</v>
      </c>
      <c r="O358">
        <v>358</v>
      </c>
      <c r="P358" t="str">
        <f t="shared" si="5"/>
        <v xml:space="preserve">[^ftn358]: </v>
      </c>
    </row>
    <row r="359" spans="7:16" x14ac:dyDescent="0.25">
      <c r="G359" t="s">
        <v>894</v>
      </c>
      <c r="H359">
        <v>359</v>
      </c>
      <c r="I359">
        <v>359</v>
      </c>
      <c r="N359" t="s">
        <v>895</v>
      </c>
      <c r="O359">
        <v>359</v>
      </c>
      <c r="P359" t="str">
        <f t="shared" si="5"/>
        <v xml:space="preserve">[^ftn359]: </v>
      </c>
    </row>
    <row r="360" spans="7:16" x14ac:dyDescent="0.25">
      <c r="G360" t="s">
        <v>894</v>
      </c>
      <c r="H360">
        <v>360</v>
      </c>
      <c r="I360">
        <v>360</v>
      </c>
      <c r="N360" t="s">
        <v>895</v>
      </c>
      <c r="O360">
        <v>360</v>
      </c>
      <c r="P360" t="str">
        <f t="shared" si="5"/>
        <v xml:space="preserve">[^ftn360]: </v>
      </c>
    </row>
    <row r="361" spans="7:16" x14ac:dyDescent="0.25">
      <c r="G361" t="s">
        <v>894</v>
      </c>
      <c r="H361">
        <v>361</v>
      </c>
      <c r="I361">
        <v>361</v>
      </c>
      <c r="N361" t="s">
        <v>895</v>
      </c>
      <c r="O361">
        <v>361</v>
      </c>
      <c r="P361" t="str">
        <f t="shared" si="5"/>
        <v xml:space="preserve">[^ftn361]: </v>
      </c>
    </row>
    <row r="362" spans="7:16" x14ac:dyDescent="0.25">
      <c r="G362" t="s">
        <v>894</v>
      </c>
      <c r="H362">
        <v>362</v>
      </c>
      <c r="I362">
        <v>362</v>
      </c>
      <c r="N362" t="s">
        <v>895</v>
      </c>
      <c r="O362">
        <v>362</v>
      </c>
      <c r="P362" t="str">
        <f t="shared" si="5"/>
        <v xml:space="preserve">[^ftn362]: </v>
      </c>
    </row>
    <row r="363" spans="7:16" x14ac:dyDescent="0.25">
      <c r="G363" t="s">
        <v>894</v>
      </c>
      <c r="H363">
        <v>363</v>
      </c>
      <c r="I363">
        <v>363</v>
      </c>
      <c r="N363" t="s">
        <v>895</v>
      </c>
      <c r="O363">
        <v>363</v>
      </c>
      <c r="P363" t="str">
        <f t="shared" si="5"/>
        <v xml:space="preserve">[^ftn363]: </v>
      </c>
    </row>
    <row r="364" spans="7:16" x14ac:dyDescent="0.25">
      <c r="G364" t="s">
        <v>894</v>
      </c>
      <c r="H364">
        <v>364</v>
      </c>
      <c r="I364">
        <v>364</v>
      </c>
      <c r="N364" t="s">
        <v>895</v>
      </c>
      <c r="O364">
        <v>364</v>
      </c>
      <c r="P364" t="str">
        <f t="shared" si="5"/>
        <v xml:space="preserve">[^ftn364]: </v>
      </c>
    </row>
    <row r="365" spans="7:16" x14ac:dyDescent="0.25">
      <c r="G365" t="s">
        <v>894</v>
      </c>
      <c r="H365">
        <v>365</v>
      </c>
      <c r="I365">
        <v>365</v>
      </c>
      <c r="N365" t="s">
        <v>895</v>
      </c>
      <c r="O365">
        <v>365</v>
      </c>
      <c r="P365" t="str">
        <f t="shared" si="5"/>
        <v xml:space="preserve">[^ftn365]: </v>
      </c>
    </row>
    <row r="366" spans="7:16" x14ac:dyDescent="0.25">
      <c r="G366" t="s">
        <v>894</v>
      </c>
      <c r="H366">
        <v>366</v>
      </c>
      <c r="I366">
        <v>366</v>
      </c>
      <c r="N366" t="s">
        <v>895</v>
      </c>
      <c r="O366">
        <v>366</v>
      </c>
      <c r="P366" t="str">
        <f t="shared" si="5"/>
        <v xml:space="preserve">[^ftn366]: </v>
      </c>
    </row>
    <row r="367" spans="7:16" x14ac:dyDescent="0.25">
      <c r="G367" t="s">
        <v>894</v>
      </c>
      <c r="H367">
        <v>367</v>
      </c>
      <c r="I367">
        <v>367</v>
      </c>
      <c r="N367" t="s">
        <v>895</v>
      </c>
      <c r="O367">
        <v>367</v>
      </c>
      <c r="P367" t="str">
        <f t="shared" si="5"/>
        <v xml:space="preserve">[^ftn367]: </v>
      </c>
    </row>
    <row r="368" spans="7:16" x14ac:dyDescent="0.25">
      <c r="G368" t="s">
        <v>894</v>
      </c>
      <c r="H368">
        <v>368</v>
      </c>
      <c r="I368">
        <v>368</v>
      </c>
      <c r="N368" t="s">
        <v>895</v>
      </c>
      <c r="O368">
        <v>368</v>
      </c>
      <c r="P368" t="str">
        <f t="shared" si="5"/>
        <v xml:space="preserve">[^ftn368]: </v>
      </c>
    </row>
    <row r="369" spans="7:16" x14ac:dyDescent="0.25">
      <c r="G369" t="s">
        <v>894</v>
      </c>
      <c r="H369">
        <v>369</v>
      </c>
      <c r="I369">
        <v>369</v>
      </c>
      <c r="N369" t="s">
        <v>895</v>
      </c>
      <c r="O369">
        <v>369</v>
      </c>
      <c r="P369" t="str">
        <f t="shared" si="5"/>
        <v xml:space="preserve">[^ftn369]: </v>
      </c>
    </row>
    <row r="370" spans="7:16" x14ac:dyDescent="0.25">
      <c r="G370" t="s">
        <v>894</v>
      </c>
      <c r="H370">
        <v>370</v>
      </c>
      <c r="I370">
        <v>370</v>
      </c>
      <c r="N370" t="s">
        <v>895</v>
      </c>
      <c r="O370">
        <v>370</v>
      </c>
      <c r="P370" t="str">
        <f t="shared" si="5"/>
        <v xml:space="preserve">[^ftn370]: </v>
      </c>
    </row>
    <row r="371" spans="7:16" x14ac:dyDescent="0.25">
      <c r="G371" t="s">
        <v>894</v>
      </c>
      <c r="H371">
        <v>371</v>
      </c>
      <c r="I371">
        <v>371</v>
      </c>
      <c r="N371" t="s">
        <v>895</v>
      </c>
      <c r="O371">
        <v>371</v>
      </c>
      <c r="P371" t="str">
        <f t="shared" si="5"/>
        <v xml:space="preserve">[^ftn371]: </v>
      </c>
    </row>
    <row r="372" spans="7:16" x14ac:dyDescent="0.25">
      <c r="G372" t="s">
        <v>894</v>
      </c>
      <c r="H372">
        <v>372</v>
      </c>
      <c r="I372">
        <v>372</v>
      </c>
      <c r="N372" t="s">
        <v>895</v>
      </c>
      <c r="O372">
        <v>372</v>
      </c>
      <c r="P372" t="str">
        <f t="shared" si="5"/>
        <v xml:space="preserve">[^ftn372]: </v>
      </c>
    </row>
    <row r="373" spans="7:16" x14ac:dyDescent="0.25">
      <c r="G373" t="s">
        <v>894</v>
      </c>
      <c r="H373">
        <v>373</v>
      </c>
      <c r="I373">
        <v>373</v>
      </c>
      <c r="N373" t="s">
        <v>895</v>
      </c>
      <c r="O373">
        <v>373</v>
      </c>
      <c r="P373" t="str">
        <f t="shared" si="5"/>
        <v xml:space="preserve">[^ftn373]: </v>
      </c>
    </row>
    <row r="374" spans="7:16" x14ac:dyDescent="0.25">
      <c r="G374" t="s">
        <v>894</v>
      </c>
      <c r="H374">
        <v>374</v>
      </c>
      <c r="I374">
        <v>374</v>
      </c>
      <c r="N374" t="s">
        <v>895</v>
      </c>
      <c r="O374">
        <v>374</v>
      </c>
      <c r="P374" t="str">
        <f t="shared" si="5"/>
        <v xml:space="preserve">[^ftn374]: </v>
      </c>
    </row>
    <row r="375" spans="7:16" x14ac:dyDescent="0.25">
      <c r="G375" t="s">
        <v>894</v>
      </c>
      <c r="H375">
        <v>375</v>
      </c>
      <c r="I375">
        <v>375</v>
      </c>
      <c r="N375" t="s">
        <v>895</v>
      </c>
      <c r="O375">
        <v>375</v>
      </c>
      <c r="P375" t="str">
        <f t="shared" si="5"/>
        <v xml:space="preserve">[^ftn375]: </v>
      </c>
    </row>
    <row r="376" spans="7:16" x14ac:dyDescent="0.25">
      <c r="G376" t="s">
        <v>894</v>
      </c>
      <c r="H376">
        <v>376</v>
      </c>
      <c r="I376">
        <v>376</v>
      </c>
      <c r="N376" t="s">
        <v>895</v>
      </c>
      <c r="O376">
        <v>376</v>
      </c>
      <c r="P376" t="str">
        <f t="shared" si="5"/>
        <v xml:space="preserve">[^ftn376]: </v>
      </c>
    </row>
    <row r="377" spans="7:16" x14ac:dyDescent="0.25">
      <c r="G377" t="s">
        <v>894</v>
      </c>
      <c r="H377">
        <v>377</v>
      </c>
      <c r="I377">
        <v>377</v>
      </c>
      <c r="N377" t="s">
        <v>895</v>
      </c>
      <c r="O377">
        <v>377</v>
      </c>
      <c r="P377" t="str">
        <f t="shared" si="5"/>
        <v xml:space="preserve">[^ftn377]: </v>
      </c>
    </row>
    <row r="378" spans="7:16" x14ac:dyDescent="0.25">
      <c r="G378" t="s">
        <v>894</v>
      </c>
      <c r="H378">
        <v>378</v>
      </c>
      <c r="I378">
        <v>378</v>
      </c>
      <c r="N378" t="s">
        <v>895</v>
      </c>
      <c r="O378">
        <v>378</v>
      </c>
      <c r="P378" t="str">
        <f t="shared" si="5"/>
        <v xml:space="preserve">[^ftn378]: </v>
      </c>
    </row>
    <row r="379" spans="7:16" x14ac:dyDescent="0.25">
      <c r="G379" t="s">
        <v>894</v>
      </c>
      <c r="H379">
        <v>379</v>
      </c>
      <c r="I379">
        <v>379</v>
      </c>
      <c r="N379" t="s">
        <v>895</v>
      </c>
      <c r="O379">
        <v>379</v>
      </c>
      <c r="P379" t="str">
        <f t="shared" si="5"/>
        <v xml:space="preserve">[^ftn379]: </v>
      </c>
    </row>
    <row r="380" spans="7:16" x14ac:dyDescent="0.25">
      <c r="G380" t="s">
        <v>894</v>
      </c>
      <c r="H380">
        <v>380</v>
      </c>
      <c r="I380">
        <v>380</v>
      </c>
      <c r="N380" t="s">
        <v>895</v>
      </c>
      <c r="O380">
        <v>380</v>
      </c>
      <c r="P380" t="str">
        <f t="shared" si="5"/>
        <v xml:space="preserve">[^ftn380]: </v>
      </c>
    </row>
    <row r="381" spans="7:16" x14ac:dyDescent="0.25">
      <c r="G381" t="s">
        <v>894</v>
      </c>
      <c r="H381">
        <v>381</v>
      </c>
      <c r="I381">
        <v>381</v>
      </c>
      <c r="N381" t="s">
        <v>895</v>
      </c>
      <c r="O381">
        <v>381</v>
      </c>
      <c r="P381" t="str">
        <f t="shared" si="5"/>
        <v xml:space="preserve">[^ftn381]: </v>
      </c>
    </row>
    <row r="382" spans="7:16" x14ac:dyDescent="0.25">
      <c r="G382" t="s">
        <v>894</v>
      </c>
      <c r="H382">
        <v>382</v>
      </c>
      <c r="I382">
        <v>382</v>
      </c>
      <c r="N382" t="s">
        <v>895</v>
      </c>
      <c r="O382">
        <v>382</v>
      </c>
      <c r="P382" t="str">
        <f t="shared" si="5"/>
        <v xml:space="preserve">[^ftn382]: </v>
      </c>
    </row>
    <row r="383" spans="7:16" x14ac:dyDescent="0.25">
      <c r="G383" t="s">
        <v>894</v>
      </c>
      <c r="H383">
        <v>383</v>
      </c>
      <c r="I383">
        <v>383</v>
      </c>
      <c r="N383" t="s">
        <v>895</v>
      </c>
      <c r="O383">
        <v>383</v>
      </c>
      <c r="P383" t="str">
        <f t="shared" si="5"/>
        <v xml:space="preserve">[^ftn383]: </v>
      </c>
    </row>
    <row r="384" spans="7:16" x14ac:dyDescent="0.25">
      <c r="G384" t="s">
        <v>894</v>
      </c>
      <c r="H384">
        <v>384</v>
      </c>
      <c r="I384">
        <v>384</v>
      </c>
      <c r="N384" t="s">
        <v>895</v>
      </c>
      <c r="O384">
        <v>384</v>
      </c>
      <c r="P384" t="str">
        <f t="shared" si="5"/>
        <v xml:space="preserve">[^ftn384]: </v>
      </c>
    </row>
    <row r="385" spans="7:16" x14ac:dyDescent="0.25">
      <c r="G385" t="s">
        <v>894</v>
      </c>
      <c r="H385">
        <v>385</v>
      </c>
      <c r="I385">
        <v>385</v>
      </c>
      <c r="N385" t="s">
        <v>895</v>
      </c>
      <c r="O385">
        <v>385</v>
      </c>
      <c r="P385" t="str">
        <f t="shared" si="5"/>
        <v xml:space="preserve">[^ftn385]: </v>
      </c>
    </row>
    <row r="386" spans="7:16" x14ac:dyDescent="0.25">
      <c r="G386" t="s">
        <v>894</v>
      </c>
      <c r="H386">
        <v>386</v>
      </c>
      <c r="I386">
        <v>386</v>
      </c>
      <c r="N386" t="s">
        <v>895</v>
      </c>
      <c r="O386">
        <v>386</v>
      </c>
      <c r="P386" t="str">
        <f t="shared" ref="P386:P449" si="6">_xlfn.CONCAT("[^ftn",O386,"]: ",)</f>
        <v xml:space="preserve">[^ftn386]: </v>
      </c>
    </row>
    <row r="387" spans="7:16" x14ac:dyDescent="0.25">
      <c r="G387" t="s">
        <v>894</v>
      </c>
      <c r="H387">
        <v>387</v>
      </c>
      <c r="I387">
        <v>387</v>
      </c>
      <c r="N387" t="s">
        <v>895</v>
      </c>
      <c r="O387">
        <v>387</v>
      </c>
      <c r="P387" t="str">
        <f t="shared" si="6"/>
        <v xml:space="preserve">[^ftn387]: </v>
      </c>
    </row>
    <row r="388" spans="7:16" x14ac:dyDescent="0.25">
      <c r="G388" t="s">
        <v>894</v>
      </c>
      <c r="H388">
        <v>388</v>
      </c>
      <c r="I388">
        <v>388</v>
      </c>
      <c r="N388" t="s">
        <v>895</v>
      </c>
      <c r="O388">
        <v>388</v>
      </c>
      <c r="P388" t="str">
        <f t="shared" si="6"/>
        <v xml:space="preserve">[^ftn388]: </v>
      </c>
    </row>
    <row r="389" spans="7:16" x14ac:dyDescent="0.25">
      <c r="G389" t="s">
        <v>894</v>
      </c>
      <c r="H389">
        <v>389</v>
      </c>
      <c r="I389">
        <v>389</v>
      </c>
      <c r="N389" t="s">
        <v>895</v>
      </c>
      <c r="O389">
        <v>389</v>
      </c>
      <c r="P389" t="str">
        <f t="shared" si="6"/>
        <v xml:space="preserve">[^ftn389]: </v>
      </c>
    </row>
    <row r="390" spans="7:16" x14ac:dyDescent="0.25">
      <c r="G390" t="s">
        <v>894</v>
      </c>
      <c r="H390">
        <v>390</v>
      </c>
      <c r="I390">
        <v>390</v>
      </c>
      <c r="N390" t="s">
        <v>895</v>
      </c>
      <c r="O390">
        <v>390</v>
      </c>
      <c r="P390" t="str">
        <f t="shared" si="6"/>
        <v xml:space="preserve">[^ftn390]: </v>
      </c>
    </row>
    <row r="391" spans="7:16" x14ac:dyDescent="0.25">
      <c r="G391" t="s">
        <v>894</v>
      </c>
      <c r="H391">
        <v>391</v>
      </c>
      <c r="I391">
        <v>391</v>
      </c>
      <c r="N391" t="s">
        <v>895</v>
      </c>
      <c r="O391">
        <v>391</v>
      </c>
      <c r="P391" t="str">
        <f t="shared" si="6"/>
        <v xml:space="preserve">[^ftn391]: </v>
      </c>
    </row>
    <row r="392" spans="7:16" x14ac:dyDescent="0.25">
      <c r="G392" t="s">
        <v>894</v>
      </c>
      <c r="H392">
        <v>392</v>
      </c>
      <c r="I392">
        <v>392</v>
      </c>
      <c r="N392" t="s">
        <v>895</v>
      </c>
      <c r="O392">
        <v>392</v>
      </c>
      <c r="P392" t="str">
        <f t="shared" si="6"/>
        <v xml:space="preserve">[^ftn392]: </v>
      </c>
    </row>
    <row r="393" spans="7:16" x14ac:dyDescent="0.25">
      <c r="G393" t="s">
        <v>894</v>
      </c>
      <c r="H393">
        <v>393</v>
      </c>
      <c r="I393">
        <v>393</v>
      </c>
      <c r="N393" t="s">
        <v>895</v>
      </c>
      <c r="O393">
        <v>393</v>
      </c>
      <c r="P393" t="str">
        <f t="shared" si="6"/>
        <v xml:space="preserve">[^ftn393]: </v>
      </c>
    </row>
    <row r="394" spans="7:16" x14ac:dyDescent="0.25">
      <c r="G394" t="s">
        <v>894</v>
      </c>
      <c r="H394">
        <v>394</v>
      </c>
      <c r="I394">
        <v>394</v>
      </c>
      <c r="N394" t="s">
        <v>895</v>
      </c>
      <c r="O394">
        <v>394</v>
      </c>
      <c r="P394" t="str">
        <f t="shared" si="6"/>
        <v xml:space="preserve">[^ftn394]: </v>
      </c>
    </row>
    <row r="395" spans="7:16" x14ac:dyDescent="0.25">
      <c r="G395" t="s">
        <v>894</v>
      </c>
      <c r="H395">
        <v>395</v>
      </c>
      <c r="I395">
        <v>395</v>
      </c>
      <c r="N395" t="s">
        <v>895</v>
      </c>
      <c r="O395">
        <v>395</v>
      </c>
      <c r="P395" t="str">
        <f t="shared" si="6"/>
        <v xml:space="preserve">[^ftn395]: </v>
      </c>
    </row>
    <row r="396" spans="7:16" x14ac:dyDescent="0.25">
      <c r="G396" t="s">
        <v>894</v>
      </c>
      <c r="H396">
        <v>396</v>
      </c>
      <c r="I396">
        <v>396</v>
      </c>
      <c r="N396" t="s">
        <v>895</v>
      </c>
      <c r="O396">
        <v>396</v>
      </c>
      <c r="P396" t="str">
        <f t="shared" si="6"/>
        <v xml:space="preserve">[^ftn396]: </v>
      </c>
    </row>
    <row r="397" spans="7:16" x14ac:dyDescent="0.25">
      <c r="G397" t="s">
        <v>894</v>
      </c>
      <c r="H397">
        <v>397</v>
      </c>
      <c r="I397">
        <v>397</v>
      </c>
      <c r="N397" t="s">
        <v>895</v>
      </c>
      <c r="O397">
        <v>397</v>
      </c>
      <c r="P397" t="str">
        <f t="shared" si="6"/>
        <v xml:space="preserve">[^ftn397]: </v>
      </c>
    </row>
    <row r="398" spans="7:16" x14ac:dyDescent="0.25">
      <c r="G398" t="s">
        <v>894</v>
      </c>
      <c r="H398">
        <v>398</v>
      </c>
      <c r="I398">
        <v>398</v>
      </c>
      <c r="N398" t="s">
        <v>895</v>
      </c>
      <c r="O398">
        <v>398</v>
      </c>
      <c r="P398" t="str">
        <f t="shared" si="6"/>
        <v xml:space="preserve">[^ftn398]: </v>
      </c>
    </row>
    <row r="399" spans="7:16" x14ac:dyDescent="0.25">
      <c r="G399" t="s">
        <v>894</v>
      </c>
      <c r="H399">
        <v>399</v>
      </c>
      <c r="I399">
        <v>399</v>
      </c>
      <c r="N399" t="s">
        <v>895</v>
      </c>
      <c r="O399">
        <v>399</v>
      </c>
      <c r="P399" t="str">
        <f t="shared" si="6"/>
        <v xml:space="preserve">[^ftn399]: </v>
      </c>
    </row>
    <row r="400" spans="7:16" x14ac:dyDescent="0.25">
      <c r="G400" t="s">
        <v>894</v>
      </c>
      <c r="H400">
        <v>400</v>
      </c>
      <c r="I400">
        <v>400</v>
      </c>
      <c r="N400" t="s">
        <v>895</v>
      </c>
      <c r="O400">
        <v>400</v>
      </c>
      <c r="P400" t="str">
        <f t="shared" si="6"/>
        <v xml:space="preserve">[^ftn400]: </v>
      </c>
    </row>
    <row r="401" spans="7:16" x14ac:dyDescent="0.25">
      <c r="G401" t="s">
        <v>894</v>
      </c>
      <c r="H401">
        <v>401</v>
      </c>
      <c r="I401">
        <v>401</v>
      </c>
      <c r="N401" t="s">
        <v>895</v>
      </c>
      <c r="O401">
        <v>401</v>
      </c>
      <c r="P401" t="str">
        <f t="shared" si="6"/>
        <v xml:space="preserve">[^ftn401]: </v>
      </c>
    </row>
    <row r="402" spans="7:16" x14ac:dyDescent="0.25">
      <c r="G402" t="s">
        <v>894</v>
      </c>
      <c r="H402">
        <v>402</v>
      </c>
      <c r="I402">
        <v>402</v>
      </c>
      <c r="N402" t="s">
        <v>895</v>
      </c>
      <c r="O402">
        <v>402</v>
      </c>
      <c r="P402" t="str">
        <f t="shared" si="6"/>
        <v xml:space="preserve">[^ftn402]: </v>
      </c>
    </row>
    <row r="403" spans="7:16" x14ac:dyDescent="0.25">
      <c r="G403" t="s">
        <v>894</v>
      </c>
      <c r="H403">
        <v>403</v>
      </c>
      <c r="I403">
        <v>403</v>
      </c>
      <c r="N403" t="s">
        <v>895</v>
      </c>
      <c r="O403">
        <v>403</v>
      </c>
      <c r="P403" t="str">
        <f t="shared" si="6"/>
        <v xml:space="preserve">[^ftn403]: </v>
      </c>
    </row>
    <row r="404" spans="7:16" x14ac:dyDescent="0.25">
      <c r="G404" t="s">
        <v>894</v>
      </c>
      <c r="H404">
        <v>404</v>
      </c>
      <c r="I404">
        <v>404</v>
      </c>
      <c r="N404" t="s">
        <v>895</v>
      </c>
      <c r="O404">
        <v>404</v>
      </c>
      <c r="P404" t="str">
        <f t="shared" si="6"/>
        <v xml:space="preserve">[^ftn404]: </v>
      </c>
    </row>
    <row r="405" spans="7:16" x14ac:dyDescent="0.25">
      <c r="G405" t="s">
        <v>894</v>
      </c>
      <c r="H405">
        <v>405</v>
      </c>
      <c r="I405">
        <v>405</v>
      </c>
      <c r="N405" t="s">
        <v>895</v>
      </c>
      <c r="O405">
        <v>405</v>
      </c>
      <c r="P405" t="str">
        <f t="shared" si="6"/>
        <v xml:space="preserve">[^ftn405]: </v>
      </c>
    </row>
    <row r="406" spans="7:16" x14ac:dyDescent="0.25">
      <c r="G406" t="s">
        <v>894</v>
      </c>
      <c r="H406">
        <v>406</v>
      </c>
      <c r="I406">
        <v>406</v>
      </c>
      <c r="N406" t="s">
        <v>895</v>
      </c>
      <c r="O406">
        <v>406</v>
      </c>
      <c r="P406" t="str">
        <f t="shared" si="6"/>
        <v xml:space="preserve">[^ftn406]: </v>
      </c>
    </row>
    <row r="407" spans="7:16" x14ac:dyDescent="0.25">
      <c r="G407" t="s">
        <v>894</v>
      </c>
      <c r="H407">
        <v>407</v>
      </c>
      <c r="I407">
        <v>407</v>
      </c>
      <c r="N407" t="s">
        <v>895</v>
      </c>
      <c r="O407">
        <v>407</v>
      </c>
      <c r="P407" t="str">
        <f t="shared" si="6"/>
        <v xml:space="preserve">[^ftn407]: </v>
      </c>
    </row>
    <row r="408" spans="7:16" x14ac:dyDescent="0.25">
      <c r="G408" t="s">
        <v>894</v>
      </c>
      <c r="H408">
        <v>408</v>
      </c>
      <c r="I408">
        <v>408</v>
      </c>
      <c r="N408" t="s">
        <v>895</v>
      </c>
      <c r="O408">
        <v>408</v>
      </c>
      <c r="P408" t="str">
        <f t="shared" si="6"/>
        <v xml:space="preserve">[^ftn408]: </v>
      </c>
    </row>
    <row r="409" spans="7:16" x14ac:dyDescent="0.25">
      <c r="G409" t="s">
        <v>894</v>
      </c>
      <c r="H409">
        <v>409</v>
      </c>
      <c r="I409">
        <v>409</v>
      </c>
      <c r="N409" t="s">
        <v>895</v>
      </c>
      <c r="O409">
        <v>409</v>
      </c>
      <c r="P409" t="str">
        <f t="shared" si="6"/>
        <v xml:space="preserve">[^ftn409]: </v>
      </c>
    </row>
    <row r="410" spans="7:16" x14ac:dyDescent="0.25">
      <c r="G410" t="s">
        <v>894</v>
      </c>
      <c r="H410">
        <v>410</v>
      </c>
      <c r="I410">
        <v>410</v>
      </c>
      <c r="N410" t="s">
        <v>895</v>
      </c>
      <c r="O410">
        <v>410</v>
      </c>
      <c r="P410" t="str">
        <f t="shared" si="6"/>
        <v xml:space="preserve">[^ftn410]: </v>
      </c>
    </row>
    <row r="411" spans="7:16" x14ac:dyDescent="0.25">
      <c r="G411" t="s">
        <v>894</v>
      </c>
      <c r="H411">
        <v>411</v>
      </c>
      <c r="I411">
        <v>411</v>
      </c>
      <c r="N411" t="s">
        <v>895</v>
      </c>
      <c r="O411">
        <v>411</v>
      </c>
      <c r="P411" t="str">
        <f t="shared" si="6"/>
        <v xml:space="preserve">[^ftn411]: </v>
      </c>
    </row>
    <row r="412" spans="7:16" x14ac:dyDescent="0.25">
      <c r="G412" t="s">
        <v>894</v>
      </c>
      <c r="H412">
        <v>412</v>
      </c>
      <c r="I412">
        <v>412</v>
      </c>
      <c r="N412" t="s">
        <v>895</v>
      </c>
      <c r="O412">
        <v>412</v>
      </c>
      <c r="P412" t="str">
        <f t="shared" si="6"/>
        <v xml:space="preserve">[^ftn412]: </v>
      </c>
    </row>
    <row r="413" spans="7:16" x14ac:dyDescent="0.25">
      <c r="G413" t="s">
        <v>894</v>
      </c>
      <c r="H413">
        <v>413</v>
      </c>
      <c r="I413">
        <v>413</v>
      </c>
      <c r="N413" t="s">
        <v>895</v>
      </c>
      <c r="O413">
        <v>413</v>
      </c>
      <c r="P413" t="str">
        <f t="shared" si="6"/>
        <v xml:space="preserve">[^ftn413]: </v>
      </c>
    </row>
    <row r="414" spans="7:16" x14ac:dyDescent="0.25">
      <c r="G414" t="s">
        <v>894</v>
      </c>
      <c r="H414">
        <v>414</v>
      </c>
      <c r="I414">
        <v>414</v>
      </c>
      <c r="N414" t="s">
        <v>895</v>
      </c>
      <c r="O414">
        <v>414</v>
      </c>
      <c r="P414" t="str">
        <f t="shared" si="6"/>
        <v xml:space="preserve">[^ftn414]: </v>
      </c>
    </row>
    <row r="415" spans="7:16" x14ac:dyDescent="0.25">
      <c r="G415" t="s">
        <v>894</v>
      </c>
      <c r="H415">
        <v>415</v>
      </c>
      <c r="I415">
        <v>415</v>
      </c>
      <c r="N415" t="s">
        <v>895</v>
      </c>
      <c r="O415">
        <v>415</v>
      </c>
      <c r="P415" t="str">
        <f t="shared" si="6"/>
        <v xml:space="preserve">[^ftn415]: </v>
      </c>
    </row>
    <row r="416" spans="7:16" x14ac:dyDescent="0.25">
      <c r="G416" t="s">
        <v>894</v>
      </c>
      <c r="H416">
        <v>416</v>
      </c>
      <c r="I416">
        <v>416</v>
      </c>
      <c r="N416" t="s">
        <v>895</v>
      </c>
      <c r="O416">
        <v>416</v>
      </c>
      <c r="P416" t="str">
        <f t="shared" si="6"/>
        <v xml:space="preserve">[^ftn416]: </v>
      </c>
    </row>
    <row r="417" spans="7:16" x14ac:dyDescent="0.25">
      <c r="G417" t="s">
        <v>894</v>
      </c>
      <c r="H417">
        <v>417</v>
      </c>
      <c r="I417">
        <v>417</v>
      </c>
      <c r="N417" t="s">
        <v>895</v>
      </c>
      <c r="O417">
        <v>417</v>
      </c>
      <c r="P417" t="str">
        <f t="shared" si="6"/>
        <v xml:space="preserve">[^ftn417]: </v>
      </c>
    </row>
    <row r="418" spans="7:16" x14ac:dyDescent="0.25">
      <c r="G418" t="s">
        <v>894</v>
      </c>
      <c r="H418">
        <v>418</v>
      </c>
      <c r="I418">
        <v>418</v>
      </c>
      <c r="N418" t="s">
        <v>895</v>
      </c>
      <c r="O418">
        <v>418</v>
      </c>
      <c r="P418" t="str">
        <f t="shared" si="6"/>
        <v xml:space="preserve">[^ftn418]: </v>
      </c>
    </row>
    <row r="419" spans="7:16" x14ac:dyDescent="0.25">
      <c r="G419" t="s">
        <v>894</v>
      </c>
      <c r="H419">
        <v>419</v>
      </c>
      <c r="I419">
        <v>419</v>
      </c>
      <c r="N419" t="s">
        <v>895</v>
      </c>
      <c r="O419">
        <v>419</v>
      </c>
      <c r="P419" t="str">
        <f t="shared" si="6"/>
        <v xml:space="preserve">[^ftn419]: </v>
      </c>
    </row>
    <row r="420" spans="7:16" x14ac:dyDescent="0.25">
      <c r="G420" t="s">
        <v>894</v>
      </c>
      <c r="H420">
        <v>420</v>
      </c>
      <c r="I420">
        <v>420</v>
      </c>
      <c r="N420" t="s">
        <v>895</v>
      </c>
      <c r="O420">
        <v>420</v>
      </c>
      <c r="P420" t="str">
        <f t="shared" si="6"/>
        <v xml:space="preserve">[^ftn420]: </v>
      </c>
    </row>
    <row r="421" spans="7:16" x14ac:dyDescent="0.25">
      <c r="G421" t="s">
        <v>894</v>
      </c>
      <c r="H421">
        <v>421</v>
      </c>
      <c r="I421">
        <v>421</v>
      </c>
      <c r="N421" t="s">
        <v>895</v>
      </c>
      <c r="O421">
        <v>421</v>
      </c>
      <c r="P421" t="str">
        <f t="shared" si="6"/>
        <v xml:space="preserve">[^ftn421]: </v>
      </c>
    </row>
    <row r="422" spans="7:16" x14ac:dyDescent="0.25">
      <c r="G422" t="s">
        <v>894</v>
      </c>
      <c r="H422">
        <v>422</v>
      </c>
      <c r="I422">
        <v>422</v>
      </c>
      <c r="N422" t="s">
        <v>895</v>
      </c>
      <c r="O422">
        <v>422</v>
      </c>
      <c r="P422" t="str">
        <f t="shared" si="6"/>
        <v xml:space="preserve">[^ftn422]: </v>
      </c>
    </row>
    <row r="423" spans="7:16" x14ac:dyDescent="0.25">
      <c r="G423" t="s">
        <v>894</v>
      </c>
      <c r="H423">
        <v>423</v>
      </c>
      <c r="I423">
        <v>423</v>
      </c>
      <c r="N423" t="s">
        <v>895</v>
      </c>
      <c r="O423">
        <v>423</v>
      </c>
      <c r="P423" t="str">
        <f t="shared" si="6"/>
        <v xml:space="preserve">[^ftn423]: </v>
      </c>
    </row>
    <row r="424" spans="7:16" x14ac:dyDescent="0.25">
      <c r="G424" t="s">
        <v>894</v>
      </c>
      <c r="H424">
        <v>424</v>
      </c>
      <c r="I424">
        <v>424</v>
      </c>
      <c r="N424" t="s">
        <v>895</v>
      </c>
      <c r="O424">
        <v>424</v>
      </c>
      <c r="P424" t="str">
        <f t="shared" si="6"/>
        <v xml:space="preserve">[^ftn424]: </v>
      </c>
    </row>
    <row r="425" spans="7:16" x14ac:dyDescent="0.25">
      <c r="G425" t="s">
        <v>894</v>
      </c>
      <c r="H425">
        <v>425</v>
      </c>
      <c r="I425">
        <v>425</v>
      </c>
      <c r="N425" t="s">
        <v>895</v>
      </c>
      <c r="O425">
        <v>425</v>
      </c>
      <c r="P425" t="str">
        <f t="shared" si="6"/>
        <v xml:space="preserve">[^ftn425]: </v>
      </c>
    </row>
    <row r="426" spans="7:16" x14ac:dyDescent="0.25">
      <c r="G426" t="s">
        <v>894</v>
      </c>
      <c r="H426">
        <v>426</v>
      </c>
      <c r="I426">
        <v>426</v>
      </c>
      <c r="N426" t="s">
        <v>895</v>
      </c>
      <c r="O426">
        <v>426</v>
      </c>
      <c r="P426" t="str">
        <f t="shared" si="6"/>
        <v xml:space="preserve">[^ftn426]: </v>
      </c>
    </row>
    <row r="427" spans="7:16" x14ac:dyDescent="0.25">
      <c r="G427" t="s">
        <v>894</v>
      </c>
      <c r="H427">
        <v>427</v>
      </c>
      <c r="I427">
        <v>427</v>
      </c>
      <c r="N427" t="s">
        <v>895</v>
      </c>
      <c r="O427">
        <v>427</v>
      </c>
      <c r="P427" t="str">
        <f t="shared" si="6"/>
        <v xml:space="preserve">[^ftn427]: </v>
      </c>
    </row>
    <row r="428" spans="7:16" x14ac:dyDescent="0.25">
      <c r="G428" t="s">
        <v>894</v>
      </c>
      <c r="H428">
        <v>428</v>
      </c>
      <c r="I428">
        <v>428</v>
      </c>
      <c r="N428" t="s">
        <v>895</v>
      </c>
      <c r="O428">
        <v>428</v>
      </c>
      <c r="P428" t="str">
        <f t="shared" si="6"/>
        <v xml:space="preserve">[^ftn428]: </v>
      </c>
    </row>
    <row r="429" spans="7:16" x14ac:dyDescent="0.25">
      <c r="G429" t="s">
        <v>894</v>
      </c>
      <c r="H429">
        <v>429</v>
      </c>
      <c r="I429">
        <v>429</v>
      </c>
      <c r="N429" t="s">
        <v>895</v>
      </c>
      <c r="O429">
        <v>429</v>
      </c>
      <c r="P429" t="str">
        <f t="shared" si="6"/>
        <v xml:space="preserve">[^ftn429]: </v>
      </c>
    </row>
    <row r="430" spans="7:16" x14ac:dyDescent="0.25">
      <c r="G430" t="s">
        <v>894</v>
      </c>
      <c r="H430">
        <v>430</v>
      </c>
      <c r="I430">
        <v>430</v>
      </c>
      <c r="N430" t="s">
        <v>895</v>
      </c>
      <c r="O430">
        <v>430</v>
      </c>
      <c r="P430" t="str">
        <f t="shared" si="6"/>
        <v xml:space="preserve">[^ftn430]: </v>
      </c>
    </row>
    <row r="431" spans="7:16" x14ac:dyDescent="0.25">
      <c r="G431" t="s">
        <v>894</v>
      </c>
      <c r="H431">
        <v>431</v>
      </c>
      <c r="I431">
        <v>431</v>
      </c>
      <c r="N431" t="s">
        <v>895</v>
      </c>
      <c r="O431">
        <v>431</v>
      </c>
      <c r="P431" t="str">
        <f t="shared" si="6"/>
        <v xml:space="preserve">[^ftn431]: </v>
      </c>
    </row>
    <row r="432" spans="7:16" x14ac:dyDescent="0.25">
      <c r="G432" t="s">
        <v>894</v>
      </c>
      <c r="H432">
        <v>432</v>
      </c>
      <c r="I432">
        <v>432</v>
      </c>
      <c r="N432" t="s">
        <v>895</v>
      </c>
      <c r="O432">
        <v>432</v>
      </c>
      <c r="P432" t="str">
        <f t="shared" si="6"/>
        <v xml:space="preserve">[^ftn432]: </v>
      </c>
    </row>
    <row r="433" spans="7:16" x14ac:dyDescent="0.25">
      <c r="G433" t="s">
        <v>894</v>
      </c>
      <c r="H433">
        <v>433</v>
      </c>
      <c r="I433">
        <v>433</v>
      </c>
      <c r="N433" t="s">
        <v>895</v>
      </c>
      <c r="O433">
        <v>433</v>
      </c>
      <c r="P433" t="str">
        <f t="shared" si="6"/>
        <v xml:space="preserve">[^ftn433]: </v>
      </c>
    </row>
    <row r="434" spans="7:16" x14ac:dyDescent="0.25">
      <c r="G434" t="s">
        <v>894</v>
      </c>
      <c r="H434">
        <v>434</v>
      </c>
      <c r="I434">
        <v>434</v>
      </c>
      <c r="N434" t="s">
        <v>895</v>
      </c>
      <c r="O434">
        <v>434</v>
      </c>
      <c r="P434" t="str">
        <f t="shared" si="6"/>
        <v xml:space="preserve">[^ftn434]: </v>
      </c>
    </row>
    <row r="435" spans="7:16" x14ac:dyDescent="0.25">
      <c r="G435" t="s">
        <v>894</v>
      </c>
      <c r="H435">
        <v>435</v>
      </c>
      <c r="I435">
        <v>435</v>
      </c>
      <c r="N435" t="s">
        <v>895</v>
      </c>
      <c r="O435">
        <v>435</v>
      </c>
      <c r="P435" t="str">
        <f t="shared" si="6"/>
        <v xml:space="preserve">[^ftn435]: </v>
      </c>
    </row>
    <row r="436" spans="7:16" x14ac:dyDescent="0.25">
      <c r="G436" t="s">
        <v>894</v>
      </c>
      <c r="H436">
        <v>436</v>
      </c>
      <c r="I436">
        <v>436</v>
      </c>
      <c r="N436" t="s">
        <v>895</v>
      </c>
      <c r="O436">
        <v>436</v>
      </c>
      <c r="P436" t="str">
        <f t="shared" si="6"/>
        <v xml:space="preserve">[^ftn436]: </v>
      </c>
    </row>
    <row r="437" spans="7:16" x14ac:dyDescent="0.25">
      <c r="G437" t="s">
        <v>894</v>
      </c>
      <c r="H437">
        <v>437</v>
      </c>
      <c r="I437">
        <v>437</v>
      </c>
      <c r="N437" t="s">
        <v>895</v>
      </c>
      <c r="O437">
        <v>437</v>
      </c>
      <c r="P437" t="str">
        <f t="shared" si="6"/>
        <v xml:space="preserve">[^ftn437]: </v>
      </c>
    </row>
    <row r="438" spans="7:16" x14ac:dyDescent="0.25">
      <c r="G438" t="s">
        <v>894</v>
      </c>
      <c r="H438">
        <v>438</v>
      </c>
      <c r="I438">
        <v>438</v>
      </c>
      <c r="N438" t="s">
        <v>895</v>
      </c>
      <c r="O438">
        <v>438</v>
      </c>
      <c r="P438" t="str">
        <f t="shared" si="6"/>
        <v xml:space="preserve">[^ftn438]: </v>
      </c>
    </row>
    <row r="439" spans="7:16" x14ac:dyDescent="0.25">
      <c r="G439" t="s">
        <v>894</v>
      </c>
      <c r="H439">
        <v>439</v>
      </c>
      <c r="I439">
        <v>439</v>
      </c>
      <c r="N439" t="s">
        <v>895</v>
      </c>
      <c r="O439">
        <v>439</v>
      </c>
      <c r="P439" t="str">
        <f t="shared" si="6"/>
        <v xml:space="preserve">[^ftn439]: </v>
      </c>
    </row>
    <row r="440" spans="7:16" x14ac:dyDescent="0.25">
      <c r="G440" t="s">
        <v>894</v>
      </c>
      <c r="H440">
        <v>440</v>
      </c>
      <c r="I440">
        <v>440</v>
      </c>
      <c r="N440" t="s">
        <v>895</v>
      </c>
      <c r="O440">
        <v>440</v>
      </c>
      <c r="P440" t="str">
        <f t="shared" si="6"/>
        <v xml:space="preserve">[^ftn440]: </v>
      </c>
    </row>
    <row r="441" spans="7:16" x14ac:dyDescent="0.25">
      <c r="G441" t="s">
        <v>894</v>
      </c>
      <c r="H441">
        <v>441</v>
      </c>
      <c r="I441">
        <v>441</v>
      </c>
      <c r="N441" t="s">
        <v>895</v>
      </c>
      <c r="O441">
        <v>441</v>
      </c>
      <c r="P441" t="str">
        <f t="shared" si="6"/>
        <v xml:space="preserve">[^ftn441]: </v>
      </c>
    </row>
    <row r="442" spans="7:16" x14ac:dyDescent="0.25">
      <c r="G442" t="s">
        <v>894</v>
      </c>
      <c r="H442">
        <v>442</v>
      </c>
      <c r="I442">
        <v>442</v>
      </c>
      <c r="N442" t="s">
        <v>895</v>
      </c>
      <c r="O442">
        <v>442</v>
      </c>
      <c r="P442" t="str">
        <f t="shared" si="6"/>
        <v xml:space="preserve">[^ftn442]: </v>
      </c>
    </row>
    <row r="443" spans="7:16" x14ac:dyDescent="0.25">
      <c r="G443" t="s">
        <v>894</v>
      </c>
      <c r="H443">
        <v>443</v>
      </c>
      <c r="I443">
        <v>443</v>
      </c>
      <c r="N443" t="s">
        <v>895</v>
      </c>
      <c r="O443">
        <v>443</v>
      </c>
      <c r="P443" t="str">
        <f t="shared" si="6"/>
        <v xml:space="preserve">[^ftn443]: </v>
      </c>
    </row>
    <row r="444" spans="7:16" x14ac:dyDescent="0.25">
      <c r="G444" t="s">
        <v>894</v>
      </c>
      <c r="H444">
        <v>444</v>
      </c>
      <c r="I444">
        <v>444</v>
      </c>
      <c r="N444" t="s">
        <v>895</v>
      </c>
      <c r="O444">
        <v>444</v>
      </c>
      <c r="P444" t="str">
        <f t="shared" si="6"/>
        <v xml:space="preserve">[^ftn444]: </v>
      </c>
    </row>
    <row r="445" spans="7:16" x14ac:dyDescent="0.25">
      <c r="G445" t="s">
        <v>894</v>
      </c>
      <c r="H445">
        <v>445</v>
      </c>
      <c r="I445">
        <v>445</v>
      </c>
      <c r="N445" t="s">
        <v>895</v>
      </c>
      <c r="O445">
        <v>445</v>
      </c>
      <c r="P445" t="str">
        <f t="shared" si="6"/>
        <v xml:space="preserve">[^ftn445]: </v>
      </c>
    </row>
    <row r="446" spans="7:16" x14ac:dyDescent="0.25">
      <c r="G446" t="s">
        <v>894</v>
      </c>
      <c r="H446">
        <v>446</v>
      </c>
      <c r="I446">
        <v>446</v>
      </c>
      <c r="N446" t="s">
        <v>895</v>
      </c>
      <c r="O446">
        <v>446</v>
      </c>
      <c r="P446" t="str">
        <f t="shared" si="6"/>
        <v xml:space="preserve">[^ftn446]: </v>
      </c>
    </row>
    <row r="447" spans="7:16" x14ac:dyDescent="0.25">
      <c r="G447" t="s">
        <v>894</v>
      </c>
      <c r="H447">
        <v>447</v>
      </c>
      <c r="I447">
        <v>447</v>
      </c>
      <c r="N447" t="s">
        <v>895</v>
      </c>
      <c r="O447">
        <v>447</v>
      </c>
      <c r="P447" t="str">
        <f t="shared" si="6"/>
        <v xml:space="preserve">[^ftn447]: </v>
      </c>
    </row>
    <row r="448" spans="7:16" x14ac:dyDescent="0.25">
      <c r="G448" t="s">
        <v>894</v>
      </c>
      <c r="H448">
        <v>448</v>
      </c>
      <c r="I448">
        <v>448</v>
      </c>
      <c r="N448" t="s">
        <v>895</v>
      </c>
      <c r="O448">
        <v>448</v>
      </c>
      <c r="P448" t="str">
        <f t="shared" si="6"/>
        <v xml:space="preserve">[^ftn448]: </v>
      </c>
    </row>
    <row r="449" spans="7:16" x14ac:dyDescent="0.25">
      <c r="G449" t="s">
        <v>894</v>
      </c>
      <c r="H449">
        <v>449</v>
      </c>
      <c r="I449">
        <v>449</v>
      </c>
      <c r="N449" t="s">
        <v>895</v>
      </c>
      <c r="O449">
        <v>449</v>
      </c>
      <c r="P449" t="str">
        <f t="shared" si="6"/>
        <v xml:space="preserve">[^ftn449]: </v>
      </c>
    </row>
    <row r="450" spans="7:16" x14ac:dyDescent="0.25">
      <c r="G450" t="s">
        <v>894</v>
      </c>
      <c r="H450">
        <v>450</v>
      </c>
      <c r="I450">
        <v>450</v>
      </c>
      <c r="N450" t="s">
        <v>895</v>
      </c>
      <c r="O450">
        <v>450</v>
      </c>
      <c r="P450" t="str">
        <f t="shared" ref="P450:P513" si="7">_xlfn.CONCAT("[^ftn",O450,"]: ",)</f>
        <v xml:space="preserve">[^ftn450]: </v>
      </c>
    </row>
    <row r="451" spans="7:16" x14ac:dyDescent="0.25">
      <c r="G451" t="s">
        <v>894</v>
      </c>
      <c r="H451">
        <v>451</v>
      </c>
      <c r="I451">
        <v>451</v>
      </c>
      <c r="N451" t="s">
        <v>895</v>
      </c>
      <c r="O451">
        <v>451</v>
      </c>
      <c r="P451" t="str">
        <f t="shared" si="7"/>
        <v xml:space="preserve">[^ftn451]: </v>
      </c>
    </row>
    <row r="452" spans="7:16" x14ac:dyDescent="0.25">
      <c r="G452" t="s">
        <v>894</v>
      </c>
      <c r="H452">
        <v>452</v>
      </c>
      <c r="I452">
        <v>452</v>
      </c>
      <c r="N452" t="s">
        <v>895</v>
      </c>
      <c r="O452">
        <v>452</v>
      </c>
      <c r="P452" t="str">
        <f t="shared" si="7"/>
        <v xml:space="preserve">[^ftn452]: </v>
      </c>
    </row>
    <row r="453" spans="7:16" x14ac:dyDescent="0.25">
      <c r="G453" t="s">
        <v>894</v>
      </c>
      <c r="H453">
        <v>453</v>
      </c>
      <c r="I453">
        <v>453</v>
      </c>
      <c r="N453" t="s">
        <v>895</v>
      </c>
      <c r="O453">
        <v>453</v>
      </c>
      <c r="P453" t="str">
        <f t="shared" si="7"/>
        <v xml:space="preserve">[^ftn453]: </v>
      </c>
    </row>
    <row r="454" spans="7:16" x14ac:dyDescent="0.25">
      <c r="G454" t="s">
        <v>894</v>
      </c>
      <c r="H454">
        <v>454</v>
      </c>
      <c r="I454">
        <v>454</v>
      </c>
      <c r="N454" t="s">
        <v>895</v>
      </c>
      <c r="O454">
        <v>454</v>
      </c>
      <c r="P454" t="str">
        <f t="shared" si="7"/>
        <v xml:space="preserve">[^ftn454]: </v>
      </c>
    </row>
    <row r="455" spans="7:16" x14ac:dyDescent="0.25">
      <c r="G455" t="s">
        <v>894</v>
      </c>
      <c r="H455">
        <v>455</v>
      </c>
      <c r="I455">
        <v>455</v>
      </c>
      <c r="N455" t="s">
        <v>895</v>
      </c>
      <c r="O455">
        <v>455</v>
      </c>
      <c r="P455" t="str">
        <f t="shared" si="7"/>
        <v xml:space="preserve">[^ftn455]: </v>
      </c>
    </row>
    <row r="456" spans="7:16" x14ac:dyDescent="0.25">
      <c r="G456" t="s">
        <v>894</v>
      </c>
      <c r="H456">
        <v>456</v>
      </c>
      <c r="I456">
        <v>456</v>
      </c>
      <c r="N456" t="s">
        <v>895</v>
      </c>
      <c r="O456">
        <v>456</v>
      </c>
      <c r="P456" t="str">
        <f t="shared" si="7"/>
        <v xml:space="preserve">[^ftn456]: </v>
      </c>
    </row>
    <row r="457" spans="7:16" x14ac:dyDescent="0.25">
      <c r="G457" t="s">
        <v>894</v>
      </c>
      <c r="H457">
        <v>457</v>
      </c>
      <c r="I457">
        <v>457</v>
      </c>
      <c r="N457" t="s">
        <v>895</v>
      </c>
      <c r="O457">
        <v>457</v>
      </c>
      <c r="P457" t="str">
        <f t="shared" si="7"/>
        <v xml:space="preserve">[^ftn457]: </v>
      </c>
    </row>
    <row r="458" spans="7:16" x14ac:dyDescent="0.25">
      <c r="G458" t="s">
        <v>894</v>
      </c>
      <c r="H458">
        <v>458</v>
      </c>
      <c r="I458">
        <v>458</v>
      </c>
      <c r="N458" t="s">
        <v>895</v>
      </c>
      <c r="O458">
        <v>458</v>
      </c>
      <c r="P458" t="str">
        <f t="shared" si="7"/>
        <v xml:space="preserve">[^ftn458]: </v>
      </c>
    </row>
    <row r="459" spans="7:16" x14ac:dyDescent="0.25">
      <c r="G459" t="s">
        <v>894</v>
      </c>
      <c r="H459">
        <v>459</v>
      </c>
      <c r="I459">
        <v>459</v>
      </c>
      <c r="N459" t="s">
        <v>895</v>
      </c>
      <c r="O459">
        <v>459</v>
      </c>
      <c r="P459" t="str">
        <f t="shared" si="7"/>
        <v xml:space="preserve">[^ftn459]: </v>
      </c>
    </row>
    <row r="460" spans="7:16" x14ac:dyDescent="0.25">
      <c r="G460" t="s">
        <v>894</v>
      </c>
      <c r="H460">
        <v>460</v>
      </c>
      <c r="I460">
        <v>460</v>
      </c>
      <c r="N460" t="s">
        <v>895</v>
      </c>
      <c r="O460">
        <v>460</v>
      </c>
      <c r="P460" t="str">
        <f t="shared" si="7"/>
        <v xml:space="preserve">[^ftn460]: </v>
      </c>
    </row>
    <row r="461" spans="7:16" x14ac:dyDescent="0.25">
      <c r="G461" t="s">
        <v>894</v>
      </c>
      <c r="H461">
        <v>461</v>
      </c>
      <c r="I461">
        <v>461</v>
      </c>
      <c r="N461" t="s">
        <v>895</v>
      </c>
      <c r="O461">
        <v>461</v>
      </c>
      <c r="P461" t="str">
        <f t="shared" si="7"/>
        <v xml:space="preserve">[^ftn461]: </v>
      </c>
    </row>
    <row r="462" spans="7:16" x14ac:dyDescent="0.25">
      <c r="G462" t="s">
        <v>894</v>
      </c>
      <c r="H462">
        <v>462</v>
      </c>
      <c r="I462">
        <v>462</v>
      </c>
      <c r="N462" t="s">
        <v>895</v>
      </c>
      <c r="O462">
        <v>462</v>
      </c>
      <c r="P462" t="str">
        <f t="shared" si="7"/>
        <v xml:space="preserve">[^ftn462]: </v>
      </c>
    </row>
    <row r="463" spans="7:16" x14ac:dyDescent="0.25">
      <c r="G463" t="s">
        <v>894</v>
      </c>
      <c r="H463">
        <v>463</v>
      </c>
      <c r="I463">
        <v>463</v>
      </c>
      <c r="N463" t="s">
        <v>895</v>
      </c>
      <c r="O463">
        <v>463</v>
      </c>
      <c r="P463" t="str">
        <f t="shared" si="7"/>
        <v xml:space="preserve">[^ftn463]: </v>
      </c>
    </row>
    <row r="464" spans="7:16" x14ac:dyDescent="0.25">
      <c r="G464" t="s">
        <v>894</v>
      </c>
      <c r="H464">
        <v>464</v>
      </c>
      <c r="I464">
        <v>464</v>
      </c>
      <c r="N464" t="s">
        <v>895</v>
      </c>
      <c r="O464">
        <v>464</v>
      </c>
      <c r="P464" t="str">
        <f t="shared" si="7"/>
        <v xml:space="preserve">[^ftn464]: </v>
      </c>
    </row>
    <row r="465" spans="7:16" x14ac:dyDescent="0.25">
      <c r="G465" t="s">
        <v>894</v>
      </c>
      <c r="H465">
        <v>465</v>
      </c>
      <c r="I465">
        <v>465</v>
      </c>
      <c r="N465" t="s">
        <v>895</v>
      </c>
      <c r="O465">
        <v>465</v>
      </c>
      <c r="P465" t="str">
        <f t="shared" si="7"/>
        <v xml:space="preserve">[^ftn465]: </v>
      </c>
    </row>
    <row r="466" spans="7:16" x14ac:dyDescent="0.25">
      <c r="G466" t="s">
        <v>894</v>
      </c>
      <c r="H466">
        <v>466</v>
      </c>
      <c r="I466">
        <v>466</v>
      </c>
      <c r="N466" t="s">
        <v>895</v>
      </c>
      <c r="O466">
        <v>466</v>
      </c>
      <c r="P466" t="str">
        <f t="shared" si="7"/>
        <v xml:space="preserve">[^ftn466]: </v>
      </c>
    </row>
    <row r="467" spans="7:16" x14ac:dyDescent="0.25">
      <c r="G467" t="s">
        <v>894</v>
      </c>
      <c r="H467">
        <v>467</v>
      </c>
      <c r="I467">
        <v>467</v>
      </c>
      <c r="N467" t="s">
        <v>895</v>
      </c>
      <c r="O467">
        <v>467</v>
      </c>
      <c r="P467" t="str">
        <f t="shared" si="7"/>
        <v xml:space="preserve">[^ftn467]: </v>
      </c>
    </row>
    <row r="468" spans="7:16" x14ac:dyDescent="0.25">
      <c r="G468" t="s">
        <v>894</v>
      </c>
      <c r="H468">
        <v>468</v>
      </c>
      <c r="I468">
        <v>468</v>
      </c>
      <c r="N468" t="s">
        <v>895</v>
      </c>
      <c r="O468">
        <v>468</v>
      </c>
      <c r="P468" t="str">
        <f t="shared" si="7"/>
        <v xml:space="preserve">[^ftn468]: </v>
      </c>
    </row>
    <row r="469" spans="7:16" x14ac:dyDescent="0.25">
      <c r="G469" t="s">
        <v>894</v>
      </c>
      <c r="H469">
        <v>469</v>
      </c>
      <c r="I469">
        <v>469</v>
      </c>
      <c r="N469" t="s">
        <v>895</v>
      </c>
      <c r="O469">
        <v>469</v>
      </c>
      <c r="P469" t="str">
        <f t="shared" si="7"/>
        <v xml:space="preserve">[^ftn469]: </v>
      </c>
    </row>
    <row r="470" spans="7:16" x14ac:dyDescent="0.25">
      <c r="G470" t="s">
        <v>894</v>
      </c>
      <c r="H470">
        <v>470</v>
      </c>
      <c r="I470">
        <v>470</v>
      </c>
      <c r="N470" t="s">
        <v>895</v>
      </c>
      <c r="O470">
        <v>470</v>
      </c>
      <c r="P470" t="str">
        <f t="shared" si="7"/>
        <v xml:space="preserve">[^ftn470]: </v>
      </c>
    </row>
    <row r="471" spans="7:16" x14ac:dyDescent="0.25">
      <c r="G471" t="s">
        <v>894</v>
      </c>
      <c r="H471">
        <v>471</v>
      </c>
      <c r="I471">
        <v>471</v>
      </c>
      <c r="N471" t="s">
        <v>895</v>
      </c>
      <c r="O471">
        <v>471</v>
      </c>
      <c r="P471" t="str">
        <f t="shared" si="7"/>
        <v xml:space="preserve">[^ftn471]: </v>
      </c>
    </row>
    <row r="472" spans="7:16" x14ac:dyDescent="0.25">
      <c r="G472" t="s">
        <v>894</v>
      </c>
      <c r="H472">
        <v>472</v>
      </c>
      <c r="I472">
        <v>472</v>
      </c>
      <c r="N472" t="s">
        <v>895</v>
      </c>
      <c r="O472">
        <v>472</v>
      </c>
      <c r="P472" t="str">
        <f t="shared" si="7"/>
        <v xml:space="preserve">[^ftn472]: </v>
      </c>
    </row>
    <row r="473" spans="7:16" x14ac:dyDescent="0.25">
      <c r="G473" t="s">
        <v>894</v>
      </c>
      <c r="H473">
        <v>473</v>
      </c>
      <c r="I473">
        <v>473</v>
      </c>
      <c r="N473" t="s">
        <v>895</v>
      </c>
      <c r="O473">
        <v>473</v>
      </c>
      <c r="P473" t="str">
        <f t="shared" si="7"/>
        <v xml:space="preserve">[^ftn473]: </v>
      </c>
    </row>
    <row r="474" spans="7:16" x14ac:dyDescent="0.25">
      <c r="G474" t="s">
        <v>894</v>
      </c>
      <c r="H474">
        <v>474</v>
      </c>
      <c r="I474">
        <v>474</v>
      </c>
      <c r="N474" t="s">
        <v>895</v>
      </c>
      <c r="O474">
        <v>474</v>
      </c>
      <c r="P474" t="str">
        <f t="shared" si="7"/>
        <v xml:space="preserve">[^ftn474]: </v>
      </c>
    </row>
    <row r="475" spans="7:16" x14ac:dyDescent="0.25">
      <c r="G475" t="s">
        <v>894</v>
      </c>
      <c r="H475">
        <v>475</v>
      </c>
      <c r="I475">
        <v>475</v>
      </c>
      <c r="N475" t="s">
        <v>895</v>
      </c>
      <c r="O475">
        <v>475</v>
      </c>
      <c r="P475" t="str">
        <f t="shared" si="7"/>
        <v xml:space="preserve">[^ftn475]: </v>
      </c>
    </row>
    <row r="476" spans="7:16" x14ac:dyDescent="0.25">
      <c r="G476" t="s">
        <v>894</v>
      </c>
      <c r="H476">
        <v>476</v>
      </c>
      <c r="I476">
        <v>476</v>
      </c>
      <c r="N476" t="s">
        <v>895</v>
      </c>
      <c r="O476">
        <v>476</v>
      </c>
      <c r="P476" t="str">
        <f t="shared" si="7"/>
        <v xml:space="preserve">[^ftn476]: </v>
      </c>
    </row>
    <row r="477" spans="7:16" x14ac:dyDescent="0.25">
      <c r="G477" t="s">
        <v>894</v>
      </c>
      <c r="H477">
        <v>477</v>
      </c>
      <c r="I477">
        <v>477</v>
      </c>
      <c r="N477" t="s">
        <v>895</v>
      </c>
      <c r="O477">
        <v>477</v>
      </c>
      <c r="P477" t="str">
        <f t="shared" si="7"/>
        <v xml:space="preserve">[^ftn477]: </v>
      </c>
    </row>
    <row r="478" spans="7:16" x14ac:dyDescent="0.25">
      <c r="G478" t="s">
        <v>894</v>
      </c>
      <c r="H478">
        <v>478</v>
      </c>
      <c r="I478">
        <v>478</v>
      </c>
      <c r="N478" t="s">
        <v>895</v>
      </c>
      <c r="O478">
        <v>478</v>
      </c>
      <c r="P478" t="str">
        <f t="shared" si="7"/>
        <v xml:space="preserve">[^ftn478]: </v>
      </c>
    </row>
    <row r="479" spans="7:16" x14ac:dyDescent="0.25">
      <c r="G479" t="s">
        <v>894</v>
      </c>
      <c r="H479">
        <v>479</v>
      </c>
      <c r="I479">
        <v>479</v>
      </c>
      <c r="N479" t="s">
        <v>895</v>
      </c>
      <c r="O479">
        <v>479</v>
      </c>
      <c r="P479" t="str">
        <f t="shared" si="7"/>
        <v xml:space="preserve">[^ftn479]: </v>
      </c>
    </row>
    <row r="480" spans="7:16" x14ac:dyDescent="0.25">
      <c r="G480" t="s">
        <v>894</v>
      </c>
      <c r="H480">
        <v>480</v>
      </c>
      <c r="I480">
        <v>480</v>
      </c>
      <c r="N480" t="s">
        <v>895</v>
      </c>
      <c r="O480">
        <v>480</v>
      </c>
      <c r="P480" t="str">
        <f t="shared" si="7"/>
        <v xml:space="preserve">[^ftn480]: </v>
      </c>
    </row>
    <row r="481" spans="7:16" x14ac:dyDescent="0.25">
      <c r="G481" t="s">
        <v>894</v>
      </c>
      <c r="H481">
        <v>481</v>
      </c>
      <c r="I481">
        <v>481</v>
      </c>
      <c r="N481" t="s">
        <v>895</v>
      </c>
      <c r="O481">
        <v>481</v>
      </c>
      <c r="P481" t="str">
        <f t="shared" si="7"/>
        <v xml:space="preserve">[^ftn481]: </v>
      </c>
    </row>
    <row r="482" spans="7:16" x14ac:dyDescent="0.25">
      <c r="G482" t="s">
        <v>894</v>
      </c>
      <c r="H482">
        <v>482</v>
      </c>
      <c r="I482">
        <v>482</v>
      </c>
      <c r="N482" t="s">
        <v>895</v>
      </c>
      <c r="O482">
        <v>482</v>
      </c>
      <c r="P482" t="str">
        <f t="shared" si="7"/>
        <v xml:space="preserve">[^ftn482]: </v>
      </c>
    </row>
    <row r="483" spans="7:16" x14ac:dyDescent="0.25">
      <c r="G483" t="s">
        <v>894</v>
      </c>
      <c r="H483">
        <v>483</v>
      </c>
      <c r="I483">
        <v>483</v>
      </c>
      <c r="N483" t="s">
        <v>895</v>
      </c>
      <c r="O483">
        <v>483</v>
      </c>
      <c r="P483" t="str">
        <f t="shared" si="7"/>
        <v xml:space="preserve">[^ftn483]: </v>
      </c>
    </row>
    <row r="484" spans="7:16" x14ac:dyDescent="0.25">
      <c r="G484" t="s">
        <v>894</v>
      </c>
      <c r="H484">
        <v>484</v>
      </c>
      <c r="I484">
        <v>484</v>
      </c>
      <c r="N484" t="s">
        <v>895</v>
      </c>
      <c r="O484">
        <v>484</v>
      </c>
      <c r="P484" t="str">
        <f t="shared" si="7"/>
        <v xml:space="preserve">[^ftn484]: </v>
      </c>
    </row>
    <row r="485" spans="7:16" x14ac:dyDescent="0.25">
      <c r="G485" t="s">
        <v>894</v>
      </c>
      <c r="H485">
        <v>485</v>
      </c>
      <c r="I485">
        <v>485</v>
      </c>
      <c r="N485" t="s">
        <v>895</v>
      </c>
      <c r="O485">
        <v>485</v>
      </c>
      <c r="P485" t="str">
        <f t="shared" si="7"/>
        <v xml:space="preserve">[^ftn485]: </v>
      </c>
    </row>
    <row r="486" spans="7:16" x14ac:dyDescent="0.25">
      <c r="G486" t="s">
        <v>894</v>
      </c>
      <c r="H486">
        <v>486</v>
      </c>
      <c r="I486">
        <v>486</v>
      </c>
      <c r="N486" t="s">
        <v>895</v>
      </c>
      <c r="O486">
        <v>486</v>
      </c>
      <c r="P486" t="str">
        <f t="shared" si="7"/>
        <v xml:space="preserve">[^ftn486]: </v>
      </c>
    </row>
    <row r="487" spans="7:16" x14ac:dyDescent="0.25">
      <c r="G487" t="s">
        <v>894</v>
      </c>
      <c r="H487">
        <v>487</v>
      </c>
      <c r="I487">
        <v>487</v>
      </c>
      <c r="N487" t="s">
        <v>895</v>
      </c>
      <c r="O487">
        <v>487</v>
      </c>
      <c r="P487" t="str">
        <f t="shared" si="7"/>
        <v xml:space="preserve">[^ftn487]: </v>
      </c>
    </row>
    <row r="488" spans="7:16" x14ac:dyDescent="0.25">
      <c r="G488" t="s">
        <v>894</v>
      </c>
      <c r="H488">
        <v>488</v>
      </c>
      <c r="I488">
        <v>488</v>
      </c>
      <c r="N488" t="s">
        <v>895</v>
      </c>
      <c r="O488">
        <v>488</v>
      </c>
      <c r="P488" t="str">
        <f t="shared" si="7"/>
        <v xml:space="preserve">[^ftn488]: </v>
      </c>
    </row>
    <row r="489" spans="7:16" x14ac:dyDescent="0.25">
      <c r="G489" t="s">
        <v>894</v>
      </c>
      <c r="H489">
        <v>489</v>
      </c>
      <c r="I489">
        <v>489</v>
      </c>
      <c r="N489" t="s">
        <v>895</v>
      </c>
      <c r="O489">
        <v>489</v>
      </c>
      <c r="P489" t="str">
        <f t="shared" si="7"/>
        <v xml:space="preserve">[^ftn489]: </v>
      </c>
    </row>
    <row r="490" spans="7:16" x14ac:dyDescent="0.25">
      <c r="G490" t="s">
        <v>894</v>
      </c>
      <c r="H490">
        <v>490</v>
      </c>
      <c r="I490">
        <v>490</v>
      </c>
      <c r="N490" t="s">
        <v>895</v>
      </c>
      <c r="O490">
        <v>490</v>
      </c>
      <c r="P490" t="str">
        <f t="shared" si="7"/>
        <v xml:space="preserve">[^ftn490]: </v>
      </c>
    </row>
    <row r="491" spans="7:16" x14ac:dyDescent="0.25">
      <c r="G491" t="s">
        <v>894</v>
      </c>
      <c r="H491">
        <v>491</v>
      </c>
      <c r="I491">
        <v>491</v>
      </c>
      <c r="N491" t="s">
        <v>895</v>
      </c>
      <c r="O491">
        <v>491</v>
      </c>
      <c r="P491" t="str">
        <f t="shared" si="7"/>
        <v xml:space="preserve">[^ftn491]: </v>
      </c>
    </row>
    <row r="492" spans="7:16" x14ac:dyDescent="0.25">
      <c r="G492" t="s">
        <v>894</v>
      </c>
      <c r="H492">
        <v>492</v>
      </c>
      <c r="I492">
        <v>492</v>
      </c>
      <c r="N492" t="s">
        <v>895</v>
      </c>
      <c r="O492">
        <v>492</v>
      </c>
      <c r="P492" t="str">
        <f t="shared" si="7"/>
        <v xml:space="preserve">[^ftn492]: </v>
      </c>
    </row>
    <row r="493" spans="7:16" x14ac:dyDescent="0.25">
      <c r="G493" t="s">
        <v>894</v>
      </c>
      <c r="H493">
        <v>493</v>
      </c>
      <c r="I493">
        <v>493</v>
      </c>
      <c r="N493" t="s">
        <v>895</v>
      </c>
      <c r="O493">
        <v>493</v>
      </c>
      <c r="P493" t="str">
        <f t="shared" si="7"/>
        <v xml:space="preserve">[^ftn493]: </v>
      </c>
    </row>
    <row r="494" spans="7:16" x14ac:dyDescent="0.25">
      <c r="G494" t="s">
        <v>894</v>
      </c>
      <c r="H494">
        <v>494</v>
      </c>
      <c r="I494">
        <v>494</v>
      </c>
      <c r="N494" t="s">
        <v>895</v>
      </c>
      <c r="O494">
        <v>494</v>
      </c>
      <c r="P494" t="str">
        <f t="shared" si="7"/>
        <v xml:space="preserve">[^ftn494]: </v>
      </c>
    </row>
    <row r="495" spans="7:16" x14ac:dyDescent="0.25">
      <c r="G495" t="s">
        <v>894</v>
      </c>
      <c r="H495">
        <v>495</v>
      </c>
      <c r="I495">
        <v>495</v>
      </c>
      <c r="N495" t="s">
        <v>895</v>
      </c>
      <c r="O495">
        <v>495</v>
      </c>
      <c r="P495" t="str">
        <f t="shared" si="7"/>
        <v xml:space="preserve">[^ftn495]: </v>
      </c>
    </row>
    <row r="496" spans="7:16" x14ac:dyDescent="0.25">
      <c r="G496" t="s">
        <v>894</v>
      </c>
      <c r="H496">
        <v>496</v>
      </c>
      <c r="I496">
        <v>496</v>
      </c>
      <c r="N496" t="s">
        <v>895</v>
      </c>
      <c r="O496">
        <v>496</v>
      </c>
      <c r="P496" t="str">
        <f t="shared" si="7"/>
        <v xml:space="preserve">[^ftn496]: </v>
      </c>
    </row>
    <row r="497" spans="7:16" x14ac:dyDescent="0.25">
      <c r="G497" t="s">
        <v>894</v>
      </c>
      <c r="H497">
        <v>497</v>
      </c>
      <c r="I497">
        <v>497</v>
      </c>
      <c r="N497" t="s">
        <v>895</v>
      </c>
      <c r="O497">
        <v>497</v>
      </c>
      <c r="P497" t="str">
        <f t="shared" si="7"/>
        <v xml:space="preserve">[^ftn497]: </v>
      </c>
    </row>
    <row r="498" spans="7:16" x14ac:dyDescent="0.25">
      <c r="G498" t="s">
        <v>894</v>
      </c>
      <c r="H498">
        <v>498</v>
      </c>
      <c r="I498">
        <v>498</v>
      </c>
      <c r="N498" t="s">
        <v>895</v>
      </c>
      <c r="O498">
        <v>498</v>
      </c>
      <c r="P498" t="str">
        <f t="shared" si="7"/>
        <v xml:space="preserve">[^ftn498]: </v>
      </c>
    </row>
    <row r="499" spans="7:16" x14ac:dyDescent="0.25">
      <c r="G499" t="s">
        <v>894</v>
      </c>
      <c r="H499">
        <v>499</v>
      </c>
      <c r="I499">
        <v>499</v>
      </c>
      <c r="N499" t="s">
        <v>895</v>
      </c>
      <c r="O499">
        <v>499</v>
      </c>
      <c r="P499" t="str">
        <f t="shared" si="7"/>
        <v xml:space="preserve">[^ftn499]: </v>
      </c>
    </row>
    <row r="500" spans="7:16" x14ac:dyDescent="0.25">
      <c r="G500" t="s">
        <v>894</v>
      </c>
      <c r="H500">
        <v>500</v>
      </c>
      <c r="I500">
        <v>500</v>
      </c>
      <c r="N500" t="s">
        <v>895</v>
      </c>
      <c r="O500">
        <v>500</v>
      </c>
      <c r="P500" t="str">
        <f t="shared" si="7"/>
        <v xml:space="preserve">[^ftn500]: </v>
      </c>
    </row>
    <row r="501" spans="7:16" x14ac:dyDescent="0.25">
      <c r="G501" t="s">
        <v>894</v>
      </c>
      <c r="H501">
        <v>501</v>
      </c>
      <c r="I501">
        <v>501</v>
      </c>
      <c r="N501" t="s">
        <v>895</v>
      </c>
      <c r="O501">
        <v>501</v>
      </c>
      <c r="P501" t="str">
        <f t="shared" si="7"/>
        <v xml:space="preserve">[^ftn501]: </v>
      </c>
    </row>
    <row r="502" spans="7:16" x14ac:dyDescent="0.25">
      <c r="G502" t="s">
        <v>894</v>
      </c>
      <c r="H502">
        <v>502</v>
      </c>
      <c r="I502">
        <v>502</v>
      </c>
      <c r="N502" t="s">
        <v>895</v>
      </c>
      <c r="O502">
        <v>502</v>
      </c>
      <c r="P502" t="str">
        <f t="shared" si="7"/>
        <v xml:space="preserve">[^ftn502]: </v>
      </c>
    </row>
    <row r="503" spans="7:16" x14ac:dyDescent="0.25">
      <c r="G503" t="s">
        <v>894</v>
      </c>
      <c r="H503">
        <v>503</v>
      </c>
      <c r="I503">
        <v>503</v>
      </c>
      <c r="N503" t="s">
        <v>895</v>
      </c>
      <c r="O503">
        <v>503</v>
      </c>
      <c r="P503" t="str">
        <f t="shared" si="7"/>
        <v xml:space="preserve">[^ftn503]: </v>
      </c>
    </row>
    <row r="504" spans="7:16" x14ac:dyDescent="0.25">
      <c r="G504" t="s">
        <v>894</v>
      </c>
      <c r="H504">
        <v>504</v>
      </c>
      <c r="I504">
        <v>504</v>
      </c>
      <c r="N504" t="s">
        <v>895</v>
      </c>
      <c r="O504">
        <v>504</v>
      </c>
      <c r="P504" t="str">
        <f t="shared" si="7"/>
        <v xml:space="preserve">[^ftn504]: </v>
      </c>
    </row>
    <row r="505" spans="7:16" x14ac:dyDescent="0.25">
      <c r="G505" t="s">
        <v>894</v>
      </c>
      <c r="H505">
        <v>505</v>
      </c>
      <c r="I505">
        <v>505</v>
      </c>
      <c r="N505" t="s">
        <v>895</v>
      </c>
      <c r="O505">
        <v>505</v>
      </c>
      <c r="P505" t="str">
        <f t="shared" si="7"/>
        <v xml:space="preserve">[^ftn505]: </v>
      </c>
    </row>
    <row r="506" spans="7:16" x14ac:dyDescent="0.25">
      <c r="G506" t="s">
        <v>894</v>
      </c>
      <c r="H506">
        <v>506</v>
      </c>
      <c r="I506">
        <v>506</v>
      </c>
      <c r="N506" t="s">
        <v>895</v>
      </c>
      <c r="O506">
        <v>506</v>
      </c>
      <c r="P506" t="str">
        <f t="shared" si="7"/>
        <v xml:space="preserve">[^ftn506]: </v>
      </c>
    </row>
    <row r="507" spans="7:16" x14ac:dyDescent="0.25">
      <c r="G507" t="s">
        <v>894</v>
      </c>
      <c r="H507">
        <v>507</v>
      </c>
      <c r="I507">
        <v>507</v>
      </c>
      <c r="N507" t="s">
        <v>895</v>
      </c>
      <c r="O507">
        <v>507</v>
      </c>
      <c r="P507" t="str">
        <f t="shared" si="7"/>
        <v xml:space="preserve">[^ftn507]: </v>
      </c>
    </row>
    <row r="508" spans="7:16" x14ac:dyDescent="0.25">
      <c r="G508" t="s">
        <v>894</v>
      </c>
      <c r="H508">
        <v>508</v>
      </c>
      <c r="I508">
        <v>508</v>
      </c>
      <c r="N508" t="s">
        <v>895</v>
      </c>
      <c r="O508">
        <v>508</v>
      </c>
      <c r="P508" t="str">
        <f t="shared" si="7"/>
        <v xml:space="preserve">[^ftn508]: </v>
      </c>
    </row>
    <row r="509" spans="7:16" x14ac:dyDescent="0.25">
      <c r="G509" t="s">
        <v>894</v>
      </c>
      <c r="H509">
        <v>509</v>
      </c>
      <c r="I509">
        <v>509</v>
      </c>
      <c r="N509" t="s">
        <v>895</v>
      </c>
      <c r="O509">
        <v>509</v>
      </c>
      <c r="P509" t="str">
        <f t="shared" si="7"/>
        <v xml:space="preserve">[^ftn509]: </v>
      </c>
    </row>
    <row r="510" spans="7:16" x14ac:dyDescent="0.25">
      <c r="G510" t="s">
        <v>894</v>
      </c>
      <c r="H510">
        <v>510</v>
      </c>
      <c r="I510">
        <v>510</v>
      </c>
      <c r="N510" t="s">
        <v>895</v>
      </c>
      <c r="O510">
        <v>510</v>
      </c>
      <c r="P510" t="str">
        <f t="shared" si="7"/>
        <v xml:space="preserve">[^ftn510]: </v>
      </c>
    </row>
    <row r="511" spans="7:16" x14ac:dyDescent="0.25">
      <c r="G511" t="s">
        <v>894</v>
      </c>
      <c r="H511">
        <v>511</v>
      </c>
      <c r="I511">
        <v>511</v>
      </c>
      <c r="N511" t="s">
        <v>895</v>
      </c>
      <c r="O511">
        <v>511</v>
      </c>
      <c r="P511" t="str">
        <f t="shared" si="7"/>
        <v xml:space="preserve">[^ftn511]: </v>
      </c>
    </row>
    <row r="512" spans="7:16" x14ac:dyDescent="0.25">
      <c r="G512" t="s">
        <v>894</v>
      </c>
      <c r="H512">
        <v>512</v>
      </c>
      <c r="I512">
        <v>512</v>
      </c>
      <c r="N512" t="s">
        <v>895</v>
      </c>
      <c r="O512">
        <v>512</v>
      </c>
      <c r="P512" t="str">
        <f t="shared" si="7"/>
        <v xml:space="preserve">[^ftn512]: </v>
      </c>
    </row>
    <row r="513" spans="7:16" x14ac:dyDescent="0.25">
      <c r="G513" t="s">
        <v>894</v>
      </c>
      <c r="H513">
        <v>513</v>
      </c>
      <c r="I513">
        <v>513</v>
      </c>
      <c r="N513" t="s">
        <v>895</v>
      </c>
      <c r="O513">
        <v>513</v>
      </c>
      <c r="P513" t="str">
        <f t="shared" si="7"/>
        <v xml:space="preserve">[^ftn513]: </v>
      </c>
    </row>
    <row r="514" spans="7:16" x14ac:dyDescent="0.25">
      <c r="G514" t="s">
        <v>894</v>
      </c>
      <c r="H514">
        <v>514</v>
      </c>
      <c r="I514">
        <v>514</v>
      </c>
      <c r="N514" t="s">
        <v>895</v>
      </c>
      <c r="O514">
        <v>514</v>
      </c>
      <c r="P514" t="str">
        <f t="shared" ref="P514:P577" si="8">_xlfn.CONCAT("[^ftn",O514,"]: ",)</f>
        <v xml:space="preserve">[^ftn514]: </v>
      </c>
    </row>
    <row r="515" spans="7:16" x14ac:dyDescent="0.25">
      <c r="G515" t="s">
        <v>894</v>
      </c>
      <c r="H515">
        <v>515</v>
      </c>
      <c r="I515">
        <v>515</v>
      </c>
      <c r="N515" t="s">
        <v>895</v>
      </c>
      <c r="O515">
        <v>515</v>
      </c>
      <c r="P515" t="str">
        <f t="shared" si="8"/>
        <v xml:space="preserve">[^ftn515]: </v>
      </c>
    </row>
    <row r="516" spans="7:16" x14ac:dyDescent="0.25">
      <c r="G516" t="s">
        <v>894</v>
      </c>
      <c r="H516">
        <v>516</v>
      </c>
      <c r="I516">
        <v>516</v>
      </c>
      <c r="N516" t="s">
        <v>895</v>
      </c>
      <c r="O516">
        <v>516</v>
      </c>
      <c r="P516" t="str">
        <f t="shared" si="8"/>
        <v xml:space="preserve">[^ftn516]: </v>
      </c>
    </row>
    <row r="517" spans="7:16" x14ac:dyDescent="0.25">
      <c r="G517" t="s">
        <v>894</v>
      </c>
      <c r="H517">
        <v>517</v>
      </c>
      <c r="I517">
        <v>517</v>
      </c>
      <c r="N517" t="s">
        <v>895</v>
      </c>
      <c r="O517">
        <v>517</v>
      </c>
      <c r="P517" t="str">
        <f t="shared" si="8"/>
        <v xml:space="preserve">[^ftn517]: </v>
      </c>
    </row>
    <row r="518" spans="7:16" x14ac:dyDescent="0.25">
      <c r="G518" t="s">
        <v>894</v>
      </c>
      <c r="H518">
        <v>518</v>
      </c>
      <c r="I518">
        <v>518</v>
      </c>
      <c r="N518" t="s">
        <v>895</v>
      </c>
      <c r="O518">
        <v>518</v>
      </c>
      <c r="P518" t="str">
        <f t="shared" si="8"/>
        <v xml:space="preserve">[^ftn518]: </v>
      </c>
    </row>
    <row r="519" spans="7:16" x14ac:dyDescent="0.25">
      <c r="G519" t="s">
        <v>894</v>
      </c>
      <c r="H519">
        <v>519</v>
      </c>
      <c r="I519">
        <v>519</v>
      </c>
      <c r="N519" t="s">
        <v>895</v>
      </c>
      <c r="O519">
        <v>519</v>
      </c>
      <c r="P519" t="str">
        <f t="shared" si="8"/>
        <v xml:space="preserve">[^ftn519]: </v>
      </c>
    </row>
    <row r="520" spans="7:16" x14ac:dyDescent="0.25">
      <c r="G520" t="s">
        <v>894</v>
      </c>
      <c r="H520">
        <v>520</v>
      </c>
      <c r="I520">
        <v>520</v>
      </c>
      <c r="N520" t="s">
        <v>895</v>
      </c>
      <c r="O520">
        <v>520</v>
      </c>
      <c r="P520" t="str">
        <f t="shared" si="8"/>
        <v xml:space="preserve">[^ftn520]: </v>
      </c>
    </row>
    <row r="521" spans="7:16" x14ac:dyDescent="0.25">
      <c r="G521" t="s">
        <v>894</v>
      </c>
      <c r="H521">
        <v>521</v>
      </c>
      <c r="I521">
        <v>521</v>
      </c>
      <c r="N521" t="s">
        <v>895</v>
      </c>
      <c r="O521">
        <v>521</v>
      </c>
      <c r="P521" t="str">
        <f t="shared" si="8"/>
        <v xml:space="preserve">[^ftn521]: </v>
      </c>
    </row>
    <row r="522" spans="7:16" x14ac:dyDescent="0.25">
      <c r="G522" t="s">
        <v>894</v>
      </c>
      <c r="H522">
        <v>522</v>
      </c>
      <c r="I522">
        <v>522</v>
      </c>
      <c r="N522" t="s">
        <v>895</v>
      </c>
      <c r="O522">
        <v>522</v>
      </c>
      <c r="P522" t="str">
        <f t="shared" si="8"/>
        <v xml:space="preserve">[^ftn522]: </v>
      </c>
    </row>
    <row r="523" spans="7:16" x14ac:dyDescent="0.25">
      <c r="G523" t="s">
        <v>894</v>
      </c>
      <c r="H523">
        <v>523</v>
      </c>
      <c r="I523">
        <v>523</v>
      </c>
      <c r="N523" t="s">
        <v>895</v>
      </c>
      <c r="O523">
        <v>523</v>
      </c>
      <c r="P523" t="str">
        <f t="shared" si="8"/>
        <v xml:space="preserve">[^ftn523]: </v>
      </c>
    </row>
    <row r="524" spans="7:16" x14ac:dyDescent="0.25">
      <c r="G524" t="s">
        <v>894</v>
      </c>
      <c r="H524">
        <v>524</v>
      </c>
      <c r="I524">
        <v>524</v>
      </c>
      <c r="N524" t="s">
        <v>895</v>
      </c>
      <c r="O524">
        <v>524</v>
      </c>
      <c r="P524" t="str">
        <f t="shared" si="8"/>
        <v xml:space="preserve">[^ftn524]: </v>
      </c>
    </row>
    <row r="525" spans="7:16" x14ac:dyDescent="0.25">
      <c r="G525" t="s">
        <v>894</v>
      </c>
      <c r="H525">
        <v>525</v>
      </c>
      <c r="I525">
        <v>525</v>
      </c>
      <c r="N525" t="s">
        <v>895</v>
      </c>
      <c r="O525">
        <v>525</v>
      </c>
      <c r="P525" t="str">
        <f t="shared" si="8"/>
        <v xml:space="preserve">[^ftn525]: </v>
      </c>
    </row>
    <row r="526" spans="7:16" x14ac:dyDescent="0.25">
      <c r="G526" t="s">
        <v>894</v>
      </c>
      <c r="H526">
        <v>526</v>
      </c>
      <c r="I526">
        <v>526</v>
      </c>
      <c r="N526" t="s">
        <v>895</v>
      </c>
      <c r="O526">
        <v>526</v>
      </c>
      <c r="P526" t="str">
        <f t="shared" si="8"/>
        <v xml:space="preserve">[^ftn526]: </v>
      </c>
    </row>
    <row r="527" spans="7:16" x14ac:dyDescent="0.25">
      <c r="G527" t="s">
        <v>894</v>
      </c>
      <c r="H527">
        <v>527</v>
      </c>
      <c r="I527">
        <v>527</v>
      </c>
      <c r="N527" t="s">
        <v>895</v>
      </c>
      <c r="O527">
        <v>527</v>
      </c>
      <c r="P527" t="str">
        <f t="shared" si="8"/>
        <v xml:space="preserve">[^ftn527]: </v>
      </c>
    </row>
    <row r="528" spans="7:16" x14ac:dyDescent="0.25">
      <c r="G528" t="s">
        <v>894</v>
      </c>
      <c r="H528">
        <v>528</v>
      </c>
      <c r="I528">
        <v>528</v>
      </c>
      <c r="N528" t="s">
        <v>895</v>
      </c>
      <c r="O528">
        <v>528</v>
      </c>
      <c r="P528" t="str">
        <f t="shared" si="8"/>
        <v xml:space="preserve">[^ftn528]: </v>
      </c>
    </row>
    <row r="529" spans="7:16" x14ac:dyDescent="0.25">
      <c r="G529" t="s">
        <v>894</v>
      </c>
      <c r="H529">
        <v>529</v>
      </c>
      <c r="I529">
        <v>529</v>
      </c>
      <c r="N529" t="s">
        <v>895</v>
      </c>
      <c r="O529">
        <v>529</v>
      </c>
      <c r="P529" t="str">
        <f t="shared" si="8"/>
        <v xml:space="preserve">[^ftn529]: </v>
      </c>
    </row>
    <row r="530" spans="7:16" x14ac:dyDescent="0.25">
      <c r="G530" t="s">
        <v>894</v>
      </c>
      <c r="H530">
        <v>530</v>
      </c>
      <c r="I530">
        <v>530</v>
      </c>
      <c r="N530" t="s">
        <v>895</v>
      </c>
      <c r="O530">
        <v>530</v>
      </c>
      <c r="P530" t="str">
        <f t="shared" si="8"/>
        <v xml:space="preserve">[^ftn530]: </v>
      </c>
    </row>
    <row r="531" spans="7:16" x14ac:dyDescent="0.25">
      <c r="G531" t="s">
        <v>894</v>
      </c>
      <c r="H531">
        <v>531</v>
      </c>
      <c r="I531">
        <v>531</v>
      </c>
      <c r="N531" t="s">
        <v>895</v>
      </c>
      <c r="O531">
        <v>531</v>
      </c>
      <c r="P531" t="str">
        <f t="shared" si="8"/>
        <v xml:space="preserve">[^ftn531]: </v>
      </c>
    </row>
    <row r="532" spans="7:16" x14ac:dyDescent="0.25">
      <c r="G532" t="s">
        <v>894</v>
      </c>
      <c r="H532">
        <v>532</v>
      </c>
      <c r="I532">
        <v>532</v>
      </c>
      <c r="N532" t="s">
        <v>895</v>
      </c>
      <c r="O532">
        <v>532</v>
      </c>
      <c r="P532" t="str">
        <f t="shared" si="8"/>
        <v xml:space="preserve">[^ftn532]: </v>
      </c>
    </row>
    <row r="533" spans="7:16" x14ac:dyDescent="0.25">
      <c r="G533" t="s">
        <v>894</v>
      </c>
      <c r="H533">
        <v>533</v>
      </c>
      <c r="I533">
        <v>533</v>
      </c>
      <c r="N533" t="s">
        <v>895</v>
      </c>
      <c r="O533">
        <v>533</v>
      </c>
      <c r="P533" t="str">
        <f t="shared" si="8"/>
        <v xml:space="preserve">[^ftn533]: </v>
      </c>
    </row>
    <row r="534" spans="7:16" x14ac:dyDescent="0.25">
      <c r="G534" t="s">
        <v>894</v>
      </c>
      <c r="H534">
        <v>534</v>
      </c>
      <c r="I534">
        <v>534</v>
      </c>
      <c r="N534" t="s">
        <v>895</v>
      </c>
      <c r="O534">
        <v>534</v>
      </c>
      <c r="P534" t="str">
        <f t="shared" si="8"/>
        <v xml:space="preserve">[^ftn534]: </v>
      </c>
    </row>
    <row r="535" spans="7:16" x14ac:dyDescent="0.25">
      <c r="G535" t="s">
        <v>894</v>
      </c>
      <c r="H535">
        <v>535</v>
      </c>
      <c r="I535">
        <v>535</v>
      </c>
      <c r="N535" t="s">
        <v>895</v>
      </c>
      <c r="O535">
        <v>535</v>
      </c>
      <c r="P535" t="str">
        <f t="shared" si="8"/>
        <v xml:space="preserve">[^ftn535]: </v>
      </c>
    </row>
    <row r="536" spans="7:16" x14ac:dyDescent="0.25">
      <c r="G536" t="s">
        <v>894</v>
      </c>
      <c r="H536">
        <v>536</v>
      </c>
      <c r="I536">
        <v>536</v>
      </c>
      <c r="N536" t="s">
        <v>895</v>
      </c>
      <c r="O536">
        <v>536</v>
      </c>
      <c r="P536" t="str">
        <f t="shared" si="8"/>
        <v xml:space="preserve">[^ftn536]: </v>
      </c>
    </row>
    <row r="537" spans="7:16" x14ac:dyDescent="0.25">
      <c r="G537" t="s">
        <v>894</v>
      </c>
      <c r="H537">
        <v>537</v>
      </c>
      <c r="I537">
        <v>537</v>
      </c>
      <c r="N537" t="s">
        <v>895</v>
      </c>
      <c r="O537">
        <v>537</v>
      </c>
      <c r="P537" t="str">
        <f t="shared" si="8"/>
        <v xml:space="preserve">[^ftn537]: </v>
      </c>
    </row>
    <row r="538" spans="7:16" x14ac:dyDescent="0.25">
      <c r="G538" t="s">
        <v>894</v>
      </c>
      <c r="H538">
        <v>538</v>
      </c>
      <c r="I538">
        <v>538</v>
      </c>
      <c r="N538" t="s">
        <v>895</v>
      </c>
      <c r="O538">
        <v>538</v>
      </c>
      <c r="P538" t="str">
        <f t="shared" si="8"/>
        <v xml:space="preserve">[^ftn538]: </v>
      </c>
    </row>
    <row r="539" spans="7:16" x14ac:dyDescent="0.25">
      <c r="G539" t="s">
        <v>894</v>
      </c>
      <c r="H539">
        <v>539</v>
      </c>
      <c r="I539">
        <v>539</v>
      </c>
      <c r="N539" t="s">
        <v>895</v>
      </c>
      <c r="O539">
        <v>539</v>
      </c>
      <c r="P539" t="str">
        <f t="shared" si="8"/>
        <v xml:space="preserve">[^ftn539]: </v>
      </c>
    </row>
    <row r="540" spans="7:16" x14ac:dyDescent="0.25">
      <c r="G540" t="s">
        <v>894</v>
      </c>
      <c r="H540">
        <v>540</v>
      </c>
      <c r="I540">
        <v>540</v>
      </c>
      <c r="N540" t="s">
        <v>895</v>
      </c>
      <c r="O540">
        <v>540</v>
      </c>
      <c r="P540" t="str">
        <f t="shared" si="8"/>
        <v xml:space="preserve">[^ftn540]: </v>
      </c>
    </row>
    <row r="541" spans="7:16" x14ac:dyDescent="0.25">
      <c r="G541" t="s">
        <v>894</v>
      </c>
      <c r="H541">
        <v>541</v>
      </c>
      <c r="I541">
        <v>541</v>
      </c>
      <c r="N541" t="s">
        <v>895</v>
      </c>
      <c r="O541">
        <v>541</v>
      </c>
      <c r="P541" t="str">
        <f t="shared" si="8"/>
        <v xml:space="preserve">[^ftn541]: </v>
      </c>
    </row>
    <row r="542" spans="7:16" x14ac:dyDescent="0.25">
      <c r="G542" t="s">
        <v>894</v>
      </c>
      <c r="H542">
        <v>542</v>
      </c>
      <c r="I542">
        <v>542</v>
      </c>
      <c r="N542" t="s">
        <v>895</v>
      </c>
      <c r="O542">
        <v>542</v>
      </c>
      <c r="P542" t="str">
        <f t="shared" si="8"/>
        <v xml:space="preserve">[^ftn542]: </v>
      </c>
    </row>
    <row r="543" spans="7:16" x14ac:dyDescent="0.25">
      <c r="G543" t="s">
        <v>894</v>
      </c>
      <c r="H543">
        <v>543</v>
      </c>
      <c r="I543">
        <v>543</v>
      </c>
      <c r="N543" t="s">
        <v>895</v>
      </c>
      <c r="O543">
        <v>543</v>
      </c>
      <c r="P543" t="str">
        <f t="shared" si="8"/>
        <v xml:space="preserve">[^ftn543]: </v>
      </c>
    </row>
    <row r="544" spans="7:16" x14ac:dyDescent="0.25">
      <c r="G544" t="s">
        <v>894</v>
      </c>
      <c r="H544">
        <v>544</v>
      </c>
      <c r="I544">
        <v>544</v>
      </c>
      <c r="N544" t="s">
        <v>895</v>
      </c>
      <c r="O544">
        <v>544</v>
      </c>
      <c r="P544" t="str">
        <f t="shared" si="8"/>
        <v xml:space="preserve">[^ftn544]: </v>
      </c>
    </row>
    <row r="545" spans="7:16" x14ac:dyDescent="0.25">
      <c r="G545" t="s">
        <v>894</v>
      </c>
      <c r="H545">
        <v>545</v>
      </c>
      <c r="I545">
        <v>545</v>
      </c>
      <c r="N545" t="s">
        <v>895</v>
      </c>
      <c r="O545">
        <v>545</v>
      </c>
      <c r="P545" t="str">
        <f t="shared" si="8"/>
        <v xml:space="preserve">[^ftn545]: </v>
      </c>
    </row>
    <row r="546" spans="7:16" x14ac:dyDescent="0.25">
      <c r="G546" t="s">
        <v>894</v>
      </c>
      <c r="H546">
        <v>546</v>
      </c>
      <c r="I546">
        <v>546</v>
      </c>
      <c r="N546" t="s">
        <v>895</v>
      </c>
      <c r="O546">
        <v>546</v>
      </c>
      <c r="P546" t="str">
        <f t="shared" si="8"/>
        <v xml:space="preserve">[^ftn546]: </v>
      </c>
    </row>
    <row r="547" spans="7:16" x14ac:dyDescent="0.25">
      <c r="G547" t="s">
        <v>894</v>
      </c>
      <c r="H547">
        <v>547</v>
      </c>
      <c r="I547">
        <v>547</v>
      </c>
      <c r="N547" t="s">
        <v>895</v>
      </c>
      <c r="O547">
        <v>547</v>
      </c>
      <c r="P547" t="str">
        <f t="shared" si="8"/>
        <v xml:space="preserve">[^ftn547]: </v>
      </c>
    </row>
    <row r="548" spans="7:16" x14ac:dyDescent="0.25">
      <c r="G548" t="s">
        <v>894</v>
      </c>
      <c r="H548">
        <v>548</v>
      </c>
      <c r="I548">
        <v>548</v>
      </c>
      <c r="N548" t="s">
        <v>895</v>
      </c>
      <c r="O548">
        <v>548</v>
      </c>
      <c r="P548" t="str">
        <f t="shared" si="8"/>
        <v xml:space="preserve">[^ftn548]: </v>
      </c>
    </row>
    <row r="549" spans="7:16" x14ac:dyDescent="0.25">
      <c r="G549" t="s">
        <v>894</v>
      </c>
      <c r="H549">
        <v>549</v>
      </c>
      <c r="I549">
        <v>549</v>
      </c>
      <c r="N549" t="s">
        <v>895</v>
      </c>
      <c r="O549">
        <v>549</v>
      </c>
      <c r="P549" t="str">
        <f t="shared" si="8"/>
        <v xml:space="preserve">[^ftn549]: </v>
      </c>
    </row>
    <row r="550" spans="7:16" x14ac:dyDescent="0.25">
      <c r="G550" t="s">
        <v>894</v>
      </c>
      <c r="H550">
        <v>550</v>
      </c>
      <c r="I550">
        <v>550</v>
      </c>
      <c r="N550" t="s">
        <v>895</v>
      </c>
      <c r="O550">
        <v>550</v>
      </c>
      <c r="P550" t="str">
        <f t="shared" si="8"/>
        <v xml:space="preserve">[^ftn550]: </v>
      </c>
    </row>
    <row r="551" spans="7:16" x14ac:dyDescent="0.25">
      <c r="G551" t="s">
        <v>894</v>
      </c>
      <c r="H551">
        <v>551</v>
      </c>
      <c r="I551">
        <v>551</v>
      </c>
      <c r="N551" t="s">
        <v>895</v>
      </c>
      <c r="O551">
        <v>551</v>
      </c>
      <c r="P551" t="str">
        <f t="shared" si="8"/>
        <v xml:space="preserve">[^ftn551]: </v>
      </c>
    </row>
    <row r="552" spans="7:16" x14ac:dyDescent="0.25">
      <c r="G552" t="s">
        <v>894</v>
      </c>
      <c r="H552">
        <v>552</v>
      </c>
      <c r="I552">
        <v>552</v>
      </c>
      <c r="N552" t="s">
        <v>895</v>
      </c>
      <c r="O552">
        <v>552</v>
      </c>
      <c r="P552" t="str">
        <f t="shared" si="8"/>
        <v xml:space="preserve">[^ftn552]: </v>
      </c>
    </row>
    <row r="553" spans="7:16" x14ac:dyDescent="0.25">
      <c r="G553" t="s">
        <v>894</v>
      </c>
      <c r="H553">
        <v>553</v>
      </c>
      <c r="I553">
        <v>553</v>
      </c>
      <c r="N553" t="s">
        <v>895</v>
      </c>
      <c r="O553">
        <v>553</v>
      </c>
      <c r="P553" t="str">
        <f t="shared" si="8"/>
        <v xml:space="preserve">[^ftn553]: </v>
      </c>
    </row>
    <row r="554" spans="7:16" x14ac:dyDescent="0.25">
      <c r="G554" t="s">
        <v>894</v>
      </c>
      <c r="H554">
        <v>554</v>
      </c>
      <c r="I554">
        <v>554</v>
      </c>
      <c r="N554" t="s">
        <v>895</v>
      </c>
      <c r="O554">
        <v>554</v>
      </c>
      <c r="P554" t="str">
        <f t="shared" si="8"/>
        <v xml:space="preserve">[^ftn554]: </v>
      </c>
    </row>
    <row r="555" spans="7:16" x14ac:dyDescent="0.25">
      <c r="G555" t="s">
        <v>894</v>
      </c>
      <c r="H555">
        <v>555</v>
      </c>
      <c r="I555">
        <v>555</v>
      </c>
      <c r="N555" t="s">
        <v>895</v>
      </c>
      <c r="O555">
        <v>555</v>
      </c>
      <c r="P555" t="str">
        <f t="shared" si="8"/>
        <v xml:space="preserve">[^ftn555]: </v>
      </c>
    </row>
    <row r="556" spans="7:16" x14ac:dyDescent="0.25">
      <c r="G556" t="s">
        <v>894</v>
      </c>
      <c r="H556">
        <v>556</v>
      </c>
      <c r="I556">
        <v>556</v>
      </c>
      <c r="N556" t="s">
        <v>895</v>
      </c>
      <c r="O556">
        <v>556</v>
      </c>
      <c r="P556" t="str">
        <f t="shared" si="8"/>
        <v xml:space="preserve">[^ftn556]: </v>
      </c>
    </row>
    <row r="557" spans="7:16" x14ac:dyDescent="0.25">
      <c r="G557" t="s">
        <v>894</v>
      </c>
      <c r="H557">
        <v>557</v>
      </c>
      <c r="I557">
        <v>557</v>
      </c>
      <c r="N557" t="s">
        <v>895</v>
      </c>
      <c r="O557">
        <v>557</v>
      </c>
      <c r="P557" t="str">
        <f t="shared" si="8"/>
        <v xml:space="preserve">[^ftn557]: </v>
      </c>
    </row>
    <row r="558" spans="7:16" x14ac:dyDescent="0.25">
      <c r="G558" t="s">
        <v>894</v>
      </c>
      <c r="H558">
        <v>558</v>
      </c>
      <c r="I558">
        <v>558</v>
      </c>
      <c r="N558" t="s">
        <v>895</v>
      </c>
      <c r="O558">
        <v>558</v>
      </c>
      <c r="P558" t="str">
        <f t="shared" si="8"/>
        <v xml:space="preserve">[^ftn558]: </v>
      </c>
    </row>
    <row r="559" spans="7:16" x14ac:dyDescent="0.25">
      <c r="G559" t="s">
        <v>894</v>
      </c>
      <c r="H559">
        <v>559</v>
      </c>
      <c r="I559">
        <v>559</v>
      </c>
      <c r="N559" t="s">
        <v>895</v>
      </c>
      <c r="O559">
        <v>559</v>
      </c>
      <c r="P559" t="str">
        <f t="shared" si="8"/>
        <v xml:space="preserve">[^ftn559]: </v>
      </c>
    </row>
    <row r="560" spans="7:16" x14ac:dyDescent="0.25">
      <c r="G560" t="s">
        <v>894</v>
      </c>
      <c r="H560">
        <v>560</v>
      </c>
      <c r="I560">
        <v>560</v>
      </c>
      <c r="N560" t="s">
        <v>895</v>
      </c>
      <c r="O560">
        <v>560</v>
      </c>
      <c r="P560" t="str">
        <f t="shared" si="8"/>
        <v xml:space="preserve">[^ftn560]: </v>
      </c>
    </row>
    <row r="561" spans="7:16" x14ac:dyDescent="0.25">
      <c r="G561" t="s">
        <v>894</v>
      </c>
      <c r="H561">
        <v>561</v>
      </c>
      <c r="I561">
        <v>561</v>
      </c>
      <c r="N561" t="s">
        <v>895</v>
      </c>
      <c r="O561">
        <v>561</v>
      </c>
      <c r="P561" t="str">
        <f t="shared" si="8"/>
        <v xml:space="preserve">[^ftn561]: </v>
      </c>
    </row>
    <row r="562" spans="7:16" x14ac:dyDescent="0.25">
      <c r="G562" t="s">
        <v>894</v>
      </c>
      <c r="H562">
        <v>562</v>
      </c>
      <c r="I562">
        <v>562</v>
      </c>
      <c r="N562" t="s">
        <v>895</v>
      </c>
      <c r="O562">
        <v>562</v>
      </c>
      <c r="P562" t="str">
        <f t="shared" si="8"/>
        <v xml:space="preserve">[^ftn562]: </v>
      </c>
    </row>
    <row r="563" spans="7:16" x14ac:dyDescent="0.25">
      <c r="G563" t="s">
        <v>894</v>
      </c>
      <c r="H563">
        <v>563</v>
      </c>
      <c r="I563">
        <v>563</v>
      </c>
      <c r="N563" t="s">
        <v>895</v>
      </c>
      <c r="O563">
        <v>563</v>
      </c>
      <c r="P563" t="str">
        <f t="shared" si="8"/>
        <v xml:space="preserve">[^ftn563]: </v>
      </c>
    </row>
    <row r="564" spans="7:16" x14ac:dyDescent="0.25">
      <c r="G564" t="s">
        <v>894</v>
      </c>
      <c r="H564">
        <v>564</v>
      </c>
      <c r="I564">
        <v>564</v>
      </c>
      <c r="N564" t="s">
        <v>895</v>
      </c>
      <c r="O564">
        <v>564</v>
      </c>
      <c r="P564" t="str">
        <f t="shared" si="8"/>
        <v xml:space="preserve">[^ftn564]: </v>
      </c>
    </row>
    <row r="565" spans="7:16" x14ac:dyDescent="0.25">
      <c r="G565" t="s">
        <v>894</v>
      </c>
      <c r="H565">
        <v>565</v>
      </c>
      <c r="I565">
        <v>565</v>
      </c>
      <c r="N565" t="s">
        <v>895</v>
      </c>
      <c r="O565">
        <v>565</v>
      </c>
      <c r="P565" t="str">
        <f t="shared" si="8"/>
        <v xml:space="preserve">[^ftn565]: </v>
      </c>
    </row>
    <row r="566" spans="7:16" x14ac:dyDescent="0.25">
      <c r="G566" t="s">
        <v>894</v>
      </c>
      <c r="H566">
        <v>566</v>
      </c>
      <c r="I566">
        <v>566</v>
      </c>
      <c r="N566" t="s">
        <v>895</v>
      </c>
      <c r="O566">
        <v>566</v>
      </c>
      <c r="P566" t="str">
        <f t="shared" si="8"/>
        <v xml:space="preserve">[^ftn566]: </v>
      </c>
    </row>
    <row r="567" spans="7:16" x14ac:dyDescent="0.25">
      <c r="G567" t="s">
        <v>894</v>
      </c>
      <c r="H567">
        <v>567</v>
      </c>
      <c r="I567">
        <v>567</v>
      </c>
      <c r="N567" t="s">
        <v>895</v>
      </c>
      <c r="O567">
        <v>567</v>
      </c>
      <c r="P567" t="str">
        <f t="shared" si="8"/>
        <v xml:space="preserve">[^ftn567]: </v>
      </c>
    </row>
    <row r="568" spans="7:16" x14ac:dyDescent="0.25">
      <c r="G568" t="s">
        <v>894</v>
      </c>
      <c r="H568">
        <v>568</v>
      </c>
      <c r="I568">
        <v>568</v>
      </c>
      <c r="N568" t="s">
        <v>895</v>
      </c>
      <c r="O568">
        <v>568</v>
      </c>
      <c r="P568" t="str">
        <f t="shared" si="8"/>
        <v xml:space="preserve">[^ftn568]: </v>
      </c>
    </row>
    <row r="569" spans="7:16" x14ac:dyDescent="0.25">
      <c r="G569" t="s">
        <v>894</v>
      </c>
      <c r="H569">
        <v>569</v>
      </c>
      <c r="I569">
        <v>569</v>
      </c>
      <c r="N569" t="s">
        <v>895</v>
      </c>
      <c r="O569">
        <v>569</v>
      </c>
      <c r="P569" t="str">
        <f t="shared" si="8"/>
        <v xml:space="preserve">[^ftn569]: </v>
      </c>
    </row>
    <row r="570" spans="7:16" x14ac:dyDescent="0.25">
      <c r="G570" t="s">
        <v>894</v>
      </c>
      <c r="H570">
        <v>570</v>
      </c>
      <c r="I570">
        <v>570</v>
      </c>
      <c r="N570" t="s">
        <v>895</v>
      </c>
      <c r="O570">
        <v>570</v>
      </c>
      <c r="P570" t="str">
        <f t="shared" si="8"/>
        <v xml:space="preserve">[^ftn570]: </v>
      </c>
    </row>
    <row r="571" spans="7:16" x14ac:dyDescent="0.25">
      <c r="G571" t="s">
        <v>894</v>
      </c>
      <c r="H571">
        <v>571</v>
      </c>
      <c r="I571">
        <v>571</v>
      </c>
      <c r="N571" t="s">
        <v>895</v>
      </c>
      <c r="O571">
        <v>571</v>
      </c>
      <c r="P571" t="str">
        <f t="shared" si="8"/>
        <v xml:space="preserve">[^ftn571]: </v>
      </c>
    </row>
    <row r="572" spans="7:16" x14ac:dyDescent="0.25">
      <c r="G572" t="s">
        <v>894</v>
      </c>
      <c r="H572">
        <v>572</v>
      </c>
      <c r="I572">
        <v>572</v>
      </c>
      <c r="N572" t="s">
        <v>895</v>
      </c>
      <c r="O572">
        <v>572</v>
      </c>
      <c r="P572" t="str">
        <f t="shared" si="8"/>
        <v xml:space="preserve">[^ftn572]: </v>
      </c>
    </row>
    <row r="573" spans="7:16" x14ac:dyDescent="0.25">
      <c r="G573" t="s">
        <v>894</v>
      </c>
      <c r="H573">
        <v>573</v>
      </c>
      <c r="I573">
        <v>573</v>
      </c>
      <c r="N573" t="s">
        <v>895</v>
      </c>
      <c r="O573">
        <v>573</v>
      </c>
      <c r="P573" t="str">
        <f t="shared" si="8"/>
        <v xml:space="preserve">[^ftn573]: </v>
      </c>
    </row>
    <row r="574" spans="7:16" x14ac:dyDescent="0.25">
      <c r="G574" t="s">
        <v>894</v>
      </c>
      <c r="H574">
        <v>574</v>
      </c>
      <c r="I574">
        <v>574</v>
      </c>
      <c r="N574" t="s">
        <v>895</v>
      </c>
      <c r="O574">
        <v>574</v>
      </c>
      <c r="P574" t="str">
        <f t="shared" si="8"/>
        <v xml:space="preserve">[^ftn574]: </v>
      </c>
    </row>
    <row r="575" spans="7:16" x14ac:dyDescent="0.25">
      <c r="G575" t="s">
        <v>894</v>
      </c>
      <c r="H575">
        <v>575</v>
      </c>
      <c r="I575">
        <v>575</v>
      </c>
      <c r="N575" t="s">
        <v>895</v>
      </c>
      <c r="O575">
        <v>575</v>
      </c>
      <c r="P575" t="str">
        <f t="shared" si="8"/>
        <v xml:space="preserve">[^ftn575]: </v>
      </c>
    </row>
    <row r="576" spans="7:16" x14ac:dyDescent="0.25">
      <c r="G576" t="s">
        <v>894</v>
      </c>
      <c r="H576">
        <v>576</v>
      </c>
      <c r="I576">
        <v>576</v>
      </c>
      <c r="N576" t="s">
        <v>895</v>
      </c>
      <c r="O576">
        <v>576</v>
      </c>
      <c r="P576" t="str">
        <f t="shared" si="8"/>
        <v xml:space="preserve">[^ftn576]: </v>
      </c>
    </row>
    <row r="577" spans="7:16" x14ac:dyDescent="0.25">
      <c r="G577" t="s">
        <v>894</v>
      </c>
      <c r="H577">
        <v>577</v>
      </c>
      <c r="I577">
        <v>577</v>
      </c>
      <c r="N577" t="s">
        <v>895</v>
      </c>
      <c r="O577">
        <v>577</v>
      </c>
      <c r="P577" t="str">
        <f t="shared" si="8"/>
        <v xml:space="preserve">[^ftn577]: </v>
      </c>
    </row>
    <row r="578" spans="7:16" x14ac:dyDescent="0.25">
      <c r="G578" t="s">
        <v>894</v>
      </c>
      <c r="H578">
        <v>578</v>
      </c>
      <c r="I578">
        <v>578</v>
      </c>
      <c r="N578" t="s">
        <v>895</v>
      </c>
      <c r="O578">
        <v>578</v>
      </c>
      <c r="P578" t="str">
        <f t="shared" ref="P578:P641" si="9">_xlfn.CONCAT("[^ftn",O578,"]: ",)</f>
        <v xml:space="preserve">[^ftn578]: </v>
      </c>
    </row>
    <row r="579" spans="7:16" x14ac:dyDescent="0.25">
      <c r="G579" t="s">
        <v>894</v>
      </c>
      <c r="H579">
        <v>579</v>
      </c>
      <c r="I579">
        <v>579</v>
      </c>
      <c r="N579" t="s">
        <v>895</v>
      </c>
      <c r="O579">
        <v>579</v>
      </c>
      <c r="P579" t="str">
        <f t="shared" si="9"/>
        <v xml:space="preserve">[^ftn579]: </v>
      </c>
    </row>
    <row r="580" spans="7:16" x14ac:dyDescent="0.25">
      <c r="G580" t="s">
        <v>894</v>
      </c>
      <c r="H580">
        <v>580</v>
      </c>
      <c r="I580">
        <v>580</v>
      </c>
      <c r="N580" t="s">
        <v>895</v>
      </c>
      <c r="O580">
        <v>580</v>
      </c>
      <c r="P580" t="str">
        <f t="shared" si="9"/>
        <v xml:space="preserve">[^ftn580]: </v>
      </c>
    </row>
    <row r="581" spans="7:16" x14ac:dyDescent="0.25">
      <c r="G581" t="s">
        <v>894</v>
      </c>
      <c r="H581">
        <v>581</v>
      </c>
      <c r="I581">
        <v>581</v>
      </c>
      <c r="N581" t="s">
        <v>895</v>
      </c>
      <c r="O581">
        <v>581</v>
      </c>
      <c r="P581" t="str">
        <f t="shared" si="9"/>
        <v xml:space="preserve">[^ftn581]: </v>
      </c>
    </row>
    <row r="582" spans="7:16" x14ac:dyDescent="0.25">
      <c r="G582" t="s">
        <v>894</v>
      </c>
      <c r="H582">
        <v>582</v>
      </c>
      <c r="I582">
        <v>582</v>
      </c>
      <c r="N582" t="s">
        <v>895</v>
      </c>
      <c r="O582">
        <v>582</v>
      </c>
      <c r="P582" t="str">
        <f t="shared" si="9"/>
        <v xml:space="preserve">[^ftn582]: </v>
      </c>
    </row>
    <row r="583" spans="7:16" x14ac:dyDescent="0.25">
      <c r="G583" t="s">
        <v>894</v>
      </c>
      <c r="H583">
        <v>583</v>
      </c>
      <c r="I583">
        <v>583</v>
      </c>
      <c r="N583" t="s">
        <v>895</v>
      </c>
      <c r="O583">
        <v>583</v>
      </c>
      <c r="P583" t="str">
        <f t="shared" si="9"/>
        <v xml:space="preserve">[^ftn583]: </v>
      </c>
    </row>
    <row r="584" spans="7:16" x14ac:dyDescent="0.25">
      <c r="G584" t="s">
        <v>894</v>
      </c>
      <c r="H584">
        <v>584</v>
      </c>
      <c r="I584">
        <v>584</v>
      </c>
      <c r="N584" t="s">
        <v>895</v>
      </c>
      <c r="O584">
        <v>584</v>
      </c>
      <c r="P584" t="str">
        <f t="shared" si="9"/>
        <v xml:space="preserve">[^ftn584]: </v>
      </c>
    </row>
    <row r="585" spans="7:16" x14ac:dyDescent="0.25">
      <c r="G585" t="s">
        <v>894</v>
      </c>
      <c r="H585">
        <v>585</v>
      </c>
      <c r="I585">
        <v>585</v>
      </c>
      <c r="N585" t="s">
        <v>895</v>
      </c>
      <c r="O585">
        <v>585</v>
      </c>
      <c r="P585" t="str">
        <f t="shared" si="9"/>
        <v xml:space="preserve">[^ftn585]: </v>
      </c>
    </row>
    <row r="586" spans="7:16" x14ac:dyDescent="0.25">
      <c r="G586" t="s">
        <v>894</v>
      </c>
      <c r="H586">
        <v>586</v>
      </c>
      <c r="I586">
        <v>586</v>
      </c>
      <c r="N586" t="s">
        <v>895</v>
      </c>
      <c r="O586">
        <v>586</v>
      </c>
      <c r="P586" t="str">
        <f t="shared" si="9"/>
        <v xml:space="preserve">[^ftn586]: </v>
      </c>
    </row>
    <row r="587" spans="7:16" x14ac:dyDescent="0.25">
      <c r="G587" t="s">
        <v>894</v>
      </c>
      <c r="H587">
        <v>587</v>
      </c>
      <c r="I587">
        <v>587</v>
      </c>
      <c r="N587" t="s">
        <v>895</v>
      </c>
      <c r="O587">
        <v>587</v>
      </c>
      <c r="P587" t="str">
        <f t="shared" si="9"/>
        <v xml:space="preserve">[^ftn587]: </v>
      </c>
    </row>
    <row r="588" spans="7:16" x14ac:dyDescent="0.25">
      <c r="G588" t="s">
        <v>894</v>
      </c>
      <c r="H588">
        <v>588</v>
      </c>
      <c r="I588">
        <v>588</v>
      </c>
      <c r="N588" t="s">
        <v>895</v>
      </c>
      <c r="O588">
        <v>588</v>
      </c>
      <c r="P588" t="str">
        <f t="shared" si="9"/>
        <v xml:space="preserve">[^ftn588]: </v>
      </c>
    </row>
    <row r="589" spans="7:16" x14ac:dyDescent="0.25">
      <c r="G589" t="s">
        <v>894</v>
      </c>
      <c r="H589">
        <v>589</v>
      </c>
      <c r="I589">
        <v>589</v>
      </c>
      <c r="N589" t="s">
        <v>895</v>
      </c>
      <c r="O589">
        <v>589</v>
      </c>
      <c r="P589" t="str">
        <f t="shared" si="9"/>
        <v xml:space="preserve">[^ftn589]: </v>
      </c>
    </row>
    <row r="590" spans="7:16" x14ac:dyDescent="0.25">
      <c r="G590" t="s">
        <v>894</v>
      </c>
      <c r="H590">
        <v>590</v>
      </c>
      <c r="I590">
        <v>590</v>
      </c>
      <c r="N590" t="s">
        <v>895</v>
      </c>
      <c r="O590">
        <v>590</v>
      </c>
      <c r="P590" t="str">
        <f t="shared" si="9"/>
        <v xml:space="preserve">[^ftn590]: </v>
      </c>
    </row>
    <row r="591" spans="7:16" x14ac:dyDescent="0.25">
      <c r="G591" t="s">
        <v>894</v>
      </c>
      <c r="H591">
        <v>591</v>
      </c>
      <c r="I591">
        <v>591</v>
      </c>
      <c r="N591" t="s">
        <v>895</v>
      </c>
      <c r="O591">
        <v>591</v>
      </c>
      <c r="P591" t="str">
        <f t="shared" si="9"/>
        <v xml:space="preserve">[^ftn591]: </v>
      </c>
    </row>
    <row r="592" spans="7:16" x14ac:dyDescent="0.25">
      <c r="G592" t="s">
        <v>894</v>
      </c>
      <c r="H592">
        <v>592</v>
      </c>
      <c r="I592">
        <v>592</v>
      </c>
      <c r="N592" t="s">
        <v>895</v>
      </c>
      <c r="O592">
        <v>592</v>
      </c>
      <c r="P592" t="str">
        <f t="shared" si="9"/>
        <v xml:space="preserve">[^ftn592]: </v>
      </c>
    </row>
    <row r="593" spans="7:16" x14ac:dyDescent="0.25">
      <c r="G593" t="s">
        <v>894</v>
      </c>
      <c r="H593">
        <v>593</v>
      </c>
      <c r="I593">
        <v>593</v>
      </c>
      <c r="N593" t="s">
        <v>895</v>
      </c>
      <c r="O593">
        <v>593</v>
      </c>
      <c r="P593" t="str">
        <f t="shared" si="9"/>
        <v xml:space="preserve">[^ftn593]: </v>
      </c>
    </row>
    <row r="594" spans="7:16" x14ac:dyDescent="0.25">
      <c r="G594" t="s">
        <v>894</v>
      </c>
      <c r="H594">
        <v>594</v>
      </c>
      <c r="I594">
        <v>594</v>
      </c>
      <c r="N594" t="s">
        <v>895</v>
      </c>
      <c r="O594">
        <v>594</v>
      </c>
      <c r="P594" t="str">
        <f t="shared" si="9"/>
        <v xml:space="preserve">[^ftn594]: </v>
      </c>
    </row>
    <row r="595" spans="7:16" x14ac:dyDescent="0.25">
      <c r="G595" t="s">
        <v>894</v>
      </c>
      <c r="H595">
        <v>595</v>
      </c>
      <c r="I595">
        <v>595</v>
      </c>
      <c r="N595" t="s">
        <v>895</v>
      </c>
      <c r="O595">
        <v>595</v>
      </c>
      <c r="P595" t="str">
        <f t="shared" si="9"/>
        <v xml:space="preserve">[^ftn595]: </v>
      </c>
    </row>
    <row r="596" spans="7:16" x14ac:dyDescent="0.25">
      <c r="G596" t="s">
        <v>894</v>
      </c>
      <c r="H596">
        <v>596</v>
      </c>
      <c r="I596">
        <v>596</v>
      </c>
      <c r="N596" t="s">
        <v>895</v>
      </c>
      <c r="O596">
        <v>596</v>
      </c>
      <c r="P596" t="str">
        <f t="shared" si="9"/>
        <v xml:space="preserve">[^ftn596]: </v>
      </c>
    </row>
    <row r="597" spans="7:16" x14ac:dyDescent="0.25">
      <c r="G597" t="s">
        <v>894</v>
      </c>
      <c r="H597">
        <v>597</v>
      </c>
      <c r="I597">
        <v>597</v>
      </c>
      <c r="N597" t="s">
        <v>895</v>
      </c>
      <c r="O597">
        <v>597</v>
      </c>
      <c r="P597" t="str">
        <f t="shared" si="9"/>
        <v xml:space="preserve">[^ftn597]: </v>
      </c>
    </row>
    <row r="598" spans="7:16" x14ac:dyDescent="0.25">
      <c r="G598" t="s">
        <v>894</v>
      </c>
      <c r="H598">
        <v>598</v>
      </c>
      <c r="I598">
        <v>598</v>
      </c>
      <c r="N598" t="s">
        <v>895</v>
      </c>
      <c r="O598">
        <v>598</v>
      </c>
      <c r="P598" t="str">
        <f t="shared" si="9"/>
        <v xml:space="preserve">[^ftn598]: </v>
      </c>
    </row>
    <row r="599" spans="7:16" x14ac:dyDescent="0.25">
      <c r="G599" t="s">
        <v>894</v>
      </c>
      <c r="H599">
        <v>599</v>
      </c>
      <c r="I599">
        <v>599</v>
      </c>
      <c r="N599" t="s">
        <v>895</v>
      </c>
      <c r="O599">
        <v>599</v>
      </c>
      <c r="P599" t="str">
        <f t="shared" si="9"/>
        <v xml:space="preserve">[^ftn599]: </v>
      </c>
    </row>
    <row r="600" spans="7:16" x14ac:dyDescent="0.25">
      <c r="G600" t="s">
        <v>894</v>
      </c>
      <c r="H600">
        <v>600</v>
      </c>
      <c r="I600">
        <v>600</v>
      </c>
      <c r="N600" t="s">
        <v>895</v>
      </c>
      <c r="O600">
        <v>600</v>
      </c>
      <c r="P600" t="str">
        <f t="shared" si="9"/>
        <v xml:space="preserve">[^ftn600]: </v>
      </c>
    </row>
    <row r="601" spans="7:16" x14ac:dyDescent="0.25">
      <c r="G601" t="s">
        <v>894</v>
      </c>
      <c r="H601">
        <v>601</v>
      </c>
      <c r="I601">
        <v>601</v>
      </c>
      <c r="N601" t="s">
        <v>895</v>
      </c>
      <c r="O601">
        <v>601</v>
      </c>
      <c r="P601" t="str">
        <f t="shared" si="9"/>
        <v xml:space="preserve">[^ftn601]: </v>
      </c>
    </row>
    <row r="602" spans="7:16" x14ac:dyDescent="0.25">
      <c r="G602" t="s">
        <v>894</v>
      </c>
      <c r="H602">
        <v>602</v>
      </c>
      <c r="I602">
        <v>602</v>
      </c>
      <c r="N602" t="s">
        <v>895</v>
      </c>
      <c r="O602">
        <v>602</v>
      </c>
      <c r="P602" t="str">
        <f t="shared" si="9"/>
        <v xml:space="preserve">[^ftn602]: </v>
      </c>
    </row>
    <row r="603" spans="7:16" x14ac:dyDescent="0.25">
      <c r="G603" t="s">
        <v>894</v>
      </c>
      <c r="H603">
        <v>603</v>
      </c>
      <c r="I603">
        <v>603</v>
      </c>
      <c r="N603" t="s">
        <v>895</v>
      </c>
      <c r="O603">
        <v>603</v>
      </c>
      <c r="P603" t="str">
        <f t="shared" si="9"/>
        <v xml:space="preserve">[^ftn603]: </v>
      </c>
    </row>
    <row r="604" spans="7:16" x14ac:dyDescent="0.25">
      <c r="G604" t="s">
        <v>894</v>
      </c>
      <c r="H604">
        <v>604</v>
      </c>
      <c r="I604">
        <v>604</v>
      </c>
      <c r="N604" t="s">
        <v>895</v>
      </c>
      <c r="O604">
        <v>604</v>
      </c>
      <c r="P604" t="str">
        <f t="shared" si="9"/>
        <v xml:space="preserve">[^ftn604]: </v>
      </c>
    </row>
    <row r="605" spans="7:16" x14ac:dyDescent="0.25">
      <c r="G605" t="s">
        <v>894</v>
      </c>
      <c r="H605">
        <v>605</v>
      </c>
      <c r="I605">
        <v>605</v>
      </c>
      <c r="N605" t="s">
        <v>895</v>
      </c>
      <c r="O605">
        <v>605</v>
      </c>
      <c r="P605" t="str">
        <f t="shared" si="9"/>
        <v xml:space="preserve">[^ftn605]: </v>
      </c>
    </row>
    <row r="606" spans="7:16" x14ac:dyDescent="0.25">
      <c r="G606" t="s">
        <v>894</v>
      </c>
      <c r="H606">
        <v>606</v>
      </c>
      <c r="I606">
        <v>606</v>
      </c>
      <c r="N606" t="s">
        <v>895</v>
      </c>
      <c r="O606">
        <v>606</v>
      </c>
      <c r="P606" t="str">
        <f t="shared" si="9"/>
        <v xml:space="preserve">[^ftn606]: </v>
      </c>
    </row>
    <row r="607" spans="7:16" x14ac:dyDescent="0.25">
      <c r="G607" t="s">
        <v>894</v>
      </c>
      <c r="H607">
        <v>607</v>
      </c>
      <c r="I607">
        <v>607</v>
      </c>
      <c r="N607" t="s">
        <v>895</v>
      </c>
      <c r="O607">
        <v>607</v>
      </c>
      <c r="P607" t="str">
        <f t="shared" si="9"/>
        <v xml:space="preserve">[^ftn607]: </v>
      </c>
    </row>
    <row r="608" spans="7:16" x14ac:dyDescent="0.25">
      <c r="G608" t="s">
        <v>894</v>
      </c>
      <c r="H608">
        <v>608</v>
      </c>
      <c r="I608">
        <v>608</v>
      </c>
      <c r="N608" t="s">
        <v>895</v>
      </c>
      <c r="O608">
        <v>608</v>
      </c>
      <c r="P608" t="str">
        <f t="shared" si="9"/>
        <v xml:space="preserve">[^ftn608]: </v>
      </c>
    </row>
    <row r="609" spans="7:16" x14ac:dyDescent="0.25">
      <c r="G609" t="s">
        <v>894</v>
      </c>
      <c r="H609">
        <v>609</v>
      </c>
      <c r="I609">
        <v>609</v>
      </c>
      <c r="N609" t="s">
        <v>895</v>
      </c>
      <c r="O609">
        <v>609</v>
      </c>
      <c r="P609" t="str">
        <f t="shared" si="9"/>
        <v xml:space="preserve">[^ftn609]: </v>
      </c>
    </row>
    <row r="610" spans="7:16" x14ac:dyDescent="0.25">
      <c r="G610" t="s">
        <v>894</v>
      </c>
      <c r="H610">
        <v>610</v>
      </c>
      <c r="I610">
        <v>610</v>
      </c>
      <c r="N610" t="s">
        <v>895</v>
      </c>
      <c r="O610">
        <v>610</v>
      </c>
      <c r="P610" t="str">
        <f t="shared" si="9"/>
        <v xml:space="preserve">[^ftn610]: </v>
      </c>
    </row>
    <row r="611" spans="7:16" x14ac:dyDescent="0.25">
      <c r="G611" t="s">
        <v>894</v>
      </c>
      <c r="H611">
        <v>611</v>
      </c>
      <c r="I611">
        <v>611</v>
      </c>
      <c r="N611" t="s">
        <v>895</v>
      </c>
      <c r="O611">
        <v>611</v>
      </c>
      <c r="P611" t="str">
        <f t="shared" si="9"/>
        <v xml:space="preserve">[^ftn611]: </v>
      </c>
    </row>
    <row r="612" spans="7:16" x14ac:dyDescent="0.25">
      <c r="G612" t="s">
        <v>894</v>
      </c>
      <c r="H612">
        <v>612</v>
      </c>
      <c r="I612">
        <v>612</v>
      </c>
      <c r="N612" t="s">
        <v>895</v>
      </c>
      <c r="O612">
        <v>612</v>
      </c>
      <c r="P612" t="str">
        <f t="shared" si="9"/>
        <v xml:space="preserve">[^ftn612]: </v>
      </c>
    </row>
    <row r="613" spans="7:16" x14ac:dyDescent="0.25">
      <c r="G613" t="s">
        <v>894</v>
      </c>
      <c r="H613">
        <v>613</v>
      </c>
      <c r="I613">
        <v>613</v>
      </c>
      <c r="N613" t="s">
        <v>895</v>
      </c>
      <c r="O613">
        <v>613</v>
      </c>
      <c r="P613" t="str">
        <f t="shared" si="9"/>
        <v xml:space="preserve">[^ftn613]: </v>
      </c>
    </row>
    <row r="614" spans="7:16" x14ac:dyDescent="0.25">
      <c r="G614" t="s">
        <v>894</v>
      </c>
      <c r="H614">
        <v>614</v>
      </c>
      <c r="I614">
        <v>614</v>
      </c>
      <c r="N614" t="s">
        <v>895</v>
      </c>
      <c r="O614">
        <v>614</v>
      </c>
      <c r="P614" t="str">
        <f t="shared" si="9"/>
        <v xml:space="preserve">[^ftn614]: </v>
      </c>
    </row>
    <row r="615" spans="7:16" x14ac:dyDescent="0.25">
      <c r="G615" t="s">
        <v>894</v>
      </c>
      <c r="H615">
        <v>615</v>
      </c>
      <c r="I615">
        <v>615</v>
      </c>
      <c r="N615" t="s">
        <v>895</v>
      </c>
      <c r="O615">
        <v>615</v>
      </c>
      <c r="P615" t="str">
        <f t="shared" si="9"/>
        <v xml:space="preserve">[^ftn615]: </v>
      </c>
    </row>
    <row r="616" spans="7:16" x14ac:dyDescent="0.25">
      <c r="G616" t="s">
        <v>894</v>
      </c>
      <c r="H616">
        <v>616</v>
      </c>
      <c r="I616">
        <v>616</v>
      </c>
      <c r="N616" t="s">
        <v>895</v>
      </c>
      <c r="O616">
        <v>616</v>
      </c>
      <c r="P616" t="str">
        <f t="shared" si="9"/>
        <v xml:space="preserve">[^ftn616]: </v>
      </c>
    </row>
    <row r="617" spans="7:16" x14ac:dyDescent="0.25">
      <c r="G617" t="s">
        <v>894</v>
      </c>
      <c r="H617">
        <v>617</v>
      </c>
      <c r="I617">
        <v>617</v>
      </c>
      <c r="N617" t="s">
        <v>895</v>
      </c>
      <c r="O617">
        <v>617</v>
      </c>
      <c r="P617" t="str">
        <f t="shared" si="9"/>
        <v xml:space="preserve">[^ftn617]: </v>
      </c>
    </row>
    <row r="618" spans="7:16" x14ac:dyDescent="0.25">
      <c r="G618" t="s">
        <v>894</v>
      </c>
      <c r="H618">
        <v>618</v>
      </c>
      <c r="I618">
        <v>618</v>
      </c>
      <c r="N618" t="s">
        <v>895</v>
      </c>
      <c r="O618">
        <v>618</v>
      </c>
      <c r="P618" t="str">
        <f t="shared" si="9"/>
        <v xml:space="preserve">[^ftn618]: </v>
      </c>
    </row>
    <row r="619" spans="7:16" x14ac:dyDescent="0.25">
      <c r="G619" t="s">
        <v>894</v>
      </c>
      <c r="H619">
        <v>619</v>
      </c>
      <c r="I619">
        <v>619</v>
      </c>
      <c r="N619" t="s">
        <v>895</v>
      </c>
      <c r="O619">
        <v>619</v>
      </c>
      <c r="P619" t="str">
        <f t="shared" si="9"/>
        <v xml:space="preserve">[^ftn619]: </v>
      </c>
    </row>
    <row r="620" spans="7:16" x14ac:dyDescent="0.25">
      <c r="G620" t="s">
        <v>894</v>
      </c>
      <c r="H620">
        <v>620</v>
      </c>
      <c r="I620">
        <v>620</v>
      </c>
      <c r="N620" t="s">
        <v>895</v>
      </c>
      <c r="O620">
        <v>620</v>
      </c>
      <c r="P620" t="str">
        <f t="shared" si="9"/>
        <v xml:space="preserve">[^ftn620]: </v>
      </c>
    </row>
    <row r="621" spans="7:16" x14ac:dyDescent="0.25">
      <c r="G621" t="s">
        <v>894</v>
      </c>
      <c r="H621">
        <v>621</v>
      </c>
      <c r="I621">
        <v>621</v>
      </c>
      <c r="N621" t="s">
        <v>895</v>
      </c>
      <c r="O621">
        <v>621</v>
      </c>
      <c r="P621" t="str">
        <f t="shared" si="9"/>
        <v xml:space="preserve">[^ftn621]: </v>
      </c>
    </row>
    <row r="622" spans="7:16" x14ac:dyDescent="0.25">
      <c r="G622" t="s">
        <v>894</v>
      </c>
      <c r="H622">
        <v>622</v>
      </c>
      <c r="I622">
        <v>622</v>
      </c>
      <c r="N622" t="s">
        <v>895</v>
      </c>
      <c r="O622">
        <v>622</v>
      </c>
      <c r="P622" t="str">
        <f t="shared" si="9"/>
        <v xml:space="preserve">[^ftn622]: </v>
      </c>
    </row>
    <row r="623" spans="7:16" x14ac:dyDescent="0.25">
      <c r="G623" t="s">
        <v>894</v>
      </c>
      <c r="H623">
        <v>623</v>
      </c>
      <c r="I623">
        <v>623</v>
      </c>
      <c r="N623" t="s">
        <v>895</v>
      </c>
      <c r="O623">
        <v>623</v>
      </c>
      <c r="P623" t="str">
        <f t="shared" si="9"/>
        <v xml:space="preserve">[^ftn623]: </v>
      </c>
    </row>
    <row r="624" spans="7:16" x14ac:dyDescent="0.25">
      <c r="G624" t="s">
        <v>894</v>
      </c>
      <c r="H624">
        <v>624</v>
      </c>
      <c r="I624">
        <v>624</v>
      </c>
      <c r="N624" t="s">
        <v>895</v>
      </c>
      <c r="O624">
        <v>624</v>
      </c>
      <c r="P624" t="str">
        <f t="shared" si="9"/>
        <v xml:space="preserve">[^ftn624]: </v>
      </c>
    </row>
    <row r="625" spans="7:16" x14ac:dyDescent="0.25">
      <c r="G625" t="s">
        <v>894</v>
      </c>
      <c r="H625">
        <v>625</v>
      </c>
      <c r="I625">
        <v>625</v>
      </c>
      <c r="N625" t="s">
        <v>895</v>
      </c>
      <c r="O625">
        <v>625</v>
      </c>
      <c r="P625" t="str">
        <f t="shared" si="9"/>
        <v xml:space="preserve">[^ftn625]: </v>
      </c>
    </row>
    <row r="626" spans="7:16" x14ac:dyDescent="0.25">
      <c r="G626" t="s">
        <v>894</v>
      </c>
      <c r="H626">
        <v>626</v>
      </c>
      <c r="I626">
        <v>626</v>
      </c>
      <c r="N626" t="s">
        <v>895</v>
      </c>
      <c r="O626">
        <v>626</v>
      </c>
      <c r="P626" t="str">
        <f t="shared" si="9"/>
        <v xml:space="preserve">[^ftn626]: </v>
      </c>
    </row>
    <row r="627" spans="7:16" x14ac:dyDescent="0.25">
      <c r="G627" t="s">
        <v>894</v>
      </c>
      <c r="H627">
        <v>627</v>
      </c>
      <c r="I627">
        <v>627</v>
      </c>
      <c r="N627" t="s">
        <v>895</v>
      </c>
      <c r="O627">
        <v>627</v>
      </c>
      <c r="P627" t="str">
        <f t="shared" si="9"/>
        <v xml:space="preserve">[^ftn627]: </v>
      </c>
    </row>
    <row r="628" spans="7:16" x14ac:dyDescent="0.25">
      <c r="G628" t="s">
        <v>894</v>
      </c>
      <c r="H628">
        <v>628</v>
      </c>
      <c r="I628">
        <v>628</v>
      </c>
      <c r="N628" t="s">
        <v>895</v>
      </c>
      <c r="O628">
        <v>628</v>
      </c>
      <c r="P628" t="str">
        <f t="shared" si="9"/>
        <v xml:space="preserve">[^ftn628]: </v>
      </c>
    </row>
    <row r="629" spans="7:16" x14ac:dyDescent="0.25">
      <c r="G629" t="s">
        <v>894</v>
      </c>
      <c r="H629">
        <v>629</v>
      </c>
      <c r="I629">
        <v>629</v>
      </c>
      <c r="N629" t="s">
        <v>895</v>
      </c>
      <c r="O629">
        <v>629</v>
      </c>
      <c r="P629" t="str">
        <f t="shared" si="9"/>
        <v xml:space="preserve">[^ftn629]: </v>
      </c>
    </row>
    <row r="630" spans="7:16" x14ac:dyDescent="0.25">
      <c r="G630" t="s">
        <v>894</v>
      </c>
      <c r="H630">
        <v>630</v>
      </c>
      <c r="I630">
        <v>630</v>
      </c>
      <c r="N630" t="s">
        <v>895</v>
      </c>
      <c r="O630">
        <v>630</v>
      </c>
      <c r="P630" t="str">
        <f t="shared" si="9"/>
        <v xml:space="preserve">[^ftn630]: </v>
      </c>
    </row>
    <row r="631" spans="7:16" x14ac:dyDescent="0.25">
      <c r="G631" t="s">
        <v>894</v>
      </c>
      <c r="H631">
        <v>631</v>
      </c>
      <c r="I631">
        <v>631</v>
      </c>
      <c r="N631" t="s">
        <v>895</v>
      </c>
      <c r="O631">
        <v>631</v>
      </c>
      <c r="P631" t="str">
        <f t="shared" si="9"/>
        <v xml:space="preserve">[^ftn631]: </v>
      </c>
    </row>
    <row r="632" spans="7:16" x14ac:dyDescent="0.25">
      <c r="G632" t="s">
        <v>894</v>
      </c>
      <c r="H632">
        <v>632</v>
      </c>
      <c r="I632">
        <v>632</v>
      </c>
      <c r="N632" t="s">
        <v>895</v>
      </c>
      <c r="O632">
        <v>632</v>
      </c>
      <c r="P632" t="str">
        <f t="shared" si="9"/>
        <v xml:space="preserve">[^ftn632]: </v>
      </c>
    </row>
    <row r="633" spans="7:16" x14ac:dyDescent="0.25">
      <c r="G633" t="s">
        <v>894</v>
      </c>
      <c r="H633">
        <v>633</v>
      </c>
      <c r="I633">
        <v>633</v>
      </c>
      <c r="N633" t="s">
        <v>895</v>
      </c>
      <c r="O633">
        <v>633</v>
      </c>
      <c r="P633" t="str">
        <f t="shared" si="9"/>
        <v xml:space="preserve">[^ftn633]: </v>
      </c>
    </row>
    <row r="634" spans="7:16" x14ac:dyDescent="0.25">
      <c r="G634" t="s">
        <v>894</v>
      </c>
      <c r="H634">
        <v>634</v>
      </c>
      <c r="I634">
        <v>634</v>
      </c>
      <c r="N634" t="s">
        <v>895</v>
      </c>
      <c r="O634">
        <v>634</v>
      </c>
      <c r="P634" t="str">
        <f t="shared" si="9"/>
        <v xml:space="preserve">[^ftn634]: </v>
      </c>
    </row>
    <row r="635" spans="7:16" x14ac:dyDescent="0.25">
      <c r="G635" t="s">
        <v>894</v>
      </c>
      <c r="H635">
        <v>635</v>
      </c>
      <c r="I635">
        <v>635</v>
      </c>
      <c r="N635" t="s">
        <v>895</v>
      </c>
      <c r="O635">
        <v>635</v>
      </c>
      <c r="P635" t="str">
        <f t="shared" si="9"/>
        <v xml:space="preserve">[^ftn635]: </v>
      </c>
    </row>
    <row r="636" spans="7:16" x14ac:dyDescent="0.25">
      <c r="G636" t="s">
        <v>894</v>
      </c>
      <c r="H636">
        <v>636</v>
      </c>
      <c r="I636">
        <v>636</v>
      </c>
      <c r="N636" t="s">
        <v>895</v>
      </c>
      <c r="O636">
        <v>636</v>
      </c>
      <c r="P636" t="str">
        <f t="shared" si="9"/>
        <v xml:space="preserve">[^ftn636]: </v>
      </c>
    </row>
    <row r="637" spans="7:16" x14ac:dyDescent="0.25">
      <c r="G637" t="s">
        <v>894</v>
      </c>
      <c r="H637">
        <v>637</v>
      </c>
      <c r="I637">
        <v>637</v>
      </c>
      <c r="N637" t="s">
        <v>895</v>
      </c>
      <c r="O637">
        <v>637</v>
      </c>
      <c r="P637" t="str">
        <f t="shared" si="9"/>
        <v xml:space="preserve">[^ftn637]: </v>
      </c>
    </row>
    <row r="638" spans="7:16" x14ac:dyDescent="0.25">
      <c r="G638" t="s">
        <v>894</v>
      </c>
      <c r="H638">
        <v>638</v>
      </c>
      <c r="I638">
        <v>638</v>
      </c>
      <c r="N638" t="s">
        <v>895</v>
      </c>
      <c r="O638">
        <v>638</v>
      </c>
      <c r="P638" t="str">
        <f t="shared" si="9"/>
        <v xml:space="preserve">[^ftn638]: </v>
      </c>
    </row>
    <row r="639" spans="7:16" x14ac:dyDescent="0.25">
      <c r="G639" t="s">
        <v>894</v>
      </c>
      <c r="H639">
        <v>639</v>
      </c>
      <c r="I639">
        <v>639</v>
      </c>
      <c r="N639" t="s">
        <v>895</v>
      </c>
      <c r="O639">
        <v>639</v>
      </c>
      <c r="P639" t="str">
        <f t="shared" si="9"/>
        <v xml:space="preserve">[^ftn639]: </v>
      </c>
    </row>
    <row r="640" spans="7:16" x14ac:dyDescent="0.25">
      <c r="G640" t="s">
        <v>894</v>
      </c>
      <c r="H640">
        <v>640</v>
      </c>
      <c r="I640">
        <v>640</v>
      </c>
      <c r="N640" t="s">
        <v>895</v>
      </c>
      <c r="O640">
        <v>640</v>
      </c>
      <c r="P640" t="str">
        <f t="shared" si="9"/>
        <v xml:space="preserve">[^ftn640]: </v>
      </c>
    </row>
    <row r="641" spans="7:16" x14ac:dyDescent="0.25">
      <c r="G641" t="s">
        <v>894</v>
      </c>
      <c r="H641">
        <v>641</v>
      </c>
      <c r="I641">
        <v>641</v>
      </c>
      <c r="N641" t="s">
        <v>895</v>
      </c>
      <c r="O641">
        <v>641</v>
      </c>
      <c r="P641" t="str">
        <f t="shared" si="9"/>
        <v xml:space="preserve">[^ftn641]: </v>
      </c>
    </row>
    <row r="642" spans="7:16" x14ac:dyDescent="0.25">
      <c r="G642" t="s">
        <v>894</v>
      </c>
      <c r="H642">
        <v>642</v>
      </c>
      <c r="I642">
        <v>642</v>
      </c>
      <c r="N642" t="s">
        <v>895</v>
      </c>
      <c r="O642">
        <v>642</v>
      </c>
      <c r="P642" t="str">
        <f t="shared" ref="P642:P705" si="10">_xlfn.CONCAT("[^ftn",O642,"]: ",)</f>
        <v xml:space="preserve">[^ftn642]: </v>
      </c>
    </row>
    <row r="643" spans="7:16" x14ac:dyDescent="0.25">
      <c r="G643" t="s">
        <v>894</v>
      </c>
      <c r="H643">
        <v>643</v>
      </c>
      <c r="I643">
        <v>643</v>
      </c>
      <c r="N643" t="s">
        <v>895</v>
      </c>
      <c r="O643">
        <v>643</v>
      </c>
      <c r="P643" t="str">
        <f t="shared" si="10"/>
        <v xml:space="preserve">[^ftn643]: </v>
      </c>
    </row>
    <row r="644" spans="7:16" x14ac:dyDescent="0.25">
      <c r="G644" t="s">
        <v>894</v>
      </c>
      <c r="H644">
        <v>644</v>
      </c>
      <c r="I644">
        <v>644</v>
      </c>
      <c r="N644" t="s">
        <v>895</v>
      </c>
      <c r="O644">
        <v>644</v>
      </c>
      <c r="P644" t="str">
        <f t="shared" si="10"/>
        <v xml:space="preserve">[^ftn644]: </v>
      </c>
    </row>
    <row r="645" spans="7:16" x14ac:dyDescent="0.25">
      <c r="G645" t="s">
        <v>894</v>
      </c>
      <c r="H645">
        <v>645</v>
      </c>
      <c r="I645">
        <v>645</v>
      </c>
      <c r="N645" t="s">
        <v>895</v>
      </c>
      <c r="O645">
        <v>645</v>
      </c>
      <c r="P645" t="str">
        <f t="shared" si="10"/>
        <v xml:space="preserve">[^ftn645]: </v>
      </c>
    </row>
    <row r="646" spans="7:16" x14ac:dyDescent="0.25">
      <c r="G646" t="s">
        <v>894</v>
      </c>
      <c r="H646">
        <v>646</v>
      </c>
      <c r="I646">
        <v>646</v>
      </c>
      <c r="N646" t="s">
        <v>895</v>
      </c>
      <c r="O646">
        <v>646</v>
      </c>
      <c r="P646" t="str">
        <f t="shared" si="10"/>
        <v xml:space="preserve">[^ftn646]: </v>
      </c>
    </row>
    <row r="647" spans="7:16" x14ac:dyDescent="0.25">
      <c r="G647" t="s">
        <v>894</v>
      </c>
      <c r="H647">
        <v>647</v>
      </c>
      <c r="I647">
        <v>647</v>
      </c>
      <c r="N647" t="s">
        <v>895</v>
      </c>
      <c r="O647">
        <v>647</v>
      </c>
      <c r="P647" t="str">
        <f t="shared" si="10"/>
        <v xml:space="preserve">[^ftn647]: </v>
      </c>
    </row>
    <row r="648" spans="7:16" x14ac:dyDescent="0.25">
      <c r="G648" t="s">
        <v>894</v>
      </c>
      <c r="H648">
        <v>648</v>
      </c>
      <c r="I648">
        <v>648</v>
      </c>
      <c r="N648" t="s">
        <v>895</v>
      </c>
      <c r="O648">
        <v>648</v>
      </c>
      <c r="P648" t="str">
        <f t="shared" si="10"/>
        <v xml:space="preserve">[^ftn648]: </v>
      </c>
    </row>
    <row r="649" spans="7:16" x14ac:dyDescent="0.25">
      <c r="G649" t="s">
        <v>894</v>
      </c>
      <c r="H649">
        <v>649</v>
      </c>
      <c r="I649">
        <v>649</v>
      </c>
      <c r="N649" t="s">
        <v>895</v>
      </c>
      <c r="O649">
        <v>649</v>
      </c>
      <c r="P649" t="str">
        <f t="shared" si="10"/>
        <v xml:space="preserve">[^ftn649]: </v>
      </c>
    </row>
    <row r="650" spans="7:16" x14ac:dyDescent="0.25">
      <c r="G650" t="s">
        <v>894</v>
      </c>
      <c r="H650">
        <v>650</v>
      </c>
      <c r="I650">
        <v>650</v>
      </c>
      <c r="N650" t="s">
        <v>895</v>
      </c>
      <c r="O650">
        <v>650</v>
      </c>
      <c r="P650" t="str">
        <f t="shared" si="10"/>
        <v xml:space="preserve">[^ftn650]: </v>
      </c>
    </row>
    <row r="651" spans="7:16" x14ac:dyDescent="0.25">
      <c r="G651" t="s">
        <v>894</v>
      </c>
      <c r="H651">
        <v>651</v>
      </c>
      <c r="I651">
        <v>651</v>
      </c>
      <c r="N651" t="s">
        <v>895</v>
      </c>
      <c r="O651">
        <v>651</v>
      </c>
      <c r="P651" t="str">
        <f t="shared" si="10"/>
        <v xml:space="preserve">[^ftn651]: </v>
      </c>
    </row>
    <row r="652" spans="7:16" x14ac:dyDescent="0.25">
      <c r="G652" t="s">
        <v>894</v>
      </c>
      <c r="H652">
        <v>652</v>
      </c>
      <c r="I652">
        <v>652</v>
      </c>
      <c r="N652" t="s">
        <v>895</v>
      </c>
      <c r="O652">
        <v>652</v>
      </c>
      <c r="P652" t="str">
        <f t="shared" si="10"/>
        <v xml:space="preserve">[^ftn652]: </v>
      </c>
    </row>
    <row r="653" spans="7:16" x14ac:dyDescent="0.25">
      <c r="G653" t="s">
        <v>894</v>
      </c>
      <c r="H653">
        <v>653</v>
      </c>
      <c r="I653">
        <v>653</v>
      </c>
      <c r="N653" t="s">
        <v>895</v>
      </c>
      <c r="O653">
        <v>653</v>
      </c>
      <c r="P653" t="str">
        <f t="shared" si="10"/>
        <v xml:space="preserve">[^ftn653]: </v>
      </c>
    </row>
    <row r="654" spans="7:16" x14ac:dyDescent="0.25">
      <c r="G654" t="s">
        <v>894</v>
      </c>
      <c r="H654">
        <v>654</v>
      </c>
      <c r="I654">
        <v>654</v>
      </c>
      <c r="N654" t="s">
        <v>895</v>
      </c>
      <c r="O654">
        <v>654</v>
      </c>
      <c r="P654" t="str">
        <f t="shared" si="10"/>
        <v xml:space="preserve">[^ftn654]: </v>
      </c>
    </row>
    <row r="655" spans="7:16" x14ac:dyDescent="0.25">
      <c r="G655" t="s">
        <v>894</v>
      </c>
      <c r="H655">
        <v>655</v>
      </c>
      <c r="I655">
        <v>655</v>
      </c>
      <c r="N655" t="s">
        <v>895</v>
      </c>
      <c r="O655">
        <v>655</v>
      </c>
      <c r="P655" t="str">
        <f t="shared" si="10"/>
        <v xml:space="preserve">[^ftn655]: </v>
      </c>
    </row>
    <row r="656" spans="7:16" x14ac:dyDescent="0.25">
      <c r="G656" t="s">
        <v>894</v>
      </c>
      <c r="H656">
        <v>656</v>
      </c>
      <c r="I656">
        <v>656</v>
      </c>
      <c r="N656" t="s">
        <v>895</v>
      </c>
      <c r="O656">
        <v>656</v>
      </c>
      <c r="P656" t="str">
        <f t="shared" si="10"/>
        <v xml:space="preserve">[^ftn656]: </v>
      </c>
    </row>
    <row r="657" spans="7:16" x14ac:dyDescent="0.25">
      <c r="G657" t="s">
        <v>894</v>
      </c>
      <c r="H657">
        <v>657</v>
      </c>
      <c r="I657">
        <v>657</v>
      </c>
      <c r="N657" t="s">
        <v>895</v>
      </c>
      <c r="O657">
        <v>657</v>
      </c>
      <c r="P657" t="str">
        <f t="shared" si="10"/>
        <v xml:space="preserve">[^ftn657]: </v>
      </c>
    </row>
    <row r="658" spans="7:16" x14ac:dyDescent="0.25">
      <c r="G658" t="s">
        <v>894</v>
      </c>
      <c r="H658">
        <v>658</v>
      </c>
      <c r="I658">
        <v>658</v>
      </c>
      <c r="N658" t="s">
        <v>895</v>
      </c>
      <c r="O658">
        <v>658</v>
      </c>
      <c r="P658" t="str">
        <f t="shared" si="10"/>
        <v xml:space="preserve">[^ftn658]: </v>
      </c>
    </row>
    <row r="659" spans="7:16" x14ac:dyDescent="0.25">
      <c r="G659" t="s">
        <v>894</v>
      </c>
      <c r="H659">
        <v>659</v>
      </c>
      <c r="I659">
        <v>659</v>
      </c>
      <c r="N659" t="s">
        <v>895</v>
      </c>
      <c r="O659">
        <v>659</v>
      </c>
      <c r="P659" t="str">
        <f t="shared" si="10"/>
        <v xml:space="preserve">[^ftn659]: </v>
      </c>
    </row>
    <row r="660" spans="7:16" x14ac:dyDescent="0.25">
      <c r="G660" t="s">
        <v>894</v>
      </c>
      <c r="H660">
        <v>660</v>
      </c>
      <c r="I660">
        <v>660</v>
      </c>
      <c r="N660" t="s">
        <v>895</v>
      </c>
      <c r="O660">
        <v>660</v>
      </c>
      <c r="P660" t="str">
        <f t="shared" si="10"/>
        <v xml:space="preserve">[^ftn660]: </v>
      </c>
    </row>
    <row r="661" spans="7:16" x14ac:dyDescent="0.25">
      <c r="G661" t="s">
        <v>894</v>
      </c>
      <c r="H661">
        <v>661</v>
      </c>
      <c r="I661">
        <v>661</v>
      </c>
      <c r="N661" t="s">
        <v>895</v>
      </c>
      <c r="O661">
        <v>661</v>
      </c>
      <c r="P661" t="str">
        <f t="shared" si="10"/>
        <v xml:space="preserve">[^ftn661]: </v>
      </c>
    </row>
    <row r="662" spans="7:16" x14ac:dyDescent="0.25">
      <c r="G662" t="s">
        <v>894</v>
      </c>
      <c r="H662">
        <v>662</v>
      </c>
      <c r="I662">
        <v>662</v>
      </c>
      <c r="N662" t="s">
        <v>895</v>
      </c>
      <c r="O662">
        <v>662</v>
      </c>
      <c r="P662" t="str">
        <f t="shared" si="10"/>
        <v xml:space="preserve">[^ftn662]: </v>
      </c>
    </row>
    <row r="663" spans="7:16" x14ac:dyDescent="0.25">
      <c r="G663" t="s">
        <v>894</v>
      </c>
      <c r="H663">
        <v>663</v>
      </c>
      <c r="I663">
        <v>663</v>
      </c>
      <c r="N663" t="s">
        <v>895</v>
      </c>
      <c r="O663">
        <v>663</v>
      </c>
      <c r="P663" t="str">
        <f t="shared" si="10"/>
        <v xml:space="preserve">[^ftn663]: </v>
      </c>
    </row>
    <row r="664" spans="7:16" x14ac:dyDescent="0.25">
      <c r="G664" t="s">
        <v>894</v>
      </c>
      <c r="H664">
        <v>664</v>
      </c>
      <c r="I664">
        <v>664</v>
      </c>
      <c r="N664" t="s">
        <v>895</v>
      </c>
      <c r="O664">
        <v>664</v>
      </c>
      <c r="P664" t="str">
        <f t="shared" si="10"/>
        <v xml:space="preserve">[^ftn664]: </v>
      </c>
    </row>
    <row r="665" spans="7:16" x14ac:dyDescent="0.25">
      <c r="G665" t="s">
        <v>894</v>
      </c>
      <c r="H665">
        <v>665</v>
      </c>
      <c r="I665">
        <v>665</v>
      </c>
      <c r="N665" t="s">
        <v>895</v>
      </c>
      <c r="O665">
        <v>665</v>
      </c>
      <c r="P665" t="str">
        <f t="shared" si="10"/>
        <v xml:space="preserve">[^ftn665]: </v>
      </c>
    </row>
    <row r="666" spans="7:16" x14ac:dyDescent="0.25">
      <c r="G666" t="s">
        <v>894</v>
      </c>
      <c r="H666">
        <v>666</v>
      </c>
      <c r="I666">
        <v>666</v>
      </c>
      <c r="N666" t="s">
        <v>895</v>
      </c>
      <c r="O666">
        <v>666</v>
      </c>
      <c r="P666" t="str">
        <f t="shared" si="10"/>
        <v xml:space="preserve">[^ftn666]: </v>
      </c>
    </row>
    <row r="667" spans="7:16" x14ac:dyDescent="0.25">
      <c r="G667" t="s">
        <v>894</v>
      </c>
      <c r="H667">
        <v>667</v>
      </c>
      <c r="I667">
        <v>667</v>
      </c>
      <c r="N667" t="s">
        <v>895</v>
      </c>
      <c r="O667">
        <v>667</v>
      </c>
      <c r="P667" t="str">
        <f t="shared" si="10"/>
        <v xml:space="preserve">[^ftn667]: </v>
      </c>
    </row>
    <row r="668" spans="7:16" x14ac:dyDescent="0.25">
      <c r="G668" t="s">
        <v>894</v>
      </c>
      <c r="H668">
        <v>668</v>
      </c>
      <c r="I668">
        <v>668</v>
      </c>
      <c r="N668" t="s">
        <v>895</v>
      </c>
      <c r="O668">
        <v>668</v>
      </c>
      <c r="P668" t="str">
        <f t="shared" si="10"/>
        <v xml:space="preserve">[^ftn668]: </v>
      </c>
    </row>
    <row r="669" spans="7:16" x14ac:dyDescent="0.25">
      <c r="G669" t="s">
        <v>894</v>
      </c>
      <c r="H669">
        <v>669</v>
      </c>
      <c r="I669">
        <v>669</v>
      </c>
      <c r="N669" t="s">
        <v>895</v>
      </c>
      <c r="O669">
        <v>669</v>
      </c>
      <c r="P669" t="str">
        <f t="shared" si="10"/>
        <v xml:space="preserve">[^ftn669]: </v>
      </c>
    </row>
    <row r="670" spans="7:16" x14ac:dyDescent="0.25">
      <c r="G670" t="s">
        <v>894</v>
      </c>
      <c r="H670">
        <v>670</v>
      </c>
      <c r="I670">
        <v>670</v>
      </c>
      <c r="N670" t="s">
        <v>895</v>
      </c>
      <c r="O670">
        <v>670</v>
      </c>
      <c r="P670" t="str">
        <f t="shared" si="10"/>
        <v xml:space="preserve">[^ftn670]: </v>
      </c>
    </row>
    <row r="671" spans="7:16" x14ac:dyDescent="0.25">
      <c r="G671" t="s">
        <v>894</v>
      </c>
      <c r="H671">
        <v>671</v>
      </c>
      <c r="I671">
        <v>671</v>
      </c>
      <c r="N671" t="s">
        <v>895</v>
      </c>
      <c r="O671">
        <v>671</v>
      </c>
      <c r="P671" t="str">
        <f t="shared" si="10"/>
        <v xml:space="preserve">[^ftn671]: </v>
      </c>
    </row>
    <row r="672" spans="7:16" x14ac:dyDescent="0.25">
      <c r="G672" t="s">
        <v>894</v>
      </c>
      <c r="H672">
        <v>672</v>
      </c>
      <c r="I672">
        <v>672</v>
      </c>
      <c r="N672" t="s">
        <v>895</v>
      </c>
      <c r="O672">
        <v>672</v>
      </c>
      <c r="P672" t="str">
        <f t="shared" si="10"/>
        <v xml:space="preserve">[^ftn672]: </v>
      </c>
    </row>
    <row r="673" spans="7:16" x14ac:dyDescent="0.25">
      <c r="G673" t="s">
        <v>894</v>
      </c>
      <c r="H673">
        <v>673</v>
      </c>
      <c r="I673">
        <v>673</v>
      </c>
      <c r="N673" t="s">
        <v>895</v>
      </c>
      <c r="O673">
        <v>673</v>
      </c>
      <c r="P673" t="str">
        <f t="shared" si="10"/>
        <v xml:space="preserve">[^ftn673]: </v>
      </c>
    </row>
    <row r="674" spans="7:16" x14ac:dyDescent="0.25">
      <c r="G674" t="s">
        <v>894</v>
      </c>
      <c r="H674">
        <v>674</v>
      </c>
      <c r="I674">
        <v>674</v>
      </c>
      <c r="N674" t="s">
        <v>895</v>
      </c>
      <c r="O674">
        <v>674</v>
      </c>
      <c r="P674" t="str">
        <f t="shared" si="10"/>
        <v xml:space="preserve">[^ftn674]: </v>
      </c>
    </row>
    <row r="675" spans="7:16" x14ac:dyDescent="0.25">
      <c r="G675" t="s">
        <v>894</v>
      </c>
      <c r="H675">
        <v>675</v>
      </c>
      <c r="I675">
        <v>675</v>
      </c>
      <c r="N675" t="s">
        <v>895</v>
      </c>
      <c r="O675">
        <v>675</v>
      </c>
      <c r="P675" t="str">
        <f t="shared" si="10"/>
        <v xml:space="preserve">[^ftn675]: </v>
      </c>
    </row>
    <row r="676" spans="7:16" x14ac:dyDescent="0.25">
      <c r="G676" t="s">
        <v>894</v>
      </c>
      <c r="H676">
        <v>676</v>
      </c>
      <c r="I676">
        <v>676</v>
      </c>
      <c r="N676" t="s">
        <v>895</v>
      </c>
      <c r="O676">
        <v>676</v>
      </c>
      <c r="P676" t="str">
        <f t="shared" si="10"/>
        <v xml:space="preserve">[^ftn676]: </v>
      </c>
    </row>
    <row r="677" spans="7:16" x14ac:dyDescent="0.25">
      <c r="G677" t="s">
        <v>894</v>
      </c>
      <c r="H677">
        <v>677</v>
      </c>
      <c r="I677">
        <v>677</v>
      </c>
      <c r="N677" t="s">
        <v>895</v>
      </c>
      <c r="O677">
        <v>677</v>
      </c>
      <c r="P677" t="str">
        <f t="shared" si="10"/>
        <v xml:space="preserve">[^ftn677]: </v>
      </c>
    </row>
    <row r="678" spans="7:16" x14ac:dyDescent="0.25">
      <c r="G678" t="s">
        <v>894</v>
      </c>
      <c r="H678">
        <v>678</v>
      </c>
      <c r="I678">
        <v>678</v>
      </c>
      <c r="N678" t="s">
        <v>895</v>
      </c>
      <c r="O678">
        <v>678</v>
      </c>
      <c r="P678" t="str">
        <f t="shared" si="10"/>
        <v xml:space="preserve">[^ftn678]: </v>
      </c>
    </row>
    <row r="679" spans="7:16" x14ac:dyDescent="0.25">
      <c r="G679" t="s">
        <v>894</v>
      </c>
      <c r="H679">
        <v>679</v>
      </c>
      <c r="I679">
        <v>679</v>
      </c>
      <c r="N679" t="s">
        <v>895</v>
      </c>
      <c r="O679">
        <v>679</v>
      </c>
      <c r="P679" t="str">
        <f t="shared" si="10"/>
        <v xml:space="preserve">[^ftn679]: </v>
      </c>
    </row>
    <row r="680" spans="7:16" x14ac:dyDescent="0.25">
      <c r="G680" t="s">
        <v>894</v>
      </c>
      <c r="H680">
        <v>680</v>
      </c>
      <c r="I680">
        <v>680</v>
      </c>
      <c r="N680" t="s">
        <v>895</v>
      </c>
      <c r="O680">
        <v>680</v>
      </c>
      <c r="P680" t="str">
        <f t="shared" si="10"/>
        <v xml:space="preserve">[^ftn680]: </v>
      </c>
    </row>
    <row r="681" spans="7:16" x14ac:dyDescent="0.25">
      <c r="G681" t="s">
        <v>894</v>
      </c>
      <c r="H681">
        <v>681</v>
      </c>
      <c r="I681">
        <v>681</v>
      </c>
      <c r="N681" t="s">
        <v>895</v>
      </c>
      <c r="O681">
        <v>681</v>
      </c>
      <c r="P681" t="str">
        <f t="shared" si="10"/>
        <v xml:space="preserve">[^ftn681]: </v>
      </c>
    </row>
    <row r="682" spans="7:16" x14ac:dyDescent="0.25">
      <c r="G682" t="s">
        <v>894</v>
      </c>
      <c r="H682">
        <v>682</v>
      </c>
      <c r="I682">
        <v>682</v>
      </c>
      <c r="N682" t="s">
        <v>895</v>
      </c>
      <c r="O682">
        <v>682</v>
      </c>
      <c r="P682" t="str">
        <f t="shared" si="10"/>
        <v xml:space="preserve">[^ftn682]: </v>
      </c>
    </row>
    <row r="683" spans="7:16" x14ac:dyDescent="0.25">
      <c r="G683" t="s">
        <v>894</v>
      </c>
      <c r="H683">
        <v>683</v>
      </c>
      <c r="I683">
        <v>683</v>
      </c>
      <c r="N683" t="s">
        <v>895</v>
      </c>
      <c r="O683">
        <v>683</v>
      </c>
      <c r="P683" t="str">
        <f t="shared" si="10"/>
        <v xml:space="preserve">[^ftn683]: </v>
      </c>
    </row>
    <row r="684" spans="7:16" x14ac:dyDescent="0.25">
      <c r="G684" t="s">
        <v>894</v>
      </c>
      <c r="H684">
        <v>684</v>
      </c>
      <c r="I684">
        <v>684</v>
      </c>
      <c r="N684" t="s">
        <v>895</v>
      </c>
      <c r="O684">
        <v>684</v>
      </c>
      <c r="P684" t="str">
        <f t="shared" si="10"/>
        <v xml:space="preserve">[^ftn684]: </v>
      </c>
    </row>
    <row r="685" spans="7:16" x14ac:dyDescent="0.25">
      <c r="G685" t="s">
        <v>894</v>
      </c>
      <c r="H685">
        <v>685</v>
      </c>
      <c r="I685">
        <v>685</v>
      </c>
      <c r="N685" t="s">
        <v>895</v>
      </c>
      <c r="O685">
        <v>685</v>
      </c>
      <c r="P685" t="str">
        <f t="shared" si="10"/>
        <v xml:space="preserve">[^ftn685]: </v>
      </c>
    </row>
    <row r="686" spans="7:16" x14ac:dyDescent="0.25">
      <c r="G686" t="s">
        <v>894</v>
      </c>
      <c r="H686">
        <v>686</v>
      </c>
      <c r="I686">
        <v>686</v>
      </c>
      <c r="N686" t="s">
        <v>895</v>
      </c>
      <c r="O686">
        <v>686</v>
      </c>
      <c r="P686" t="str">
        <f t="shared" si="10"/>
        <v xml:space="preserve">[^ftn686]: </v>
      </c>
    </row>
    <row r="687" spans="7:16" x14ac:dyDescent="0.25">
      <c r="G687" t="s">
        <v>894</v>
      </c>
      <c r="H687">
        <v>687</v>
      </c>
      <c r="I687">
        <v>687</v>
      </c>
      <c r="N687" t="s">
        <v>895</v>
      </c>
      <c r="O687">
        <v>687</v>
      </c>
      <c r="P687" t="str">
        <f t="shared" si="10"/>
        <v xml:space="preserve">[^ftn687]: </v>
      </c>
    </row>
    <row r="688" spans="7:16" x14ac:dyDescent="0.25">
      <c r="G688" t="s">
        <v>894</v>
      </c>
      <c r="H688">
        <v>688</v>
      </c>
      <c r="I688">
        <v>688</v>
      </c>
      <c r="N688" t="s">
        <v>895</v>
      </c>
      <c r="O688">
        <v>688</v>
      </c>
      <c r="P688" t="str">
        <f t="shared" si="10"/>
        <v xml:space="preserve">[^ftn688]: </v>
      </c>
    </row>
    <row r="689" spans="7:16" x14ac:dyDescent="0.25">
      <c r="G689" t="s">
        <v>894</v>
      </c>
      <c r="H689">
        <v>689</v>
      </c>
      <c r="I689">
        <v>689</v>
      </c>
      <c r="N689" t="s">
        <v>895</v>
      </c>
      <c r="O689">
        <v>689</v>
      </c>
      <c r="P689" t="str">
        <f t="shared" si="10"/>
        <v xml:space="preserve">[^ftn689]: </v>
      </c>
    </row>
    <row r="690" spans="7:16" x14ac:dyDescent="0.25">
      <c r="G690" t="s">
        <v>894</v>
      </c>
      <c r="H690">
        <v>690</v>
      </c>
      <c r="I690">
        <v>690</v>
      </c>
      <c r="N690" t="s">
        <v>895</v>
      </c>
      <c r="O690">
        <v>690</v>
      </c>
      <c r="P690" t="str">
        <f t="shared" si="10"/>
        <v xml:space="preserve">[^ftn690]: </v>
      </c>
    </row>
    <row r="691" spans="7:16" x14ac:dyDescent="0.25">
      <c r="G691" t="s">
        <v>894</v>
      </c>
      <c r="H691">
        <v>691</v>
      </c>
      <c r="I691">
        <v>691</v>
      </c>
      <c r="N691" t="s">
        <v>895</v>
      </c>
      <c r="O691">
        <v>691</v>
      </c>
      <c r="P691" t="str">
        <f t="shared" si="10"/>
        <v xml:space="preserve">[^ftn691]: </v>
      </c>
    </row>
    <row r="692" spans="7:16" x14ac:dyDescent="0.25">
      <c r="G692" t="s">
        <v>894</v>
      </c>
      <c r="H692">
        <v>692</v>
      </c>
      <c r="I692">
        <v>692</v>
      </c>
      <c r="N692" t="s">
        <v>895</v>
      </c>
      <c r="O692">
        <v>692</v>
      </c>
      <c r="P692" t="str">
        <f t="shared" si="10"/>
        <v xml:space="preserve">[^ftn692]: </v>
      </c>
    </row>
    <row r="693" spans="7:16" x14ac:dyDescent="0.25">
      <c r="G693" t="s">
        <v>894</v>
      </c>
      <c r="H693">
        <v>693</v>
      </c>
      <c r="I693">
        <v>693</v>
      </c>
      <c r="N693" t="s">
        <v>895</v>
      </c>
      <c r="O693">
        <v>693</v>
      </c>
      <c r="P693" t="str">
        <f t="shared" si="10"/>
        <v xml:space="preserve">[^ftn693]: </v>
      </c>
    </row>
    <row r="694" spans="7:16" x14ac:dyDescent="0.25">
      <c r="G694" t="s">
        <v>894</v>
      </c>
      <c r="H694">
        <v>694</v>
      </c>
      <c r="I694">
        <v>694</v>
      </c>
      <c r="N694" t="s">
        <v>895</v>
      </c>
      <c r="O694">
        <v>694</v>
      </c>
      <c r="P694" t="str">
        <f t="shared" si="10"/>
        <v xml:space="preserve">[^ftn694]: </v>
      </c>
    </row>
    <row r="695" spans="7:16" x14ac:dyDescent="0.25">
      <c r="G695" t="s">
        <v>894</v>
      </c>
      <c r="H695">
        <v>695</v>
      </c>
      <c r="I695">
        <v>695</v>
      </c>
      <c r="N695" t="s">
        <v>895</v>
      </c>
      <c r="O695">
        <v>695</v>
      </c>
      <c r="P695" t="str">
        <f t="shared" si="10"/>
        <v xml:space="preserve">[^ftn695]: </v>
      </c>
    </row>
    <row r="696" spans="7:16" x14ac:dyDescent="0.25">
      <c r="G696" t="s">
        <v>894</v>
      </c>
      <c r="H696">
        <v>696</v>
      </c>
      <c r="I696">
        <v>696</v>
      </c>
      <c r="N696" t="s">
        <v>895</v>
      </c>
      <c r="O696">
        <v>696</v>
      </c>
      <c r="P696" t="str">
        <f t="shared" si="10"/>
        <v xml:space="preserve">[^ftn696]: </v>
      </c>
    </row>
    <row r="697" spans="7:16" x14ac:dyDescent="0.25">
      <c r="G697" t="s">
        <v>894</v>
      </c>
      <c r="H697">
        <v>697</v>
      </c>
      <c r="I697">
        <v>697</v>
      </c>
      <c r="N697" t="s">
        <v>895</v>
      </c>
      <c r="O697">
        <v>697</v>
      </c>
      <c r="P697" t="str">
        <f t="shared" si="10"/>
        <v xml:space="preserve">[^ftn697]: </v>
      </c>
    </row>
    <row r="698" spans="7:16" x14ac:dyDescent="0.25">
      <c r="G698" t="s">
        <v>894</v>
      </c>
      <c r="H698">
        <v>698</v>
      </c>
      <c r="I698">
        <v>698</v>
      </c>
      <c r="N698" t="s">
        <v>895</v>
      </c>
      <c r="O698">
        <v>698</v>
      </c>
      <c r="P698" t="str">
        <f t="shared" si="10"/>
        <v xml:space="preserve">[^ftn698]: </v>
      </c>
    </row>
    <row r="699" spans="7:16" x14ac:dyDescent="0.25">
      <c r="G699" t="s">
        <v>894</v>
      </c>
      <c r="H699">
        <v>699</v>
      </c>
      <c r="I699">
        <v>699</v>
      </c>
      <c r="N699" t="s">
        <v>895</v>
      </c>
      <c r="O699">
        <v>699</v>
      </c>
      <c r="P699" t="str">
        <f t="shared" si="10"/>
        <v xml:space="preserve">[^ftn699]: </v>
      </c>
    </row>
    <row r="700" spans="7:16" x14ac:dyDescent="0.25">
      <c r="G700" t="s">
        <v>894</v>
      </c>
      <c r="H700">
        <v>700</v>
      </c>
      <c r="I700">
        <v>700</v>
      </c>
      <c r="N700" t="s">
        <v>895</v>
      </c>
      <c r="O700">
        <v>700</v>
      </c>
      <c r="P700" t="str">
        <f t="shared" si="10"/>
        <v xml:space="preserve">[^ftn700]: </v>
      </c>
    </row>
    <row r="701" spans="7:16" x14ac:dyDescent="0.25">
      <c r="G701" t="s">
        <v>894</v>
      </c>
      <c r="H701">
        <v>701</v>
      </c>
      <c r="I701">
        <v>701</v>
      </c>
      <c r="N701" t="s">
        <v>895</v>
      </c>
      <c r="O701">
        <v>701</v>
      </c>
      <c r="P701" t="str">
        <f t="shared" si="10"/>
        <v xml:space="preserve">[^ftn701]: </v>
      </c>
    </row>
    <row r="702" spans="7:16" x14ac:dyDescent="0.25">
      <c r="G702" t="s">
        <v>894</v>
      </c>
      <c r="H702">
        <v>702</v>
      </c>
      <c r="I702">
        <v>702</v>
      </c>
      <c r="N702" t="s">
        <v>895</v>
      </c>
      <c r="O702">
        <v>702</v>
      </c>
      <c r="P702" t="str">
        <f t="shared" si="10"/>
        <v xml:space="preserve">[^ftn702]: </v>
      </c>
    </row>
    <row r="703" spans="7:16" x14ac:dyDescent="0.25">
      <c r="G703" t="s">
        <v>894</v>
      </c>
      <c r="H703">
        <v>703</v>
      </c>
      <c r="I703">
        <v>703</v>
      </c>
      <c r="N703" t="s">
        <v>895</v>
      </c>
      <c r="O703">
        <v>703</v>
      </c>
      <c r="P703" t="str">
        <f t="shared" si="10"/>
        <v xml:space="preserve">[^ftn703]: </v>
      </c>
    </row>
    <row r="704" spans="7:16" x14ac:dyDescent="0.25">
      <c r="G704" t="s">
        <v>894</v>
      </c>
      <c r="H704">
        <v>704</v>
      </c>
      <c r="I704">
        <v>704</v>
      </c>
      <c r="N704" t="s">
        <v>895</v>
      </c>
      <c r="O704">
        <v>704</v>
      </c>
      <c r="P704" t="str">
        <f t="shared" si="10"/>
        <v xml:space="preserve">[^ftn704]: </v>
      </c>
    </row>
    <row r="705" spans="7:16" x14ac:dyDescent="0.25">
      <c r="G705" t="s">
        <v>894</v>
      </c>
      <c r="H705">
        <v>705</v>
      </c>
      <c r="I705">
        <v>705</v>
      </c>
      <c r="N705" t="s">
        <v>895</v>
      </c>
      <c r="O705">
        <v>705</v>
      </c>
      <c r="P705" t="str">
        <f t="shared" si="10"/>
        <v xml:space="preserve">[^ftn705]: </v>
      </c>
    </row>
    <row r="706" spans="7:16" x14ac:dyDescent="0.25">
      <c r="G706" t="s">
        <v>894</v>
      </c>
      <c r="H706">
        <v>706</v>
      </c>
      <c r="I706">
        <v>706</v>
      </c>
      <c r="N706" t="s">
        <v>895</v>
      </c>
      <c r="O706">
        <v>706</v>
      </c>
      <c r="P706" t="str">
        <f t="shared" ref="P706:P769" si="11">_xlfn.CONCAT("[^ftn",O706,"]: ",)</f>
        <v xml:space="preserve">[^ftn706]: </v>
      </c>
    </row>
    <row r="707" spans="7:16" x14ac:dyDescent="0.25">
      <c r="G707" t="s">
        <v>894</v>
      </c>
      <c r="H707">
        <v>707</v>
      </c>
      <c r="I707">
        <v>707</v>
      </c>
      <c r="N707" t="s">
        <v>895</v>
      </c>
      <c r="O707">
        <v>707</v>
      </c>
      <c r="P707" t="str">
        <f t="shared" si="11"/>
        <v xml:space="preserve">[^ftn707]: </v>
      </c>
    </row>
    <row r="708" spans="7:16" x14ac:dyDescent="0.25">
      <c r="G708" t="s">
        <v>894</v>
      </c>
      <c r="H708">
        <v>708</v>
      </c>
      <c r="I708">
        <v>708</v>
      </c>
      <c r="N708" t="s">
        <v>895</v>
      </c>
      <c r="O708">
        <v>708</v>
      </c>
      <c r="P708" t="str">
        <f t="shared" si="11"/>
        <v xml:space="preserve">[^ftn708]: </v>
      </c>
    </row>
    <row r="709" spans="7:16" x14ac:dyDescent="0.25">
      <c r="G709" t="s">
        <v>894</v>
      </c>
      <c r="H709">
        <v>709</v>
      </c>
      <c r="I709">
        <v>709</v>
      </c>
      <c r="N709" t="s">
        <v>895</v>
      </c>
      <c r="O709">
        <v>709</v>
      </c>
      <c r="P709" t="str">
        <f t="shared" si="11"/>
        <v xml:space="preserve">[^ftn709]: </v>
      </c>
    </row>
    <row r="710" spans="7:16" x14ac:dyDescent="0.25">
      <c r="G710" t="s">
        <v>894</v>
      </c>
      <c r="H710">
        <v>710</v>
      </c>
      <c r="I710">
        <v>710</v>
      </c>
      <c r="N710" t="s">
        <v>895</v>
      </c>
      <c r="O710">
        <v>710</v>
      </c>
      <c r="P710" t="str">
        <f t="shared" si="11"/>
        <v xml:space="preserve">[^ftn710]: </v>
      </c>
    </row>
    <row r="711" spans="7:16" x14ac:dyDescent="0.25">
      <c r="G711" t="s">
        <v>894</v>
      </c>
      <c r="H711">
        <v>711</v>
      </c>
      <c r="I711">
        <v>711</v>
      </c>
      <c r="N711" t="s">
        <v>895</v>
      </c>
      <c r="O711">
        <v>711</v>
      </c>
      <c r="P711" t="str">
        <f t="shared" si="11"/>
        <v xml:space="preserve">[^ftn711]: </v>
      </c>
    </row>
    <row r="712" spans="7:16" x14ac:dyDescent="0.25">
      <c r="G712" t="s">
        <v>894</v>
      </c>
      <c r="H712">
        <v>712</v>
      </c>
      <c r="I712">
        <v>712</v>
      </c>
      <c r="N712" t="s">
        <v>895</v>
      </c>
      <c r="O712">
        <v>712</v>
      </c>
      <c r="P712" t="str">
        <f t="shared" si="11"/>
        <v xml:space="preserve">[^ftn712]: </v>
      </c>
    </row>
    <row r="713" spans="7:16" x14ac:dyDescent="0.25">
      <c r="G713" t="s">
        <v>894</v>
      </c>
      <c r="H713">
        <v>713</v>
      </c>
      <c r="I713">
        <v>713</v>
      </c>
      <c r="N713" t="s">
        <v>895</v>
      </c>
      <c r="O713">
        <v>713</v>
      </c>
      <c r="P713" t="str">
        <f t="shared" si="11"/>
        <v xml:space="preserve">[^ftn713]: </v>
      </c>
    </row>
    <row r="714" spans="7:16" x14ac:dyDescent="0.25">
      <c r="G714" t="s">
        <v>894</v>
      </c>
      <c r="H714">
        <v>714</v>
      </c>
      <c r="I714">
        <v>714</v>
      </c>
      <c r="N714" t="s">
        <v>895</v>
      </c>
      <c r="O714">
        <v>714</v>
      </c>
      <c r="P714" t="str">
        <f t="shared" si="11"/>
        <v xml:space="preserve">[^ftn714]: </v>
      </c>
    </row>
    <row r="715" spans="7:16" x14ac:dyDescent="0.25">
      <c r="G715" t="s">
        <v>894</v>
      </c>
      <c r="H715">
        <v>715</v>
      </c>
      <c r="I715">
        <v>715</v>
      </c>
      <c r="N715" t="s">
        <v>895</v>
      </c>
      <c r="O715">
        <v>715</v>
      </c>
      <c r="P715" t="str">
        <f t="shared" si="11"/>
        <v xml:space="preserve">[^ftn715]: </v>
      </c>
    </row>
    <row r="716" spans="7:16" x14ac:dyDescent="0.25">
      <c r="G716" t="s">
        <v>894</v>
      </c>
      <c r="H716">
        <v>716</v>
      </c>
      <c r="I716">
        <v>716</v>
      </c>
      <c r="N716" t="s">
        <v>895</v>
      </c>
      <c r="O716">
        <v>716</v>
      </c>
      <c r="P716" t="str">
        <f t="shared" si="11"/>
        <v xml:space="preserve">[^ftn716]: </v>
      </c>
    </row>
    <row r="717" spans="7:16" x14ac:dyDescent="0.25">
      <c r="G717" t="s">
        <v>894</v>
      </c>
      <c r="H717">
        <v>717</v>
      </c>
      <c r="I717">
        <v>717</v>
      </c>
      <c r="N717" t="s">
        <v>895</v>
      </c>
      <c r="O717">
        <v>717</v>
      </c>
      <c r="P717" t="str">
        <f t="shared" si="11"/>
        <v xml:space="preserve">[^ftn717]: </v>
      </c>
    </row>
    <row r="718" spans="7:16" x14ac:dyDescent="0.25">
      <c r="G718" t="s">
        <v>894</v>
      </c>
      <c r="H718">
        <v>718</v>
      </c>
      <c r="I718">
        <v>718</v>
      </c>
      <c r="N718" t="s">
        <v>895</v>
      </c>
      <c r="O718">
        <v>718</v>
      </c>
      <c r="P718" t="str">
        <f t="shared" si="11"/>
        <v xml:space="preserve">[^ftn718]: </v>
      </c>
    </row>
    <row r="719" spans="7:16" x14ac:dyDescent="0.25">
      <c r="G719" t="s">
        <v>894</v>
      </c>
      <c r="H719">
        <v>719</v>
      </c>
      <c r="I719">
        <v>719</v>
      </c>
      <c r="N719" t="s">
        <v>895</v>
      </c>
      <c r="O719">
        <v>719</v>
      </c>
      <c r="P719" t="str">
        <f t="shared" si="11"/>
        <v xml:space="preserve">[^ftn719]: </v>
      </c>
    </row>
    <row r="720" spans="7:16" x14ac:dyDescent="0.25">
      <c r="G720" t="s">
        <v>894</v>
      </c>
      <c r="H720">
        <v>720</v>
      </c>
      <c r="I720">
        <v>720</v>
      </c>
      <c r="N720" t="s">
        <v>895</v>
      </c>
      <c r="O720">
        <v>720</v>
      </c>
      <c r="P720" t="str">
        <f t="shared" si="11"/>
        <v xml:space="preserve">[^ftn720]: </v>
      </c>
    </row>
    <row r="721" spans="7:16" x14ac:dyDescent="0.25">
      <c r="G721" t="s">
        <v>894</v>
      </c>
      <c r="H721">
        <v>721</v>
      </c>
      <c r="I721">
        <v>721</v>
      </c>
      <c r="N721" t="s">
        <v>895</v>
      </c>
      <c r="O721">
        <v>721</v>
      </c>
      <c r="P721" t="str">
        <f t="shared" si="11"/>
        <v xml:space="preserve">[^ftn721]: </v>
      </c>
    </row>
    <row r="722" spans="7:16" x14ac:dyDescent="0.25">
      <c r="G722" t="s">
        <v>894</v>
      </c>
      <c r="H722">
        <v>722</v>
      </c>
      <c r="I722">
        <v>722</v>
      </c>
      <c r="N722" t="s">
        <v>895</v>
      </c>
      <c r="O722">
        <v>722</v>
      </c>
      <c r="P722" t="str">
        <f t="shared" si="11"/>
        <v xml:space="preserve">[^ftn722]: </v>
      </c>
    </row>
    <row r="723" spans="7:16" x14ac:dyDescent="0.25">
      <c r="G723" t="s">
        <v>894</v>
      </c>
      <c r="H723">
        <v>723</v>
      </c>
      <c r="I723">
        <v>723</v>
      </c>
      <c r="N723" t="s">
        <v>895</v>
      </c>
      <c r="O723">
        <v>723</v>
      </c>
      <c r="P723" t="str">
        <f t="shared" si="11"/>
        <v xml:space="preserve">[^ftn723]: </v>
      </c>
    </row>
    <row r="724" spans="7:16" x14ac:dyDescent="0.25">
      <c r="G724" t="s">
        <v>894</v>
      </c>
      <c r="H724">
        <v>724</v>
      </c>
      <c r="I724">
        <v>724</v>
      </c>
      <c r="N724" t="s">
        <v>895</v>
      </c>
      <c r="O724">
        <v>724</v>
      </c>
      <c r="P724" t="str">
        <f t="shared" si="11"/>
        <v xml:space="preserve">[^ftn724]: </v>
      </c>
    </row>
    <row r="725" spans="7:16" x14ac:dyDescent="0.25">
      <c r="G725" t="s">
        <v>894</v>
      </c>
      <c r="H725">
        <v>725</v>
      </c>
      <c r="I725">
        <v>725</v>
      </c>
      <c r="N725" t="s">
        <v>895</v>
      </c>
      <c r="O725">
        <v>725</v>
      </c>
      <c r="P725" t="str">
        <f t="shared" si="11"/>
        <v xml:space="preserve">[^ftn725]: </v>
      </c>
    </row>
    <row r="726" spans="7:16" x14ac:dyDescent="0.25">
      <c r="G726" t="s">
        <v>894</v>
      </c>
      <c r="H726">
        <v>726</v>
      </c>
      <c r="I726">
        <v>726</v>
      </c>
      <c r="N726" t="s">
        <v>895</v>
      </c>
      <c r="O726">
        <v>726</v>
      </c>
      <c r="P726" t="str">
        <f t="shared" si="11"/>
        <v xml:space="preserve">[^ftn726]: </v>
      </c>
    </row>
    <row r="727" spans="7:16" x14ac:dyDescent="0.25">
      <c r="G727" t="s">
        <v>894</v>
      </c>
      <c r="H727">
        <v>727</v>
      </c>
      <c r="I727">
        <v>727</v>
      </c>
      <c r="N727" t="s">
        <v>895</v>
      </c>
      <c r="O727">
        <v>727</v>
      </c>
      <c r="P727" t="str">
        <f t="shared" si="11"/>
        <v xml:space="preserve">[^ftn727]: </v>
      </c>
    </row>
    <row r="728" spans="7:16" x14ac:dyDescent="0.25">
      <c r="G728" t="s">
        <v>894</v>
      </c>
      <c r="H728">
        <v>728</v>
      </c>
      <c r="I728">
        <v>728</v>
      </c>
      <c r="N728" t="s">
        <v>895</v>
      </c>
      <c r="O728">
        <v>728</v>
      </c>
      <c r="P728" t="str">
        <f t="shared" si="11"/>
        <v xml:space="preserve">[^ftn728]: </v>
      </c>
    </row>
    <row r="729" spans="7:16" x14ac:dyDescent="0.25">
      <c r="G729" t="s">
        <v>894</v>
      </c>
      <c r="H729">
        <v>729</v>
      </c>
      <c r="I729">
        <v>729</v>
      </c>
      <c r="N729" t="s">
        <v>895</v>
      </c>
      <c r="O729">
        <v>729</v>
      </c>
      <c r="P729" t="str">
        <f t="shared" si="11"/>
        <v xml:space="preserve">[^ftn729]: </v>
      </c>
    </row>
    <row r="730" spans="7:16" x14ac:dyDescent="0.25">
      <c r="G730" t="s">
        <v>894</v>
      </c>
      <c r="H730">
        <v>730</v>
      </c>
      <c r="I730">
        <v>730</v>
      </c>
      <c r="N730" t="s">
        <v>895</v>
      </c>
      <c r="O730">
        <v>730</v>
      </c>
      <c r="P730" t="str">
        <f t="shared" si="11"/>
        <v xml:space="preserve">[^ftn730]: </v>
      </c>
    </row>
    <row r="731" spans="7:16" x14ac:dyDescent="0.25">
      <c r="G731" t="s">
        <v>894</v>
      </c>
      <c r="H731">
        <v>731</v>
      </c>
      <c r="I731">
        <v>731</v>
      </c>
      <c r="N731" t="s">
        <v>895</v>
      </c>
      <c r="O731">
        <v>731</v>
      </c>
      <c r="P731" t="str">
        <f t="shared" si="11"/>
        <v xml:space="preserve">[^ftn731]: </v>
      </c>
    </row>
    <row r="732" spans="7:16" x14ac:dyDescent="0.25">
      <c r="G732" t="s">
        <v>894</v>
      </c>
      <c r="H732">
        <v>732</v>
      </c>
      <c r="I732">
        <v>732</v>
      </c>
      <c r="N732" t="s">
        <v>895</v>
      </c>
      <c r="O732">
        <v>732</v>
      </c>
      <c r="P732" t="str">
        <f t="shared" si="11"/>
        <v xml:space="preserve">[^ftn732]: </v>
      </c>
    </row>
    <row r="733" spans="7:16" x14ac:dyDescent="0.25">
      <c r="G733" t="s">
        <v>894</v>
      </c>
      <c r="H733">
        <v>733</v>
      </c>
      <c r="I733">
        <v>733</v>
      </c>
      <c r="N733" t="s">
        <v>895</v>
      </c>
      <c r="O733">
        <v>733</v>
      </c>
      <c r="P733" t="str">
        <f t="shared" si="11"/>
        <v xml:space="preserve">[^ftn733]: </v>
      </c>
    </row>
    <row r="734" spans="7:16" x14ac:dyDescent="0.25">
      <c r="G734" t="s">
        <v>894</v>
      </c>
      <c r="H734">
        <v>734</v>
      </c>
      <c r="I734">
        <v>734</v>
      </c>
      <c r="N734" t="s">
        <v>895</v>
      </c>
      <c r="O734">
        <v>734</v>
      </c>
      <c r="P734" t="str">
        <f t="shared" si="11"/>
        <v xml:space="preserve">[^ftn734]: </v>
      </c>
    </row>
    <row r="735" spans="7:16" x14ac:dyDescent="0.25">
      <c r="G735" t="s">
        <v>894</v>
      </c>
      <c r="H735">
        <v>735</v>
      </c>
      <c r="I735">
        <v>735</v>
      </c>
      <c r="N735" t="s">
        <v>895</v>
      </c>
      <c r="O735">
        <v>735</v>
      </c>
      <c r="P735" t="str">
        <f t="shared" si="11"/>
        <v xml:space="preserve">[^ftn735]: </v>
      </c>
    </row>
    <row r="736" spans="7:16" x14ac:dyDescent="0.25">
      <c r="G736" t="s">
        <v>894</v>
      </c>
      <c r="H736">
        <v>736</v>
      </c>
      <c r="I736">
        <v>736</v>
      </c>
      <c r="N736" t="s">
        <v>895</v>
      </c>
      <c r="O736">
        <v>736</v>
      </c>
      <c r="P736" t="str">
        <f t="shared" si="11"/>
        <v xml:space="preserve">[^ftn736]: </v>
      </c>
    </row>
    <row r="737" spans="7:16" x14ac:dyDescent="0.25">
      <c r="G737" t="s">
        <v>894</v>
      </c>
      <c r="H737">
        <v>737</v>
      </c>
      <c r="I737">
        <v>737</v>
      </c>
      <c r="N737" t="s">
        <v>895</v>
      </c>
      <c r="O737">
        <v>737</v>
      </c>
      <c r="P737" t="str">
        <f t="shared" si="11"/>
        <v xml:space="preserve">[^ftn737]: </v>
      </c>
    </row>
    <row r="738" spans="7:16" x14ac:dyDescent="0.25">
      <c r="G738" t="s">
        <v>894</v>
      </c>
      <c r="H738">
        <v>738</v>
      </c>
      <c r="I738">
        <v>738</v>
      </c>
      <c r="N738" t="s">
        <v>895</v>
      </c>
      <c r="O738">
        <v>738</v>
      </c>
      <c r="P738" t="str">
        <f t="shared" si="11"/>
        <v xml:space="preserve">[^ftn738]: </v>
      </c>
    </row>
    <row r="739" spans="7:16" x14ac:dyDescent="0.25">
      <c r="G739" t="s">
        <v>894</v>
      </c>
      <c r="H739">
        <v>739</v>
      </c>
      <c r="I739">
        <v>739</v>
      </c>
      <c r="N739" t="s">
        <v>895</v>
      </c>
      <c r="O739">
        <v>739</v>
      </c>
      <c r="P739" t="str">
        <f t="shared" si="11"/>
        <v xml:space="preserve">[^ftn739]: </v>
      </c>
    </row>
    <row r="740" spans="7:16" x14ac:dyDescent="0.25">
      <c r="G740" t="s">
        <v>894</v>
      </c>
      <c r="H740">
        <v>740</v>
      </c>
      <c r="I740">
        <v>740</v>
      </c>
      <c r="N740" t="s">
        <v>895</v>
      </c>
      <c r="O740">
        <v>740</v>
      </c>
      <c r="P740" t="str">
        <f t="shared" si="11"/>
        <v xml:space="preserve">[^ftn740]: </v>
      </c>
    </row>
    <row r="741" spans="7:16" x14ac:dyDescent="0.25">
      <c r="G741" t="s">
        <v>894</v>
      </c>
      <c r="H741">
        <v>741</v>
      </c>
      <c r="I741">
        <v>741</v>
      </c>
      <c r="N741" t="s">
        <v>895</v>
      </c>
      <c r="O741">
        <v>741</v>
      </c>
      <c r="P741" t="str">
        <f t="shared" si="11"/>
        <v xml:space="preserve">[^ftn741]: </v>
      </c>
    </row>
    <row r="742" spans="7:16" x14ac:dyDescent="0.25">
      <c r="G742" t="s">
        <v>894</v>
      </c>
      <c r="H742">
        <v>742</v>
      </c>
      <c r="I742">
        <v>742</v>
      </c>
      <c r="N742" t="s">
        <v>895</v>
      </c>
      <c r="O742">
        <v>742</v>
      </c>
      <c r="P742" t="str">
        <f t="shared" si="11"/>
        <v xml:space="preserve">[^ftn742]: </v>
      </c>
    </row>
    <row r="743" spans="7:16" x14ac:dyDescent="0.25">
      <c r="G743" t="s">
        <v>894</v>
      </c>
      <c r="H743">
        <v>743</v>
      </c>
      <c r="I743">
        <v>743</v>
      </c>
      <c r="N743" t="s">
        <v>895</v>
      </c>
      <c r="O743">
        <v>743</v>
      </c>
      <c r="P743" t="str">
        <f t="shared" si="11"/>
        <v xml:space="preserve">[^ftn743]: </v>
      </c>
    </row>
    <row r="744" spans="7:16" x14ac:dyDescent="0.25">
      <c r="G744" t="s">
        <v>894</v>
      </c>
      <c r="H744">
        <v>744</v>
      </c>
      <c r="I744">
        <v>744</v>
      </c>
      <c r="N744" t="s">
        <v>895</v>
      </c>
      <c r="O744">
        <v>744</v>
      </c>
      <c r="P744" t="str">
        <f t="shared" si="11"/>
        <v xml:space="preserve">[^ftn744]: </v>
      </c>
    </row>
    <row r="745" spans="7:16" x14ac:dyDescent="0.25">
      <c r="G745" t="s">
        <v>894</v>
      </c>
      <c r="H745">
        <v>745</v>
      </c>
      <c r="I745">
        <v>745</v>
      </c>
      <c r="N745" t="s">
        <v>895</v>
      </c>
      <c r="O745">
        <v>745</v>
      </c>
      <c r="P745" t="str">
        <f t="shared" si="11"/>
        <v xml:space="preserve">[^ftn745]: </v>
      </c>
    </row>
    <row r="746" spans="7:16" x14ac:dyDescent="0.25">
      <c r="G746" t="s">
        <v>894</v>
      </c>
      <c r="H746">
        <v>746</v>
      </c>
      <c r="I746">
        <v>746</v>
      </c>
      <c r="N746" t="s">
        <v>895</v>
      </c>
      <c r="O746">
        <v>746</v>
      </c>
      <c r="P746" t="str">
        <f t="shared" si="11"/>
        <v xml:space="preserve">[^ftn746]: </v>
      </c>
    </row>
    <row r="747" spans="7:16" x14ac:dyDescent="0.25">
      <c r="G747" t="s">
        <v>894</v>
      </c>
      <c r="H747">
        <v>747</v>
      </c>
      <c r="I747">
        <v>747</v>
      </c>
      <c r="N747" t="s">
        <v>895</v>
      </c>
      <c r="O747">
        <v>747</v>
      </c>
      <c r="P747" t="str">
        <f t="shared" si="11"/>
        <v xml:space="preserve">[^ftn747]: </v>
      </c>
    </row>
    <row r="748" spans="7:16" x14ac:dyDescent="0.25">
      <c r="G748" t="s">
        <v>894</v>
      </c>
      <c r="H748">
        <v>748</v>
      </c>
      <c r="I748">
        <v>748</v>
      </c>
      <c r="N748" t="s">
        <v>895</v>
      </c>
      <c r="O748">
        <v>748</v>
      </c>
      <c r="P748" t="str">
        <f t="shared" si="11"/>
        <v xml:space="preserve">[^ftn748]: </v>
      </c>
    </row>
    <row r="749" spans="7:16" x14ac:dyDescent="0.25">
      <c r="G749" t="s">
        <v>894</v>
      </c>
      <c r="H749">
        <v>749</v>
      </c>
      <c r="I749">
        <v>749</v>
      </c>
      <c r="N749" t="s">
        <v>895</v>
      </c>
      <c r="O749">
        <v>749</v>
      </c>
      <c r="P749" t="str">
        <f t="shared" si="11"/>
        <v xml:space="preserve">[^ftn749]: </v>
      </c>
    </row>
    <row r="750" spans="7:16" x14ac:dyDescent="0.25">
      <c r="G750" t="s">
        <v>894</v>
      </c>
      <c r="H750">
        <v>750</v>
      </c>
      <c r="I750">
        <v>750</v>
      </c>
      <c r="N750" t="s">
        <v>895</v>
      </c>
      <c r="O750">
        <v>750</v>
      </c>
      <c r="P750" t="str">
        <f t="shared" si="11"/>
        <v xml:space="preserve">[^ftn750]: </v>
      </c>
    </row>
    <row r="751" spans="7:16" x14ac:dyDescent="0.25">
      <c r="G751" t="s">
        <v>894</v>
      </c>
      <c r="H751">
        <v>751</v>
      </c>
      <c r="I751">
        <v>751</v>
      </c>
      <c r="N751" t="s">
        <v>895</v>
      </c>
      <c r="O751">
        <v>751</v>
      </c>
      <c r="P751" t="str">
        <f t="shared" si="11"/>
        <v xml:space="preserve">[^ftn751]: </v>
      </c>
    </row>
    <row r="752" spans="7:16" x14ac:dyDescent="0.25">
      <c r="G752" t="s">
        <v>894</v>
      </c>
      <c r="H752">
        <v>752</v>
      </c>
      <c r="I752">
        <v>752</v>
      </c>
      <c r="N752" t="s">
        <v>895</v>
      </c>
      <c r="O752">
        <v>752</v>
      </c>
      <c r="P752" t="str">
        <f t="shared" si="11"/>
        <v xml:space="preserve">[^ftn752]: </v>
      </c>
    </row>
    <row r="753" spans="7:16" x14ac:dyDescent="0.25">
      <c r="G753" t="s">
        <v>894</v>
      </c>
      <c r="H753">
        <v>753</v>
      </c>
      <c r="I753">
        <v>753</v>
      </c>
      <c r="N753" t="s">
        <v>895</v>
      </c>
      <c r="O753">
        <v>753</v>
      </c>
      <c r="P753" t="str">
        <f t="shared" si="11"/>
        <v xml:space="preserve">[^ftn753]: </v>
      </c>
    </row>
    <row r="754" spans="7:16" x14ac:dyDescent="0.25">
      <c r="G754" t="s">
        <v>894</v>
      </c>
      <c r="H754">
        <v>754</v>
      </c>
      <c r="I754">
        <v>754</v>
      </c>
      <c r="N754" t="s">
        <v>895</v>
      </c>
      <c r="O754">
        <v>754</v>
      </c>
      <c r="P754" t="str">
        <f t="shared" si="11"/>
        <v xml:space="preserve">[^ftn754]: </v>
      </c>
    </row>
    <row r="755" spans="7:16" x14ac:dyDescent="0.25">
      <c r="G755" t="s">
        <v>894</v>
      </c>
      <c r="H755">
        <v>755</v>
      </c>
      <c r="I755">
        <v>755</v>
      </c>
      <c r="N755" t="s">
        <v>895</v>
      </c>
      <c r="O755">
        <v>755</v>
      </c>
      <c r="P755" t="str">
        <f t="shared" si="11"/>
        <v xml:space="preserve">[^ftn755]: </v>
      </c>
    </row>
    <row r="756" spans="7:16" x14ac:dyDescent="0.25">
      <c r="G756" t="s">
        <v>894</v>
      </c>
      <c r="H756">
        <v>756</v>
      </c>
      <c r="I756">
        <v>756</v>
      </c>
      <c r="N756" t="s">
        <v>895</v>
      </c>
      <c r="O756">
        <v>756</v>
      </c>
      <c r="P756" t="str">
        <f t="shared" si="11"/>
        <v xml:space="preserve">[^ftn756]: </v>
      </c>
    </row>
    <row r="757" spans="7:16" x14ac:dyDescent="0.25">
      <c r="G757" t="s">
        <v>894</v>
      </c>
      <c r="H757">
        <v>757</v>
      </c>
      <c r="I757">
        <v>757</v>
      </c>
      <c r="N757" t="s">
        <v>895</v>
      </c>
      <c r="O757">
        <v>757</v>
      </c>
      <c r="P757" t="str">
        <f t="shared" si="11"/>
        <v xml:space="preserve">[^ftn757]: </v>
      </c>
    </row>
    <row r="758" spans="7:16" x14ac:dyDescent="0.25">
      <c r="G758" t="s">
        <v>894</v>
      </c>
      <c r="H758">
        <v>758</v>
      </c>
      <c r="I758">
        <v>758</v>
      </c>
      <c r="N758" t="s">
        <v>895</v>
      </c>
      <c r="O758">
        <v>758</v>
      </c>
      <c r="P758" t="str">
        <f t="shared" si="11"/>
        <v xml:space="preserve">[^ftn758]: </v>
      </c>
    </row>
    <row r="759" spans="7:16" x14ac:dyDescent="0.25">
      <c r="G759" t="s">
        <v>894</v>
      </c>
      <c r="H759">
        <v>759</v>
      </c>
      <c r="I759">
        <v>759</v>
      </c>
      <c r="N759" t="s">
        <v>895</v>
      </c>
      <c r="O759">
        <v>759</v>
      </c>
      <c r="P759" t="str">
        <f t="shared" si="11"/>
        <v xml:space="preserve">[^ftn759]: </v>
      </c>
    </row>
    <row r="760" spans="7:16" x14ac:dyDescent="0.25">
      <c r="G760" t="s">
        <v>894</v>
      </c>
      <c r="H760">
        <v>760</v>
      </c>
      <c r="I760">
        <v>760</v>
      </c>
      <c r="N760" t="s">
        <v>895</v>
      </c>
      <c r="O760">
        <v>760</v>
      </c>
      <c r="P760" t="str">
        <f t="shared" si="11"/>
        <v xml:space="preserve">[^ftn760]: </v>
      </c>
    </row>
    <row r="761" spans="7:16" x14ac:dyDescent="0.25">
      <c r="G761" t="s">
        <v>894</v>
      </c>
      <c r="H761">
        <v>761</v>
      </c>
      <c r="I761">
        <v>761</v>
      </c>
      <c r="N761" t="s">
        <v>895</v>
      </c>
      <c r="O761">
        <v>761</v>
      </c>
      <c r="P761" t="str">
        <f t="shared" si="11"/>
        <v xml:space="preserve">[^ftn761]: </v>
      </c>
    </row>
    <row r="762" spans="7:16" x14ac:dyDescent="0.25">
      <c r="G762" t="s">
        <v>894</v>
      </c>
      <c r="H762">
        <v>762</v>
      </c>
      <c r="I762">
        <v>762</v>
      </c>
      <c r="N762" t="s">
        <v>895</v>
      </c>
      <c r="O762">
        <v>762</v>
      </c>
      <c r="P762" t="str">
        <f t="shared" si="11"/>
        <v xml:space="preserve">[^ftn762]: </v>
      </c>
    </row>
    <row r="763" spans="7:16" x14ac:dyDescent="0.25">
      <c r="G763" t="s">
        <v>894</v>
      </c>
      <c r="H763">
        <v>763</v>
      </c>
      <c r="I763">
        <v>763</v>
      </c>
      <c r="N763" t="s">
        <v>895</v>
      </c>
      <c r="O763">
        <v>763</v>
      </c>
      <c r="P763" t="str">
        <f t="shared" si="11"/>
        <v xml:space="preserve">[^ftn763]: </v>
      </c>
    </row>
    <row r="764" spans="7:16" x14ac:dyDescent="0.25">
      <c r="G764" t="s">
        <v>894</v>
      </c>
      <c r="H764">
        <v>764</v>
      </c>
      <c r="I764">
        <v>764</v>
      </c>
      <c r="N764" t="s">
        <v>895</v>
      </c>
      <c r="O764">
        <v>764</v>
      </c>
      <c r="P764" t="str">
        <f t="shared" si="11"/>
        <v xml:space="preserve">[^ftn764]: </v>
      </c>
    </row>
    <row r="765" spans="7:16" x14ac:dyDescent="0.25">
      <c r="G765" t="s">
        <v>894</v>
      </c>
      <c r="H765">
        <v>765</v>
      </c>
      <c r="I765">
        <v>765</v>
      </c>
      <c r="N765" t="s">
        <v>895</v>
      </c>
      <c r="O765">
        <v>765</v>
      </c>
      <c r="P765" t="str">
        <f t="shared" si="11"/>
        <v xml:space="preserve">[^ftn765]: </v>
      </c>
    </row>
    <row r="766" spans="7:16" x14ac:dyDescent="0.25">
      <c r="G766" t="s">
        <v>894</v>
      </c>
      <c r="H766">
        <v>766</v>
      </c>
      <c r="I766">
        <v>766</v>
      </c>
      <c r="N766" t="s">
        <v>895</v>
      </c>
      <c r="O766">
        <v>766</v>
      </c>
      <c r="P766" t="str">
        <f t="shared" si="11"/>
        <v xml:space="preserve">[^ftn766]: </v>
      </c>
    </row>
    <row r="767" spans="7:16" x14ac:dyDescent="0.25">
      <c r="G767" t="s">
        <v>894</v>
      </c>
      <c r="H767">
        <v>767</v>
      </c>
      <c r="I767">
        <v>767</v>
      </c>
      <c r="N767" t="s">
        <v>895</v>
      </c>
      <c r="O767">
        <v>767</v>
      </c>
      <c r="P767" t="str">
        <f t="shared" si="11"/>
        <v xml:space="preserve">[^ftn767]: </v>
      </c>
    </row>
    <row r="768" spans="7:16" x14ac:dyDescent="0.25">
      <c r="G768" t="s">
        <v>894</v>
      </c>
      <c r="H768">
        <v>768</v>
      </c>
      <c r="I768">
        <v>768</v>
      </c>
      <c r="N768" t="s">
        <v>895</v>
      </c>
      <c r="O768">
        <v>768</v>
      </c>
      <c r="P768" t="str">
        <f t="shared" si="11"/>
        <v xml:space="preserve">[^ftn768]: </v>
      </c>
    </row>
    <row r="769" spans="7:16" x14ac:dyDescent="0.25">
      <c r="G769" t="s">
        <v>894</v>
      </c>
      <c r="H769">
        <v>769</v>
      </c>
      <c r="I769">
        <v>769</v>
      </c>
      <c r="N769" t="s">
        <v>895</v>
      </c>
      <c r="O769">
        <v>769</v>
      </c>
      <c r="P769" t="str">
        <f t="shared" si="11"/>
        <v xml:space="preserve">[^ftn769]: </v>
      </c>
    </row>
    <row r="770" spans="7:16" x14ac:dyDescent="0.25">
      <c r="G770" t="s">
        <v>894</v>
      </c>
      <c r="H770">
        <v>770</v>
      </c>
      <c r="I770">
        <v>770</v>
      </c>
      <c r="N770" t="s">
        <v>895</v>
      </c>
      <c r="O770">
        <v>770</v>
      </c>
      <c r="P770" t="str">
        <f t="shared" ref="P770:P833" si="12">_xlfn.CONCAT("[^ftn",O770,"]: ",)</f>
        <v xml:space="preserve">[^ftn770]: </v>
      </c>
    </row>
    <row r="771" spans="7:16" x14ac:dyDescent="0.25">
      <c r="G771" t="s">
        <v>894</v>
      </c>
      <c r="H771">
        <v>771</v>
      </c>
      <c r="I771">
        <v>771</v>
      </c>
      <c r="N771" t="s">
        <v>895</v>
      </c>
      <c r="O771">
        <v>771</v>
      </c>
      <c r="P771" t="str">
        <f t="shared" si="12"/>
        <v xml:space="preserve">[^ftn771]: </v>
      </c>
    </row>
    <row r="772" spans="7:16" x14ac:dyDescent="0.25">
      <c r="G772" t="s">
        <v>894</v>
      </c>
      <c r="H772">
        <v>772</v>
      </c>
      <c r="I772">
        <v>772</v>
      </c>
      <c r="N772" t="s">
        <v>895</v>
      </c>
      <c r="O772">
        <v>772</v>
      </c>
      <c r="P772" t="str">
        <f t="shared" si="12"/>
        <v xml:space="preserve">[^ftn772]: </v>
      </c>
    </row>
    <row r="773" spans="7:16" x14ac:dyDescent="0.25">
      <c r="G773" t="s">
        <v>894</v>
      </c>
      <c r="H773">
        <v>773</v>
      </c>
      <c r="I773">
        <v>773</v>
      </c>
      <c r="N773" t="s">
        <v>895</v>
      </c>
      <c r="O773">
        <v>773</v>
      </c>
      <c r="P773" t="str">
        <f t="shared" si="12"/>
        <v xml:space="preserve">[^ftn773]: </v>
      </c>
    </row>
    <row r="774" spans="7:16" x14ac:dyDescent="0.25">
      <c r="G774" t="s">
        <v>894</v>
      </c>
      <c r="H774">
        <v>774</v>
      </c>
      <c r="I774">
        <v>774</v>
      </c>
      <c r="N774" t="s">
        <v>895</v>
      </c>
      <c r="O774">
        <v>774</v>
      </c>
      <c r="P774" t="str">
        <f t="shared" si="12"/>
        <v xml:space="preserve">[^ftn774]: </v>
      </c>
    </row>
    <row r="775" spans="7:16" x14ac:dyDescent="0.25">
      <c r="G775" t="s">
        <v>894</v>
      </c>
      <c r="H775">
        <v>775</v>
      </c>
      <c r="I775">
        <v>775</v>
      </c>
      <c r="N775" t="s">
        <v>895</v>
      </c>
      <c r="O775">
        <v>775</v>
      </c>
      <c r="P775" t="str">
        <f t="shared" si="12"/>
        <v xml:space="preserve">[^ftn775]: </v>
      </c>
    </row>
    <row r="776" spans="7:16" x14ac:dyDescent="0.25">
      <c r="G776" t="s">
        <v>894</v>
      </c>
      <c r="H776">
        <v>776</v>
      </c>
      <c r="I776">
        <v>776</v>
      </c>
      <c r="N776" t="s">
        <v>895</v>
      </c>
      <c r="O776">
        <v>776</v>
      </c>
      <c r="P776" t="str">
        <f t="shared" si="12"/>
        <v xml:space="preserve">[^ftn776]: </v>
      </c>
    </row>
    <row r="777" spans="7:16" x14ac:dyDescent="0.25">
      <c r="G777" t="s">
        <v>894</v>
      </c>
      <c r="H777">
        <v>777</v>
      </c>
      <c r="I777">
        <v>777</v>
      </c>
      <c r="N777" t="s">
        <v>895</v>
      </c>
      <c r="O777">
        <v>777</v>
      </c>
      <c r="P777" t="str">
        <f t="shared" si="12"/>
        <v xml:space="preserve">[^ftn777]: </v>
      </c>
    </row>
    <row r="778" spans="7:16" x14ac:dyDescent="0.25">
      <c r="G778" t="s">
        <v>894</v>
      </c>
      <c r="H778">
        <v>778</v>
      </c>
      <c r="I778">
        <v>778</v>
      </c>
      <c r="N778" t="s">
        <v>895</v>
      </c>
      <c r="O778">
        <v>778</v>
      </c>
      <c r="P778" t="str">
        <f t="shared" si="12"/>
        <v xml:space="preserve">[^ftn778]: </v>
      </c>
    </row>
    <row r="779" spans="7:16" x14ac:dyDescent="0.25">
      <c r="G779" t="s">
        <v>894</v>
      </c>
      <c r="H779">
        <v>779</v>
      </c>
      <c r="I779">
        <v>779</v>
      </c>
      <c r="N779" t="s">
        <v>895</v>
      </c>
      <c r="O779">
        <v>779</v>
      </c>
      <c r="P779" t="str">
        <f t="shared" si="12"/>
        <v xml:space="preserve">[^ftn779]: </v>
      </c>
    </row>
    <row r="780" spans="7:16" x14ac:dyDescent="0.25">
      <c r="G780" t="s">
        <v>894</v>
      </c>
      <c r="H780">
        <v>780</v>
      </c>
      <c r="I780">
        <v>780</v>
      </c>
      <c r="N780" t="s">
        <v>895</v>
      </c>
      <c r="O780">
        <v>780</v>
      </c>
      <c r="P780" t="str">
        <f t="shared" si="12"/>
        <v xml:space="preserve">[^ftn780]: </v>
      </c>
    </row>
    <row r="781" spans="7:16" x14ac:dyDescent="0.25">
      <c r="G781" t="s">
        <v>894</v>
      </c>
      <c r="H781">
        <v>781</v>
      </c>
      <c r="I781">
        <v>781</v>
      </c>
      <c r="N781" t="s">
        <v>895</v>
      </c>
      <c r="O781">
        <v>781</v>
      </c>
      <c r="P781" t="str">
        <f t="shared" si="12"/>
        <v xml:space="preserve">[^ftn781]: </v>
      </c>
    </row>
    <row r="782" spans="7:16" x14ac:dyDescent="0.25">
      <c r="G782" t="s">
        <v>894</v>
      </c>
      <c r="H782">
        <v>782</v>
      </c>
      <c r="I782">
        <v>782</v>
      </c>
      <c r="N782" t="s">
        <v>895</v>
      </c>
      <c r="O782">
        <v>782</v>
      </c>
      <c r="P782" t="str">
        <f t="shared" si="12"/>
        <v xml:space="preserve">[^ftn782]: </v>
      </c>
    </row>
    <row r="783" spans="7:16" x14ac:dyDescent="0.25">
      <c r="G783" t="s">
        <v>894</v>
      </c>
      <c r="H783">
        <v>783</v>
      </c>
      <c r="I783">
        <v>783</v>
      </c>
      <c r="N783" t="s">
        <v>895</v>
      </c>
      <c r="O783">
        <v>783</v>
      </c>
      <c r="P783" t="str">
        <f t="shared" si="12"/>
        <v xml:space="preserve">[^ftn783]: </v>
      </c>
    </row>
    <row r="784" spans="7:16" x14ac:dyDescent="0.25">
      <c r="G784" t="s">
        <v>894</v>
      </c>
      <c r="H784">
        <v>784</v>
      </c>
      <c r="I784">
        <v>784</v>
      </c>
      <c r="N784" t="s">
        <v>895</v>
      </c>
      <c r="O784">
        <v>784</v>
      </c>
      <c r="P784" t="str">
        <f t="shared" si="12"/>
        <v xml:space="preserve">[^ftn784]: </v>
      </c>
    </row>
    <row r="785" spans="7:16" x14ac:dyDescent="0.25">
      <c r="G785" t="s">
        <v>894</v>
      </c>
      <c r="H785">
        <v>785</v>
      </c>
      <c r="I785">
        <v>785</v>
      </c>
      <c r="N785" t="s">
        <v>895</v>
      </c>
      <c r="O785">
        <v>785</v>
      </c>
      <c r="P785" t="str">
        <f t="shared" si="12"/>
        <v xml:space="preserve">[^ftn785]: </v>
      </c>
    </row>
    <row r="786" spans="7:16" x14ac:dyDescent="0.25">
      <c r="G786" t="s">
        <v>894</v>
      </c>
      <c r="H786">
        <v>786</v>
      </c>
      <c r="I786">
        <v>786</v>
      </c>
      <c r="N786" t="s">
        <v>895</v>
      </c>
      <c r="O786">
        <v>786</v>
      </c>
      <c r="P786" t="str">
        <f t="shared" si="12"/>
        <v xml:space="preserve">[^ftn786]: </v>
      </c>
    </row>
    <row r="787" spans="7:16" x14ac:dyDescent="0.25">
      <c r="G787" t="s">
        <v>894</v>
      </c>
      <c r="H787">
        <v>787</v>
      </c>
      <c r="I787">
        <v>787</v>
      </c>
      <c r="N787" t="s">
        <v>895</v>
      </c>
      <c r="O787">
        <v>787</v>
      </c>
      <c r="P787" t="str">
        <f t="shared" si="12"/>
        <v xml:space="preserve">[^ftn787]: </v>
      </c>
    </row>
    <row r="788" spans="7:16" x14ac:dyDescent="0.25">
      <c r="G788" t="s">
        <v>894</v>
      </c>
      <c r="H788">
        <v>788</v>
      </c>
      <c r="I788">
        <v>788</v>
      </c>
      <c r="N788" t="s">
        <v>895</v>
      </c>
      <c r="O788">
        <v>788</v>
      </c>
      <c r="P788" t="str">
        <f t="shared" si="12"/>
        <v xml:space="preserve">[^ftn788]: </v>
      </c>
    </row>
    <row r="789" spans="7:16" x14ac:dyDescent="0.25">
      <c r="G789" t="s">
        <v>894</v>
      </c>
      <c r="H789">
        <v>789</v>
      </c>
      <c r="I789">
        <v>789</v>
      </c>
      <c r="N789" t="s">
        <v>895</v>
      </c>
      <c r="O789">
        <v>789</v>
      </c>
      <c r="P789" t="str">
        <f t="shared" si="12"/>
        <v xml:space="preserve">[^ftn789]: </v>
      </c>
    </row>
    <row r="790" spans="7:16" x14ac:dyDescent="0.25">
      <c r="G790" t="s">
        <v>894</v>
      </c>
      <c r="H790">
        <v>790</v>
      </c>
      <c r="I790">
        <v>790</v>
      </c>
      <c r="N790" t="s">
        <v>895</v>
      </c>
      <c r="O790">
        <v>790</v>
      </c>
      <c r="P790" t="str">
        <f t="shared" si="12"/>
        <v xml:space="preserve">[^ftn790]: </v>
      </c>
    </row>
    <row r="791" spans="7:16" x14ac:dyDescent="0.25">
      <c r="G791" t="s">
        <v>894</v>
      </c>
      <c r="H791">
        <v>791</v>
      </c>
      <c r="I791">
        <v>791</v>
      </c>
      <c r="N791" t="s">
        <v>895</v>
      </c>
      <c r="O791">
        <v>791</v>
      </c>
      <c r="P791" t="str">
        <f t="shared" si="12"/>
        <v xml:space="preserve">[^ftn791]: </v>
      </c>
    </row>
    <row r="792" spans="7:16" x14ac:dyDescent="0.25">
      <c r="G792" t="s">
        <v>894</v>
      </c>
      <c r="H792">
        <v>792</v>
      </c>
      <c r="I792">
        <v>792</v>
      </c>
      <c r="N792" t="s">
        <v>895</v>
      </c>
      <c r="O792">
        <v>792</v>
      </c>
      <c r="P792" t="str">
        <f t="shared" si="12"/>
        <v xml:space="preserve">[^ftn792]: </v>
      </c>
    </row>
    <row r="793" spans="7:16" x14ac:dyDescent="0.25">
      <c r="G793" t="s">
        <v>894</v>
      </c>
      <c r="H793">
        <v>793</v>
      </c>
      <c r="I793">
        <v>793</v>
      </c>
      <c r="N793" t="s">
        <v>895</v>
      </c>
      <c r="O793">
        <v>793</v>
      </c>
      <c r="P793" t="str">
        <f t="shared" si="12"/>
        <v xml:space="preserve">[^ftn793]: </v>
      </c>
    </row>
    <row r="794" spans="7:16" x14ac:dyDescent="0.25">
      <c r="G794" t="s">
        <v>894</v>
      </c>
      <c r="H794">
        <v>794</v>
      </c>
      <c r="I794">
        <v>794</v>
      </c>
      <c r="N794" t="s">
        <v>895</v>
      </c>
      <c r="O794">
        <v>794</v>
      </c>
      <c r="P794" t="str">
        <f t="shared" si="12"/>
        <v xml:space="preserve">[^ftn794]: </v>
      </c>
    </row>
    <row r="795" spans="7:16" x14ac:dyDescent="0.25">
      <c r="G795" t="s">
        <v>894</v>
      </c>
      <c r="H795">
        <v>795</v>
      </c>
      <c r="I795">
        <v>795</v>
      </c>
      <c r="N795" t="s">
        <v>895</v>
      </c>
      <c r="O795">
        <v>795</v>
      </c>
      <c r="P795" t="str">
        <f t="shared" si="12"/>
        <v xml:space="preserve">[^ftn795]: </v>
      </c>
    </row>
    <row r="796" spans="7:16" x14ac:dyDescent="0.25">
      <c r="G796" t="s">
        <v>894</v>
      </c>
      <c r="H796">
        <v>796</v>
      </c>
      <c r="I796">
        <v>796</v>
      </c>
      <c r="N796" t="s">
        <v>895</v>
      </c>
      <c r="O796">
        <v>796</v>
      </c>
      <c r="P796" t="str">
        <f t="shared" si="12"/>
        <v xml:space="preserve">[^ftn796]: </v>
      </c>
    </row>
    <row r="797" spans="7:16" x14ac:dyDescent="0.25">
      <c r="G797" t="s">
        <v>894</v>
      </c>
      <c r="H797">
        <v>797</v>
      </c>
      <c r="I797">
        <v>797</v>
      </c>
      <c r="N797" t="s">
        <v>895</v>
      </c>
      <c r="O797">
        <v>797</v>
      </c>
      <c r="P797" t="str">
        <f t="shared" si="12"/>
        <v xml:space="preserve">[^ftn797]: </v>
      </c>
    </row>
    <row r="798" spans="7:16" x14ac:dyDescent="0.25">
      <c r="G798" t="s">
        <v>894</v>
      </c>
      <c r="H798">
        <v>798</v>
      </c>
      <c r="I798">
        <v>798</v>
      </c>
      <c r="N798" t="s">
        <v>895</v>
      </c>
      <c r="O798">
        <v>798</v>
      </c>
      <c r="P798" t="str">
        <f t="shared" si="12"/>
        <v xml:space="preserve">[^ftn798]: </v>
      </c>
    </row>
    <row r="799" spans="7:16" x14ac:dyDescent="0.25">
      <c r="G799" t="s">
        <v>894</v>
      </c>
      <c r="H799">
        <v>799</v>
      </c>
      <c r="I799">
        <v>799</v>
      </c>
      <c r="N799" t="s">
        <v>895</v>
      </c>
      <c r="O799">
        <v>799</v>
      </c>
      <c r="P799" t="str">
        <f t="shared" si="12"/>
        <v xml:space="preserve">[^ftn799]: </v>
      </c>
    </row>
    <row r="800" spans="7:16" x14ac:dyDescent="0.25">
      <c r="G800" t="s">
        <v>894</v>
      </c>
      <c r="H800">
        <v>800</v>
      </c>
      <c r="I800">
        <v>800</v>
      </c>
      <c r="N800" t="s">
        <v>895</v>
      </c>
      <c r="O800">
        <v>800</v>
      </c>
      <c r="P800" t="str">
        <f t="shared" si="12"/>
        <v xml:space="preserve">[^ftn800]: </v>
      </c>
    </row>
    <row r="801" spans="7:16" x14ac:dyDescent="0.25">
      <c r="G801" t="s">
        <v>894</v>
      </c>
      <c r="H801">
        <v>801</v>
      </c>
      <c r="I801">
        <v>801</v>
      </c>
      <c r="N801" t="s">
        <v>895</v>
      </c>
      <c r="O801">
        <v>801</v>
      </c>
      <c r="P801" t="str">
        <f t="shared" si="12"/>
        <v xml:space="preserve">[^ftn801]: </v>
      </c>
    </row>
    <row r="802" spans="7:16" x14ac:dyDescent="0.25">
      <c r="G802" t="s">
        <v>894</v>
      </c>
      <c r="H802">
        <v>802</v>
      </c>
      <c r="I802">
        <v>802</v>
      </c>
      <c r="N802" t="s">
        <v>895</v>
      </c>
      <c r="O802">
        <v>802</v>
      </c>
      <c r="P802" t="str">
        <f t="shared" si="12"/>
        <v xml:space="preserve">[^ftn802]: </v>
      </c>
    </row>
    <row r="803" spans="7:16" x14ac:dyDescent="0.25">
      <c r="G803" t="s">
        <v>894</v>
      </c>
      <c r="H803">
        <v>803</v>
      </c>
      <c r="I803">
        <v>803</v>
      </c>
      <c r="N803" t="s">
        <v>895</v>
      </c>
      <c r="O803">
        <v>803</v>
      </c>
      <c r="P803" t="str">
        <f t="shared" si="12"/>
        <v xml:space="preserve">[^ftn803]: </v>
      </c>
    </row>
    <row r="804" spans="7:16" x14ac:dyDescent="0.25">
      <c r="G804" t="s">
        <v>894</v>
      </c>
      <c r="H804">
        <v>804</v>
      </c>
      <c r="I804">
        <v>804</v>
      </c>
      <c r="N804" t="s">
        <v>895</v>
      </c>
      <c r="O804">
        <v>804</v>
      </c>
      <c r="P804" t="str">
        <f t="shared" si="12"/>
        <v xml:space="preserve">[^ftn804]: </v>
      </c>
    </row>
    <row r="805" spans="7:16" x14ac:dyDescent="0.25">
      <c r="G805" t="s">
        <v>894</v>
      </c>
      <c r="H805">
        <v>805</v>
      </c>
      <c r="I805">
        <v>805</v>
      </c>
      <c r="N805" t="s">
        <v>895</v>
      </c>
      <c r="O805">
        <v>805</v>
      </c>
      <c r="P805" t="str">
        <f t="shared" si="12"/>
        <v xml:space="preserve">[^ftn805]: </v>
      </c>
    </row>
    <row r="806" spans="7:16" x14ac:dyDescent="0.25">
      <c r="G806" t="s">
        <v>894</v>
      </c>
      <c r="H806">
        <v>806</v>
      </c>
      <c r="I806">
        <v>806</v>
      </c>
      <c r="N806" t="s">
        <v>895</v>
      </c>
      <c r="O806">
        <v>806</v>
      </c>
      <c r="P806" t="str">
        <f t="shared" si="12"/>
        <v xml:space="preserve">[^ftn806]: </v>
      </c>
    </row>
    <row r="807" spans="7:16" x14ac:dyDescent="0.25">
      <c r="G807" t="s">
        <v>894</v>
      </c>
      <c r="H807">
        <v>807</v>
      </c>
      <c r="I807">
        <v>807</v>
      </c>
      <c r="N807" t="s">
        <v>895</v>
      </c>
      <c r="O807">
        <v>807</v>
      </c>
      <c r="P807" t="str">
        <f t="shared" si="12"/>
        <v xml:space="preserve">[^ftn807]: </v>
      </c>
    </row>
    <row r="808" spans="7:16" x14ac:dyDescent="0.25">
      <c r="G808" t="s">
        <v>894</v>
      </c>
      <c r="H808">
        <v>808</v>
      </c>
      <c r="I808">
        <v>808</v>
      </c>
      <c r="N808" t="s">
        <v>895</v>
      </c>
      <c r="O808">
        <v>808</v>
      </c>
      <c r="P808" t="str">
        <f t="shared" si="12"/>
        <v xml:space="preserve">[^ftn808]: </v>
      </c>
    </row>
    <row r="809" spans="7:16" x14ac:dyDescent="0.25">
      <c r="G809" t="s">
        <v>894</v>
      </c>
      <c r="H809">
        <v>809</v>
      </c>
      <c r="I809">
        <v>809</v>
      </c>
      <c r="N809" t="s">
        <v>895</v>
      </c>
      <c r="O809">
        <v>809</v>
      </c>
      <c r="P809" t="str">
        <f t="shared" si="12"/>
        <v xml:space="preserve">[^ftn809]: </v>
      </c>
    </row>
    <row r="810" spans="7:16" x14ac:dyDescent="0.25">
      <c r="G810" t="s">
        <v>894</v>
      </c>
      <c r="H810">
        <v>810</v>
      </c>
      <c r="I810">
        <v>810</v>
      </c>
      <c r="N810" t="s">
        <v>895</v>
      </c>
      <c r="O810">
        <v>810</v>
      </c>
      <c r="P810" t="str">
        <f t="shared" si="12"/>
        <v xml:space="preserve">[^ftn810]: </v>
      </c>
    </row>
    <row r="811" spans="7:16" x14ac:dyDescent="0.25">
      <c r="G811" t="s">
        <v>894</v>
      </c>
      <c r="H811">
        <v>811</v>
      </c>
      <c r="I811">
        <v>811</v>
      </c>
      <c r="N811" t="s">
        <v>895</v>
      </c>
      <c r="O811">
        <v>811</v>
      </c>
      <c r="P811" t="str">
        <f t="shared" si="12"/>
        <v xml:space="preserve">[^ftn811]: </v>
      </c>
    </row>
    <row r="812" spans="7:16" x14ac:dyDescent="0.25">
      <c r="G812" t="s">
        <v>894</v>
      </c>
      <c r="H812">
        <v>812</v>
      </c>
      <c r="I812">
        <v>812</v>
      </c>
      <c r="N812" t="s">
        <v>895</v>
      </c>
      <c r="O812">
        <v>812</v>
      </c>
      <c r="P812" t="str">
        <f t="shared" si="12"/>
        <v xml:space="preserve">[^ftn812]: </v>
      </c>
    </row>
    <row r="813" spans="7:16" x14ac:dyDescent="0.25">
      <c r="G813" t="s">
        <v>894</v>
      </c>
      <c r="H813">
        <v>813</v>
      </c>
      <c r="I813">
        <v>813</v>
      </c>
      <c r="N813" t="s">
        <v>895</v>
      </c>
      <c r="O813">
        <v>813</v>
      </c>
      <c r="P813" t="str">
        <f t="shared" si="12"/>
        <v xml:space="preserve">[^ftn813]: </v>
      </c>
    </row>
    <row r="814" spans="7:16" x14ac:dyDescent="0.25">
      <c r="G814" t="s">
        <v>894</v>
      </c>
      <c r="H814">
        <v>814</v>
      </c>
      <c r="I814">
        <v>814</v>
      </c>
      <c r="N814" t="s">
        <v>895</v>
      </c>
      <c r="O814">
        <v>814</v>
      </c>
      <c r="P814" t="str">
        <f t="shared" si="12"/>
        <v xml:space="preserve">[^ftn814]: </v>
      </c>
    </row>
    <row r="815" spans="7:16" x14ac:dyDescent="0.25">
      <c r="G815" t="s">
        <v>894</v>
      </c>
      <c r="H815">
        <v>815</v>
      </c>
      <c r="I815">
        <v>815</v>
      </c>
      <c r="N815" t="s">
        <v>895</v>
      </c>
      <c r="O815">
        <v>815</v>
      </c>
      <c r="P815" t="str">
        <f t="shared" si="12"/>
        <v xml:space="preserve">[^ftn815]: </v>
      </c>
    </row>
    <row r="816" spans="7:16" x14ac:dyDescent="0.25">
      <c r="G816" t="s">
        <v>894</v>
      </c>
      <c r="H816">
        <v>816</v>
      </c>
      <c r="I816">
        <v>816</v>
      </c>
      <c r="N816" t="s">
        <v>895</v>
      </c>
      <c r="O816">
        <v>816</v>
      </c>
      <c r="P816" t="str">
        <f t="shared" si="12"/>
        <v xml:space="preserve">[^ftn816]: </v>
      </c>
    </row>
    <row r="817" spans="7:16" x14ac:dyDescent="0.25">
      <c r="G817" t="s">
        <v>894</v>
      </c>
      <c r="H817">
        <v>817</v>
      </c>
      <c r="I817">
        <v>817</v>
      </c>
      <c r="N817" t="s">
        <v>895</v>
      </c>
      <c r="O817">
        <v>817</v>
      </c>
      <c r="P817" t="str">
        <f t="shared" si="12"/>
        <v xml:space="preserve">[^ftn817]: </v>
      </c>
    </row>
    <row r="818" spans="7:16" x14ac:dyDescent="0.25">
      <c r="G818" t="s">
        <v>894</v>
      </c>
      <c r="H818">
        <v>818</v>
      </c>
      <c r="I818">
        <v>818</v>
      </c>
      <c r="N818" t="s">
        <v>895</v>
      </c>
      <c r="O818">
        <v>818</v>
      </c>
      <c r="P818" t="str">
        <f t="shared" si="12"/>
        <v xml:space="preserve">[^ftn818]: </v>
      </c>
    </row>
    <row r="819" spans="7:16" x14ac:dyDescent="0.25">
      <c r="G819" t="s">
        <v>894</v>
      </c>
      <c r="H819">
        <v>819</v>
      </c>
      <c r="I819">
        <v>819</v>
      </c>
      <c r="N819" t="s">
        <v>895</v>
      </c>
      <c r="O819">
        <v>819</v>
      </c>
      <c r="P819" t="str">
        <f t="shared" si="12"/>
        <v xml:space="preserve">[^ftn819]: </v>
      </c>
    </row>
    <row r="820" spans="7:16" x14ac:dyDescent="0.25">
      <c r="G820" t="s">
        <v>894</v>
      </c>
      <c r="H820">
        <v>820</v>
      </c>
      <c r="I820">
        <v>820</v>
      </c>
      <c r="N820" t="s">
        <v>895</v>
      </c>
      <c r="O820">
        <v>820</v>
      </c>
      <c r="P820" t="str">
        <f t="shared" si="12"/>
        <v xml:space="preserve">[^ftn820]: </v>
      </c>
    </row>
    <row r="821" spans="7:16" x14ac:dyDescent="0.25">
      <c r="G821" t="s">
        <v>894</v>
      </c>
      <c r="H821">
        <v>821</v>
      </c>
      <c r="I821">
        <v>821</v>
      </c>
      <c r="N821" t="s">
        <v>895</v>
      </c>
      <c r="O821">
        <v>821</v>
      </c>
      <c r="P821" t="str">
        <f t="shared" si="12"/>
        <v xml:space="preserve">[^ftn821]: </v>
      </c>
    </row>
    <row r="822" spans="7:16" x14ac:dyDescent="0.25">
      <c r="G822" t="s">
        <v>894</v>
      </c>
      <c r="H822">
        <v>822</v>
      </c>
      <c r="I822">
        <v>822</v>
      </c>
      <c r="N822" t="s">
        <v>895</v>
      </c>
      <c r="O822">
        <v>822</v>
      </c>
      <c r="P822" t="str">
        <f t="shared" si="12"/>
        <v xml:space="preserve">[^ftn822]: </v>
      </c>
    </row>
    <row r="823" spans="7:16" x14ac:dyDescent="0.25">
      <c r="G823" t="s">
        <v>894</v>
      </c>
      <c r="H823">
        <v>823</v>
      </c>
      <c r="I823">
        <v>823</v>
      </c>
      <c r="N823" t="s">
        <v>895</v>
      </c>
      <c r="O823">
        <v>823</v>
      </c>
      <c r="P823" t="str">
        <f t="shared" si="12"/>
        <v xml:space="preserve">[^ftn823]: </v>
      </c>
    </row>
    <row r="824" spans="7:16" x14ac:dyDescent="0.25">
      <c r="G824" t="s">
        <v>894</v>
      </c>
      <c r="H824">
        <v>824</v>
      </c>
      <c r="I824">
        <v>824</v>
      </c>
      <c r="N824" t="s">
        <v>895</v>
      </c>
      <c r="O824">
        <v>824</v>
      </c>
      <c r="P824" t="str">
        <f t="shared" si="12"/>
        <v xml:space="preserve">[^ftn824]: </v>
      </c>
    </row>
    <row r="825" spans="7:16" x14ac:dyDescent="0.25">
      <c r="G825" t="s">
        <v>894</v>
      </c>
      <c r="H825">
        <v>825</v>
      </c>
      <c r="I825">
        <v>825</v>
      </c>
      <c r="N825" t="s">
        <v>895</v>
      </c>
      <c r="O825">
        <v>825</v>
      </c>
      <c r="P825" t="str">
        <f t="shared" si="12"/>
        <v xml:space="preserve">[^ftn825]: </v>
      </c>
    </row>
    <row r="826" spans="7:16" x14ac:dyDescent="0.25">
      <c r="G826" t="s">
        <v>894</v>
      </c>
      <c r="H826">
        <v>826</v>
      </c>
      <c r="I826">
        <v>826</v>
      </c>
      <c r="N826" t="s">
        <v>895</v>
      </c>
      <c r="O826">
        <v>826</v>
      </c>
      <c r="P826" t="str">
        <f t="shared" si="12"/>
        <v xml:space="preserve">[^ftn826]: </v>
      </c>
    </row>
    <row r="827" spans="7:16" x14ac:dyDescent="0.25">
      <c r="G827" t="s">
        <v>894</v>
      </c>
      <c r="H827">
        <v>827</v>
      </c>
      <c r="I827">
        <v>827</v>
      </c>
      <c r="N827" t="s">
        <v>895</v>
      </c>
      <c r="O827">
        <v>827</v>
      </c>
      <c r="P827" t="str">
        <f t="shared" si="12"/>
        <v xml:space="preserve">[^ftn827]: </v>
      </c>
    </row>
    <row r="828" spans="7:16" x14ac:dyDescent="0.25">
      <c r="G828" t="s">
        <v>894</v>
      </c>
      <c r="H828">
        <v>828</v>
      </c>
      <c r="I828">
        <v>828</v>
      </c>
      <c r="N828" t="s">
        <v>895</v>
      </c>
      <c r="O828">
        <v>828</v>
      </c>
      <c r="P828" t="str">
        <f t="shared" si="12"/>
        <v xml:space="preserve">[^ftn828]: </v>
      </c>
    </row>
    <row r="829" spans="7:16" x14ac:dyDescent="0.25">
      <c r="G829" t="s">
        <v>894</v>
      </c>
      <c r="H829">
        <v>829</v>
      </c>
      <c r="I829">
        <v>829</v>
      </c>
      <c r="N829" t="s">
        <v>895</v>
      </c>
      <c r="O829">
        <v>829</v>
      </c>
      <c r="P829" t="str">
        <f t="shared" si="12"/>
        <v xml:space="preserve">[^ftn829]: </v>
      </c>
    </row>
    <row r="830" spans="7:16" x14ac:dyDescent="0.25">
      <c r="G830" t="s">
        <v>894</v>
      </c>
      <c r="H830">
        <v>830</v>
      </c>
      <c r="I830">
        <v>830</v>
      </c>
      <c r="N830" t="s">
        <v>895</v>
      </c>
      <c r="O830">
        <v>830</v>
      </c>
      <c r="P830" t="str">
        <f t="shared" si="12"/>
        <v xml:space="preserve">[^ftn830]: </v>
      </c>
    </row>
    <row r="831" spans="7:16" x14ac:dyDescent="0.25">
      <c r="G831" t="s">
        <v>894</v>
      </c>
      <c r="H831">
        <v>831</v>
      </c>
      <c r="I831">
        <v>831</v>
      </c>
      <c r="N831" t="s">
        <v>895</v>
      </c>
      <c r="O831">
        <v>831</v>
      </c>
      <c r="P831" t="str">
        <f t="shared" si="12"/>
        <v xml:space="preserve">[^ftn831]: </v>
      </c>
    </row>
    <row r="832" spans="7:16" x14ac:dyDescent="0.25">
      <c r="G832" t="s">
        <v>894</v>
      </c>
      <c r="H832">
        <v>832</v>
      </c>
      <c r="I832">
        <v>832</v>
      </c>
      <c r="N832" t="s">
        <v>895</v>
      </c>
      <c r="O832">
        <v>832</v>
      </c>
      <c r="P832" t="str">
        <f t="shared" si="12"/>
        <v xml:space="preserve">[^ftn832]: </v>
      </c>
    </row>
    <row r="833" spans="7:16" x14ac:dyDescent="0.25">
      <c r="G833" t="s">
        <v>894</v>
      </c>
      <c r="H833">
        <v>833</v>
      </c>
      <c r="I833">
        <v>833</v>
      </c>
      <c r="N833" t="s">
        <v>895</v>
      </c>
      <c r="O833">
        <v>833</v>
      </c>
      <c r="P833" t="str">
        <f t="shared" si="12"/>
        <v xml:space="preserve">[^ftn833]: </v>
      </c>
    </row>
    <row r="834" spans="7:16" x14ac:dyDescent="0.25">
      <c r="G834" t="s">
        <v>894</v>
      </c>
      <c r="H834">
        <v>834</v>
      </c>
      <c r="I834">
        <v>834</v>
      </c>
      <c r="N834" t="s">
        <v>895</v>
      </c>
      <c r="O834">
        <v>834</v>
      </c>
      <c r="P834" t="str">
        <f t="shared" ref="P834:P897" si="13">_xlfn.CONCAT("[^ftn",O834,"]: ",)</f>
        <v xml:space="preserve">[^ftn834]: </v>
      </c>
    </row>
    <row r="835" spans="7:16" x14ac:dyDescent="0.25">
      <c r="G835" t="s">
        <v>894</v>
      </c>
      <c r="H835">
        <v>835</v>
      </c>
      <c r="I835">
        <v>835</v>
      </c>
      <c r="N835" t="s">
        <v>895</v>
      </c>
      <c r="O835">
        <v>835</v>
      </c>
      <c r="P835" t="str">
        <f t="shared" si="13"/>
        <v xml:space="preserve">[^ftn835]: </v>
      </c>
    </row>
    <row r="836" spans="7:16" x14ac:dyDescent="0.25">
      <c r="G836" t="s">
        <v>894</v>
      </c>
      <c r="H836">
        <v>836</v>
      </c>
      <c r="I836">
        <v>836</v>
      </c>
      <c r="N836" t="s">
        <v>895</v>
      </c>
      <c r="O836">
        <v>836</v>
      </c>
      <c r="P836" t="str">
        <f t="shared" si="13"/>
        <v xml:space="preserve">[^ftn836]: </v>
      </c>
    </row>
    <row r="837" spans="7:16" x14ac:dyDescent="0.25">
      <c r="G837" t="s">
        <v>894</v>
      </c>
      <c r="H837">
        <v>837</v>
      </c>
      <c r="I837">
        <v>837</v>
      </c>
      <c r="N837" t="s">
        <v>895</v>
      </c>
      <c r="O837">
        <v>837</v>
      </c>
      <c r="P837" t="str">
        <f t="shared" si="13"/>
        <v xml:space="preserve">[^ftn837]: </v>
      </c>
    </row>
    <row r="838" spans="7:16" x14ac:dyDescent="0.25">
      <c r="G838" t="s">
        <v>894</v>
      </c>
      <c r="H838">
        <v>838</v>
      </c>
      <c r="I838">
        <v>838</v>
      </c>
      <c r="N838" t="s">
        <v>895</v>
      </c>
      <c r="O838">
        <v>838</v>
      </c>
      <c r="P838" t="str">
        <f t="shared" si="13"/>
        <v xml:space="preserve">[^ftn838]: </v>
      </c>
    </row>
    <row r="839" spans="7:16" x14ac:dyDescent="0.25">
      <c r="G839" t="s">
        <v>894</v>
      </c>
      <c r="H839">
        <v>839</v>
      </c>
      <c r="I839">
        <v>839</v>
      </c>
      <c r="N839" t="s">
        <v>895</v>
      </c>
      <c r="O839">
        <v>839</v>
      </c>
      <c r="P839" t="str">
        <f t="shared" si="13"/>
        <v xml:space="preserve">[^ftn839]: </v>
      </c>
    </row>
    <row r="840" spans="7:16" x14ac:dyDescent="0.25">
      <c r="G840" t="s">
        <v>894</v>
      </c>
      <c r="H840">
        <v>840</v>
      </c>
      <c r="I840">
        <v>840</v>
      </c>
      <c r="N840" t="s">
        <v>895</v>
      </c>
      <c r="O840">
        <v>840</v>
      </c>
      <c r="P840" t="str">
        <f t="shared" si="13"/>
        <v xml:space="preserve">[^ftn840]: </v>
      </c>
    </row>
    <row r="841" spans="7:16" x14ac:dyDescent="0.25">
      <c r="G841" t="s">
        <v>894</v>
      </c>
      <c r="H841">
        <v>841</v>
      </c>
      <c r="I841">
        <v>841</v>
      </c>
      <c r="N841" t="s">
        <v>895</v>
      </c>
      <c r="O841">
        <v>841</v>
      </c>
      <c r="P841" t="str">
        <f t="shared" si="13"/>
        <v xml:space="preserve">[^ftn841]: </v>
      </c>
    </row>
    <row r="842" spans="7:16" x14ac:dyDescent="0.25">
      <c r="G842" t="s">
        <v>894</v>
      </c>
      <c r="H842">
        <v>842</v>
      </c>
      <c r="I842">
        <v>842</v>
      </c>
      <c r="N842" t="s">
        <v>895</v>
      </c>
      <c r="O842">
        <v>842</v>
      </c>
      <c r="P842" t="str">
        <f t="shared" si="13"/>
        <v xml:space="preserve">[^ftn842]: </v>
      </c>
    </row>
    <row r="843" spans="7:16" x14ac:dyDescent="0.25">
      <c r="G843" t="s">
        <v>894</v>
      </c>
      <c r="H843">
        <v>843</v>
      </c>
      <c r="I843">
        <v>843</v>
      </c>
      <c r="N843" t="s">
        <v>895</v>
      </c>
      <c r="O843">
        <v>843</v>
      </c>
      <c r="P843" t="str">
        <f t="shared" si="13"/>
        <v xml:space="preserve">[^ftn843]: </v>
      </c>
    </row>
    <row r="844" spans="7:16" x14ac:dyDescent="0.25">
      <c r="G844" t="s">
        <v>894</v>
      </c>
      <c r="H844">
        <v>844</v>
      </c>
      <c r="I844">
        <v>844</v>
      </c>
      <c r="N844" t="s">
        <v>895</v>
      </c>
      <c r="O844">
        <v>844</v>
      </c>
      <c r="P844" t="str">
        <f t="shared" si="13"/>
        <v xml:space="preserve">[^ftn844]: </v>
      </c>
    </row>
    <row r="845" spans="7:16" x14ac:dyDescent="0.25">
      <c r="G845" t="s">
        <v>894</v>
      </c>
      <c r="H845">
        <v>845</v>
      </c>
      <c r="I845">
        <v>845</v>
      </c>
      <c r="N845" t="s">
        <v>895</v>
      </c>
      <c r="O845">
        <v>845</v>
      </c>
      <c r="P845" t="str">
        <f t="shared" si="13"/>
        <v xml:space="preserve">[^ftn845]: </v>
      </c>
    </row>
    <row r="846" spans="7:16" x14ac:dyDescent="0.25">
      <c r="G846" t="s">
        <v>894</v>
      </c>
      <c r="H846">
        <v>846</v>
      </c>
      <c r="I846">
        <v>846</v>
      </c>
      <c r="N846" t="s">
        <v>895</v>
      </c>
      <c r="O846">
        <v>846</v>
      </c>
      <c r="P846" t="str">
        <f t="shared" si="13"/>
        <v xml:space="preserve">[^ftn846]: </v>
      </c>
    </row>
    <row r="847" spans="7:16" x14ac:dyDescent="0.25">
      <c r="G847" t="s">
        <v>894</v>
      </c>
      <c r="H847">
        <v>847</v>
      </c>
      <c r="I847">
        <v>847</v>
      </c>
      <c r="N847" t="s">
        <v>895</v>
      </c>
      <c r="O847">
        <v>847</v>
      </c>
      <c r="P847" t="str">
        <f t="shared" si="13"/>
        <v xml:space="preserve">[^ftn847]: </v>
      </c>
    </row>
    <row r="848" spans="7:16" x14ac:dyDescent="0.25">
      <c r="G848" t="s">
        <v>894</v>
      </c>
      <c r="H848">
        <v>848</v>
      </c>
      <c r="I848">
        <v>848</v>
      </c>
      <c r="N848" t="s">
        <v>895</v>
      </c>
      <c r="O848">
        <v>848</v>
      </c>
      <c r="P848" t="str">
        <f t="shared" si="13"/>
        <v xml:space="preserve">[^ftn848]: </v>
      </c>
    </row>
    <row r="849" spans="7:16" x14ac:dyDescent="0.25">
      <c r="G849" t="s">
        <v>894</v>
      </c>
      <c r="H849">
        <v>849</v>
      </c>
      <c r="I849">
        <v>849</v>
      </c>
      <c r="N849" t="s">
        <v>895</v>
      </c>
      <c r="O849">
        <v>849</v>
      </c>
      <c r="P849" t="str">
        <f t="shared" si="13"/>
        <v xml:space="preserve">[^ftn849]: </v>
      </c>
    </row>
    <row r="850" spans="7:16" x14ac:dyDescent="0.25">
      <c r="G850" t="s">
        <v>894</v>
      </c>
      <c r="H850">
        <v>850</v>
      </c>
      <c r="I850">
        <v>850</v>
      </c>
      <c r="N850" t="s">
        <v>895</v>
      </c>
      <c r="O850">
        <v>850</v>
      </c>
      <c r="P850" t="str">
        <f t="shared" si="13"/>
        <v xml:space="preserve">[^ftn850]: </v>
      </c>
    </row>
    <row r="851" spans="7:16" x14ac:dyDescent="0.25">
      <c r="G851" t="s">
        <v>894</v>
      </c>
      <c r="H851">
        <v>851</v>
      </c>
      <c r="I851">
        <v>851</v>
      </c>
      <c r="N851" t="s">
        <v>895</v>
      </c>
      <c r="O851">
        <v>851</v>
      </c>
      <c r="P851" t="str">
        <f t="shared" si="13"/>
        <v xml:space="preserve">[^ftn851]: </v>
      </c>
    </row>
    <row r="852" spans="7:16" x14ac:dyDescent="0.25">
      <c r="G852" t="s">
        <v>894</v>
      </c>
      <c r="H852">
        <v>852</v>
      </c>
      <c r="I852">
        <v>852</v>
      </c>
      <c r="N852" t="s">
        <v>895</v>
      </c>
      <c r="O852">
        <v>852</v>
      </c>
      <c r="P852" t="str">
        <f t="shared" si="13"/>
        <v xml:space="preserve">[^ftn852]: </v>
      </c>
    </row>
    <row r="853" spans="7:16" x14ac:dyDescent="0.25">
      <c r="G853" t="s">
        <v>894</v>
      </c>
      <c r="H853">
        <v>853</v>
      </c>
      <c r="I853">
        <v>853</v>
      </c>
      <c r="N853" t="s">
        <v>895</v>
      </c>
      <c r="O853">
        <v>853</v>
      </c>
      <c r="P853" t="str">
        <f t="shared" si="13"/>
        <v xml:space="preserve">[^ftn853]: </v>
      </c>
    </row>
    <row r="854" spans="7:16" x14ac:dyDescent="0.25">
      <c r="G854" t="s">
        <v>894</v>
      </c>
      <c r="H854">
        <v>854</v>
      </c>
      <c r="I854">
        <v>854</v>
      </c>
      <c r="N854" t="s">
        <v>895</v>
      </c>
      <c r="O854">
        <v>854</v>
      </c>
      <c r="P854" t="str">
        <f t="shared" si="13"/>
        <v xml:space="preserve">[^ftn854]: </v>
      </c>
    </row>
    <row r="855" spans="7:16" x14ac:dyDescent="0.25">
      <c r="G855" t="s">
        <v>894</v>
      </c>
      <c r="H855">
        <v>855</v>
      </c>
      <c r="I855">
        <v>855</v>
      </c>
      <c r="N855" t="s">
        <v>895</v>
      </c>
      <c r="O855">
        <v>855</v>
      </c>
      <c r="P855" t="str">
        <f t="shared" si="13"/>
        <v xml:space="preserve">[^ftn855]: </v>
      </c>
    </row>
    <row r="856" spans="7:16" x14ac:dyDescent="0.25">
      <c r="G856" t="s">
        <v>894</v>
      </c>
      <c r="H856">
        <v>856</v>
      </c>
      <c r="I856">
        <v>856</v>
      </c>
      <c r="N856" t="s">
        <v>895</v>
      </c>
      <c r="O856">
        <v>856</v>
      </c>
      <c r="P856" t="str">
        <f t="shared" si="13"/>
        <v xml:space="preserve">[^ftn856]: </v>
      </c>
    </row>
    <row r="857" spans="7:16" x14ac:dyDescent="0.25">
      <c r="G857" t="s">
        <v>894</v>
      </c>
      <c r="H857">
        <v>857</v>
      </c>
      <c r="I857">
        <v>857</v>
      </c>
      <c r="N857" t="s">
        <v>895</v>
      </c>
      <c r="O857">
        <v>857</v>
      </c>
      <c r="P857" t="str">
        <f t="shared" si="13"/>
        <v xml:space="preserve">[^ftn857]: </v>
      </c>
    </row>
    <row r="858" spans="7:16" x14ac:dyDescent="0.25">
      <c r="G858" t="s">
        <v>894</v>
      </c>
      <c r="H858">
        <v>858</v>
      </c>
      <c r="I858">
        <v>858</v>
      </c>
      <c r="N858" t="s">
        <v>895</v>
      </c>
      <c r="O858">
        <v>858</v>
      </c>
      <c r="P858" t="str">
        <f t="shared" si="13"/>
        <v xml:space="preserve">[^ftn858]: </v>
      </c>
    </row>
    <row r="859" spans="7:16" x14ac:dyDescent="0.25">
      <c r="G859" t="s">
        <v>894</v>
      </c>
      <c r="H859">
        <v>859</v>
      </c>
      <c r="I859">
        <v>859</v>
      </c>
      <c r="N859" t="s">
        <v>895</v>
      </c>
      <c r="O859">
        <v>859</v>
      </c>
      <c r="P859" t="str">
        <f t="shared" si="13"/>
        <v xml:space="preserve">[^ftn859]: </v>
      </c>
    </row>
    <row r="860" spans="7:16" x14ac:dyDescent="0.25">
      <c r="G860" t="s">
        <v>894</v>
      </c>
      <c r="H860">
        <v>860</v>
      </c>
      <c r="I860">
        <v>860</v>
      </c>
      <c r="N860" t="s">
        <v>895</v>
      </c>
      <c r="O860">
        <v>860</v>
      </c>
      <c r="P860" t="str">
        <f t="shared" si="13"/>
        <v xml:space="preserve">[^ftn860]: </v>
      </c>
    </row>
    <row r="861" spans="7:16" x14ac:dyDescent="0.25">
      <c r="G861" t="s">
        <v>894</v>
      </c>
      <c r="H861">
        <v>861</v>
      </c>
      <c r="I861">
        <v>861</v>
      </c>
      <c r="N861" t="s">
        <v>895</v>
      </c>
      <c r="O861">
        <v>861</v>
      </c>
      <c r="P861" t="str">
        <f t="shared" si="13"/>
        <v xml:space="preserve">[^ftn861]: </v>
      </c>
    </row>
    <row r="862" spans="7:16" x14ac:dyDescent="0.25">
      <c r="G862" t="s">
        <v>894</v>
      </c>
      <c r="H862">
        <v>862</v>
      </c>
      <c r="I862">
        <v>862</v>
      </c>
      <c r="N862" t="s">
        <v>895</v>
      </c>
      <c r="O862">
        <v>862</v>
      </c>
      <c r="P862" t="str">
        <f t="shared" si="13"/>
        <v xml:space="preserve">[^ftn862]: </v>
      </c>
    </row>
    <row r="863" spans="7:16" x14ac:dyDescent="0.25">
      <c r="G863" t="s">
        <v>894</v>
      </c>
      <c r="H863">
        <v>863</v>
      </c>
      <c r="I863">
        <v>863</v>
      </c>
      <c r="N863" t="s">
        <v>895</v>
      </c>
      <c r="O863">
        <v>863</v>
      </c>
      <c r="P863" t="str">
        <f t="shared" si="13"/>
        <v xml:space="preserve">[^ftn863]: </v>
      </c>
    </row>
    <row r="864" spans="7:16" x14ac:dyDescent="0.25">
      <c r="G864" t="s">
        <v>894</v>
      </c>
      <c r="H864">
        <v>864</v>
      </c>
      <c r="I864">
        <v>864</v>
      </c>
      <c r="N864" t="s">
        <v>895</v>
      </c>
      <c r="O864">
        <v>864</v>
      </c>
      <c r="P864" t="str">
        <f t="shared" si="13"/>
        <v xml:space="preserve">[^ftn864]: </v>
      </c>
    </row>
    <row r="865" spans="7:16" x14ac:dyDescent="0.25">
      <c r="G865" t="s">
        <v>894</v>
      </c>
      <c r="H865">
        <v>865</v>
      </c>
      <c r="I865">
        <v>865</v>
      </c>
      <c r="N865" t="s">
        <v>895</v>
      </c>
      <c r="O865">
        <v>865</v>
      </c>
      <c r="P865" t="str">
        <f t="shared" si="13"/>
        <v xml:space="preserve">[^ftn865]: </v>
      </c>
    </row>
    <row r="866" spans="7:16" x14ac:dyDescent="0.25">
      <c r="G866" t="s">
        <v>894</v>
      </c>
      <c r="H866">
        <v>866</v>
      </c>
      <c r="I866">
        <v>866</v>
      </c>
      <c r="N866" t="s">
        <v>895</v>
      </c>
      <c r="O866">
        <v>866</v>
      </c>
      <c r="P866" t="str">
        <f t="shared" si="13"/>
        <v xml:space="preserve">[^ftn866]: </v>
      </c>
    </row>
    <row r="867" spans="7:16" x14ac:dyDescent="0.25">
      <c r="G867" t="s">
        <v>894</v>
      </c>
      <c r="H867">
        <v>867</v>
      </c>
      <c r="I867">
        <v>867</v>
      </c>
      <c r="N867" t="s">
        <v>895</v>
      </c>
      <c r="O867">
        <v>867</v>
      </c>
      <c r="P867" t="str">
        <f t="shared" si="13"/>
        <v xml:space="preserve">[^ftn867]: </v>
      </c>
    </row>
    <row r="868" spans="7:16" x14ac:dyDescent="0.25">
      <c r="G868" t="s">
        <v>894</v>
      </c>
      <c r="H868">
        <v>868</v>
      </c>
      <c r="I868">
        <v>868</v>
      </c>
      <c r="N868" t="s">
        <v>895</v>
      </c>
      <c r="O868">
        <v>868</v>
      </c>
      <c r="P868" t="str">
        <f t="shared" si="13"/>
        <v xml:space="preserve">[^ftn868]: </v>
      </c>
    </row>
    <row r="869" spans="7:16" x14ac:dyDescent="0.25">
      <c r="G869" t="s">
        <v>894</v>
      </c>
      <c r="H869">
        <v>869</v>
      </c>
      <c r="I869">
        <v>869</v>
      </c>
      <c r="N869" t="s">
        <v>895</v>
      </c>
      <c r="O869">
        <v>869</v>
      </c>
      <c r="P869" t="str">
        <f t="shared" si="13"/>
        <v xml:space="preserve">[^ftn869]: </v>
      </c>
    </row>
    <row r="870" spans="7:16" x14ac:dyDescent="0.25">
      <c r="G870" t="s">
        <v>894</v>
      </c>
      <c r="H870">
        <v>870</v>
      </c>
      <c r="I870">
        <v>870</v>
      </c>
      <c r="N870" t="s">
        <v>895</v>
      </c>
      <c r="O870">
        <v>870</v>
      </c>
      <c r="P870" t="str">
        <f t="shared" si="13"/>
        <v xml:space="preserve">[^ftn870]: </v>
      </c>
    </row>
    <row r="871" spans="7:16" x14ac:dyDescent="0.25">
      <c r="G871" t="s">
        <v>894</v>
      </c>
      <c r="H871">
        <v>871</v>
      </c>
      <c r="I871">
        <v>871</v>
      </c>
      <c r="N871" t="s">
        <v>895</v>
      </c>
      <c r="O871">
        <v>871</v>
      </c>
      <c r="P871" t="str">
        <f t="shared" si="13"/>
        <v xml:space="preserve">[^ftn871]: </v>
      </c>
    </row>
    <row r="872" spans="7:16" x14ac:dyDescent="0.25">
      <c r="G872" t="s">
        <v>894</v>
      </c>
      <c r="H872">
        <v>872</v>
      </c>
      <c r="I872">
        <v>872</v>
      </c>
      <c r="N872" t="s">
        <v>895</v>
      </c>
      <c r="O872">
        <v>872</v>
      </c>
      <c r="P872" t="str">
        <f t="shared" si="13"/>
        <v xml:space="preserve">[^ftn872]: </v>
      </c>
    </row>
    <row r="873" spans="7:16" x14ac:dyDescent="0.25">
      <c r="G873" t="s">
        <v>894</v>
      </c>
      <c r="H873">
        <v>873</v>
      </c>
      <c r="I873">
        <v>873</v>
      </c>
      <c r="N873" t="s">
        <v>895</v>
      </c>
      <c r="O873">
        <v>873</v>
      </c>
      <c r="P873" t="str">
        <f t="shared" si="13"/>
        <v xml:space="preserve">[^ftn873]: </v>
      </c>
    </row>
    <row r="874" spans="7:16" x14ac:dyDescent="0.25">
      <c r="G874" t="s">
        <v>894</v>
      </c>
      <c r="H874">
        <v>874</v>
      </c>
      <c r="I874">
        <v>874</v>
      </c>
      <c r="N874" t="s">
        <v>895</v>
      </c>
      <c r="O874">
        <v>874</v>
      </c>
      <c r="P874" t="str">
        <f t="shared" si="13"/>
        <v xml:space="preserve">[^ftn874]: </v>
      </c>
    </row>
    <row r="875" spans="7:16" x14ac:dyDescent="0.25">
      <c r="G875" t="s">
        <v>894</v>
      </c>
      <c r="H875">
        <v>875</v>
      </c>
      <c r="I875">
        <v>875</v>
      </c>
      <c r="N875" t="s">
        <v>895</v>
      </c>
      <c r="O875">
        <v>875</v>
      </c>
      <c r="P875" t="str">
        <f t="shared" si="13"/>
        <v xml:space="preserve">[^ftn875]: </v>
      </c>
    </row>
    <row r="876" spans="7:16" x14ac:dyDescent="0.25">
      <c r="G876" t="s">
        <v>894</v>
      </c>
      <c r="H876">
        <v>876</v>
      </c>
      <c r="I876">
        <v>876</v>
      </c>
      <c r="N876" t="s">
        <v>895</v>
      </c>
      <c r="O876">
        <v>876</v>
      </c>
      <c r="P876" t="str">
        <f t="shared" si="13"/>
        <v xml:space="preserve">[^ftn876]: </v>
      </c>
    </row>
    <row r="877" spans="7:16" x14ac:dyDescent="0.25">
      <c r="G877" t="s">
        <v>894</v>
      </c>
      <c r="H877">
        <v>877</v>
      </c>
      <c r="I877">
        <v>877</v>
      </c>
      <c r="N877" t="s">
        <v>895</v>
      </c>
      <c r="O877">
        <v>877</v>
      </c>
      <c r="P877" t="str">
        <f t="shared" si="13"/>
        <v xml:space="preserve">[^ftn877]: </v>
      </c>
    </row>
    <row r="878" spans="7:16" x14ac:dyDescent="0.25">
      <c r="G878" t="s">
        <v>894</v>
      </c>
      <c r="H878">
        <v>878</v>
      </c>
      <c r="I878">
        <v>878</v>
      </c>
      <c r="N878" t="s">
        <v>895</v>
      </c>
      <c r="O878">
        <v>878</v>
      </c>
      <c r="P878" t="str">
        <f t="shared" si="13"/>
        <v xml:space="preserve">[^ftn878]: </v>
      </c>
    </row>
    <row r="879" spans="7:16" x14ac:dyDescent="0.25">
      <c r="G879" t="s">
        <v>894</v>
      </c>
      <c r="H879">
        <v>879</v>
      </c>
      <c r="I879">
        <v>879</v>
      </c>
      <c r="N879" t="s">
        <v>895</v>
      </c>
      <c r="O879">
        <v>879</v>
      </c>
      <c r="P879" t="str">
        <f t="shared" si="13"/>
        <v xml:space="preserve">[^ftn879]: </v>
      </c>
    </row>
    <row r="880" spans="7:16" x14ac:dyDescent="0.25">
      <c r="G880" t="s">
        <v>894</v>
      </c>
      <c r="H880">
        <v>880</v>
      </c>
      <c r="I880">
        <v>880</v>
      </c>
      <c r="N880" t="s">
        <v>895</v>
      </c>
      <c r="O880">
        <v>880</v>
      </c>
      <c r="P880" t="str">
        <f t="shared" si="13"/>
        <v xml:space="preserve">[^ftn880]: </v>
      </c>
    </row>
    <row r="881" spans="7:16" x14ac:dyDescent="0.25">
      <c r="G881" t="s">
        <v>894</v>
      </c>
      <c r="H881">
        <v>881</v>
      </c>
      <c r="I881">
        <v>881</v>
      </c>
      <c r="N881" t="s">
        <v>895</v>
      </c>
      <c r="O881">
        <v>881</v>
      </c>
      <c r="P881" t="str">
        <f t="shared" si="13"/>
        <v xml:space="preserve">[^ftn881]: </v>
      </c>
    </row>
    <row r="882" spans="7:16" x14ac:dyDescent="0.25">
      <c r="G882" t="s">
        <v>894</v>
      </c>
      <c r="H882">
        <v>882</v>
      </c>
      <c r="I882">
        <v>882</v>
      </c>
      <c r="N882" t="s">
        <v>895</v>
      </c>
      <c r="O882">
        <v>882</v>
      </c>
      <c r="P882" t="str">
        <f t="shared" si="13"/>
        <v xml:space="preserve">[^ftn882]: </v>
      </c>
    </row>
    <row r="883" spans="7:16" x14ac:dyDescent="0.25">
      <c r="G883" t="s">
        <v>894</v>
      </c>
      <c r="H883">
        <v>883</v>
      </c>
      <c r="I883">
        <v>883</v>
      </c>
      <c r="N883" t="s">
        <v>895</v>
      </c>
      <c r="O883">
        <v>883</v>
      </c>
      <c r="P883" t="str">
        <f t="shared" si="13"/>
        <v xml:space="preserve">[^ftn883]: </v>
      </c>
    </row>
    <row r="884" spans="7:16" x14ac:dyDescent="0.25">
      <c r="G884" t="s">
        <v>894</v>
      </c>
      <c r="H884">
        <v>884</v>
      </c>
      <c r="I884">
        <v>884</v>
      </c>
      <c r="N884" t="s">
        <v>895</v>
      </c>
      <c r="O884">
        <v>884</v>
      </c>
      <c r="P884" t="str">
        <f t="shared" si="13"/>
        <v xml:space="preserve">[^ftn884]: </v>
      </c>
    </row>
    <row r="885" spans="7:16" x14ac:dyDescent="0.25">
      <c r="G885" t="s">
        <v>894</v>
      </c>
      <c r="H885">
        <v>885</v>
      </c>
      <c r="I885">
        <v>885</v>
      </c>
      <c r="N885" t="s">
        <v>895</v>
      </c>
      <c r="O885">
        <v>885</v>
      </c>
      <c r="P885" t="str">
        <f t="shared" si="13"/>
        <v xml:space="preserve">[^ftn885]: </v>
      </c>
    </row>
    <row r="886" spans="7:16" x14ac:dyDescent="0.25">
      <c r="G886" t="s">
        <v>894</v>
      </c>
      <c r="H886">
        <v>886</v>
      </c>
      <c r="I886">
        <v>886</v>
      </c>
      <c r="N886" t="s">
        <v>895</v>
      </c>
      <c r="O886">
        <v>886</v>
      </c>
      <c r="P886" t="str">
        <f t="shared" si="13"/>
        <v xml:space="preserve">[^ftn886]: </v>
      </c>
    </row>
    <row r="887" spans="7:16" x14ac:dyDescent="0.25">
      <c r="G887" t="s">
        <v>894</v>
      </c>
      <c r="H887">
        <v>887</v>
      </c>
      <c r="I887">
        <v>887</v>
      </c>
      <c r="N887" t="s">
        <v>895</v>
      </c>
      <c r="O887">
        <v>887</v>
      </c>
      <c r="P887" t="str">
        <f t="shared" si="13"/>
        <v xml:space="preserve">[^ftn887]: </v>
      </c>
    </row>
    <row r="888" spans="7:16" x14ac:dyDescent="0.25">
      <c r="G888" t="s">
        <v>894</v>
      </c>
      <c r="H888">
        <v>888</v>
      </c>
      <c r="I888">
        <v>888</v>
      </c>
      <c r="N888" t="s">
        <v>895</v>
      </c>
      <c r="O888">
        <v>888</v>
      </c>
      <c r="P888" t="str">
        <f t="shared" si="13"/>
        <v xml:space="preserve">[^ftn888]: </v>
      </c>
    </row>
    <row r="889" spans="7:16" x14ac:dyDescent="0.25">
      <c r="G889" t="s">
        <v>894</v>
      </c>
      <c r="H889">
        <v>889</v>
      </c>
      <c r="I889">
        <v>889</v>
      </c>
      <c r="N889" t="s">
        <v>895</v>
      </c>
      <c r="O889">
        <v>889</v>
      </c>
      <c r="P889" t="str">
        <f t="shared" si="13"/>
        <v xml:space="preserve">[^ftn889]: </v>
      </c>
    </row>
    <row r="890" spans="7:16" x14ac:dyDescent="0.25">
      <c r="G890" t="s">
        <v>894</v>
      </c>
      <c r="H890">
        <v>890</v>
      </c>
      <c r="I890">
        <v>890</v>
      </c>
      <c r="N890" t="s">
        <v>895</v>
      </c>
      <c r="O890">
        <v>890</v>
      </c>
      <c r="P890" t="str">
        <f t="shared" si="13"/>
        <v xml:space="preserve">[^ftn890]: </v>
      </c>
    </row>
    <row r="891" spans="7:16" x14ac:dyDescent="0.25">
      <c r="G891" t="s">
        <v>894</v>
      </c>
      <c r="H891">
        <v>891</v>
      </c>
      <c r="I891">
        <v>891</v>
      </c>
      <c r="N891" t="s">
        <v>895</v>
      </c>
      <c r="O891">
        <v>891</v>
      </c>
      <c r="P891" t="str">
        <f t="shared" si="13"/>
        <v xml:space="preserve">[^ftn891]: </v>
      </c>
    </row>
    <row r="892" spans="7:16" x14ac:dyDescent="0.25">
      <c r="G892" t="s">
        <v>894</v>
      </c>
      <c r="H892">
        <v>892</v>
      </c>
      <c r="I892">
        <v>892</v>
      </c>
      <c r="N892" t="s">
        <v>895</v>
      </c>
      <c r="O892">
        <v>892</v>
      </c>
      <c r="P892" t="str">
        <f t="shared" si="13"/>
        <v xml:space="preserve">[^ftn892]: </v>
      </c>
    </row>
    <row r="893" spans="7:16" x14ac:dyDescent="0.25">
      <c r="G893" t="s">
        <v>894</v>
      </c>
      <c r="H893">
        <v>893</v>
      </c>
      <c r="I893">
        <v>893</v>
      </c>
      <c r="N893" t="s">
        <v>895</v>
      </c>
      <c r="O893">
        <v>893</v>
      </c>
      <c r="P893" t="str">
        <f t="shared" si="13"/>
        <v xml:space="preserve">[^ftn893]: </v>
      </c>
    </row>
    <row r="894" spans="7:16" x14ac:dyDescent="0.25">
      <c r="G894" t="s">
        <v>894</v>
      </c>
      <c r="H894">
        <v>894</v>
      </c>
      <c r="I894">
        <v>894</v>
      </c>
      <c r="N894" t="s">
        <v>895</v>
      </c>
      <c r="O894">
        <v>894</v>
      </c>
      <c r="P894" t="str">
        <f t="shared" si="13"/>
        <v xml:space="preserve">[^ftn894]: </v>
      </c>
    </row>
    <row r="895" spans="7:16" x14ac:dyDescent="0.25">
      <c r="G895" t="s">
        <v>894</v>
      </c>
      <c r="H895">
        <v>895</v>
      </c>
      <c r="I895">
        <v>895</v>
      </c>
      <c r="N895" t="s">
        <v>895</v>
      </c>
      <c r="O895">
        <v>895</v>
      </c>
      <c r="P895" t="str">
        <f t="shared" si="13"/>
        <v xml:space="preserve">[^ftn895]: </v>
      </c>
    </row>
    <row r="896" spans="7:16" x14ac:dyDescent="0.25">
      <c r="G896" t="s">
        <v>894</v>
      </c>
      <c r="H896">
        <v>896</v>
      </c>
      <c r="I896">
        <v>896</v>
      </c>
      <c r="N896" t="s">
        <v>895</v>
      </c>
      <c r="O896">
        <v>896</v>
      </c>
      <c r="P896" t="str">
        <f t="shared" si="13"/>
        <v xml:space="preserve">[^ftn896]: </v>
      </c>
    </row>
    <row r="897" spans="7:16" x14ac:dyDescent="0.25">
      <c r="G897" t="s">
        <v>894</v>
      </c>
      <c r="H897">
        <v>897</v>
      </c>
      <c r="I897">
        <v>897</v>
      </c>
      <c r="N897" t="s">
        <v>895</v>
      </c>
      <c r="O897">
        <v>897</v>
      </c>
      <c r="P897" t="str">
        <f t="shared" si="13"/>
        <v xml:space="preserve">[^ftn897]: </v>
      </c>
    </row>
    <row r="898" spans="7:16" x14ac:dyDescent="0.25">
      <c r="G898" t="s">
        <v>894</v>
      </c>
      <c r="H898">
        <v>898</v>
      </c>
      <c r="I898">
        <v>898</v>
      </c>
      <c r="N898" t="s">
        <v>895</v>
      </c>
      <c r="O898">
        <v>898</v>
      </c>
      <c r="P898" t="str">
        <f t="shared" ref="P898:P961" si="14">_xlfn.CONCAT("[^ftn",O898,"]: ",)</f>
        <v xml:space="preserve">[^ftn898]: </v>
      </c>
    </row>
    <row r="899" spans="7:16" x14ac:dyDescent="0.25">
      <c r="G899" t="s">
        <v>894</v>
      </c>
      <c r="H899">
        <v>899</v>
      </c>
      <c r="I899">
        <v>899</v>
      </c>
      <c r="N899" t="s">
        <v>895</v>
      </c>
      <c r="O899">
        <v>899</v>
      </c>
      <c r="P899" t="str">
        <f t="shared" si="14"/>
        <v xml:space="preserve">[^ftn899]: </v>
      </c>
    </row>
    <row r="900" spans="7:16" x14ac:dyDescent="0.25">
      <c r="G900" t="s">
        <v>894</v>
      </c>
      <c r="H900">
        <v>900</v>
      </c>
      <c r="I900">
        <v>900</v>
      </c>
      <c r="N900" t="s">
        <v>895</v>
      </c>
      <c r="O900">
        <v>900</v>
      </c>
      <c r="P900" t="str">
        <f t="shared" si="14"/>
        <v xml:space="preserve">[^ftn900]: </v>
      </c>
    </row>
    <row r="901" spans="7:16" x14ac:dyDescent="0.25">
      <c r="G901" t="s">
        <v>894</v>
      </c>
      <c r="H901">
        <v>901</v>
      </c>
      <c r="I901">
        <v>901</v>
      </c>
      <c r="N901" t="s">
        <v>895</v>
      </c>
      <c r="O901">
        <v>901</v>
      </c>
      <c r="P901" t="str">
        <f t="shared" si="14"/>
        <v xml:space="preserve">[^ftn901]: </v>
      </c>
    </row>
    <row r="902" spans="7:16" x14ac:dyDescent="0.25">
      <c r="G902" t="s">
        <v>894</v>
      </c>
      <c r="H902">
        <v>902</v>
      </c>
      <c r="I902">
        <v>902</v>
      </c>
      <c r="N902" t="s">
        <v>895</v>
      </c>
      <c r="O902">
        <v>902</v>
      </c>
      <c r="P902" t="str">
        <f t="shared" si="14"/>
        <v xml:space="preserve">[^ftn902]: </v>
      </c>
    </row>
    <row r="903" spans="7:16" x14ac:dyDescent="0.25">
      <c r="G903" t="s">
        <v>894</v>
      </c>
      <c r="H903">
        <v>903</v>
      </c>
      <c r="I903">
        <v>903</v>
      </c>
      <c r="N903" t="s">
        <v>895</v>
      </c>
      <c r="O903">
        <v>903</v>
      </c>
      <c r="P903" t="str">
        <f t="shared" si="14"/>
        <v xml:space="preserve">[^ftn903]: </v>
      </c>
    </row>
    <row r="904" spans="7:16" x14ac:dyDescent="0.25">
      <c r="G904" t="s">
        <v>894</v>
      </c>
      <c r="H904">
        <v>904</v>
      </c>
      <c r="I904">
        <v>904</v>
      </c>
      <c r="N904" t="s">
        <v>895</v>
      </c>
      <c r="O904">
        <v>904</v>
      </c>
      <c r="P904" t="str">
        <f t="shared" si="14"/>
        <v xml:space="preserve">[^ftn904]: </v>
      </c>
    </row>
    <row r="905" spans="7:16" x14ac:dyDescent="0.25">
      <c r="G905" t="s">
        <v>894</v>
      </c>
      <c r="H905">
        <v>905</v>
      </c>
      <c r="I905">
        <v>905</v>
      </c>
      <c r="N905" t="s">
        <v>895</v>
      </c>
      <c r="O905">
        <v>905</v>
      </c>
      <c r="P905" t="str">
        <f t="shared" si="14"/>
        <v xml:space="preserve">[^ftn905]: </v>
      </c>
    </row>
    <row r="906" spans="7:16" x14ac:dyDescent="0.25">
      <c r="G906" t="s">
        <v>894</v>
      </c>
      <c r="H906">
        <v>906</v>
      </c>
      <c r="I906">
        <v>906</v>
      </c>
      <c r="N906" t="s">
        <v>895</v>
      </c>
      <c r="O906">
        <v>906</v>
      </c>
      <c r="P906" t="str">
        <f t="shared" si="14"/>
        <v xml:space="preserve">[^ftn906]: </v>
      </c>
    </row>
    <row r="907" spans="7:16" x14ac:dyDescent="0.25">
      <c r="G907" t="s">
        <v>894</v>
      </c>
      <c r="H907">
        <v>907</v>
      </c>
      <c r="I907">
        <v>907</v>
      </c>
      <c r="N907" t="s">
        <v>895</v>
      </c>
      <c r="O907">
        <v>907</v>
      </c>
      <c r="P907" t="str">
        <f t="shared" si="14"/>
        <v xml:space="preserve">[^ftn907]: </v>
      </c>
    </row>
    <row r="908" spans="7:16" x14ac:dyDescent="0.25">
      <c r="G908" t="s">
        <v>894</v>
      </c>
      <c r="H908">
        <v>908</v>
      </c>
      <c r="I908">
        <v>908</v>
      </c>
      <c r="N908" t="s">
        <v>895</v>
      </c>
      <c r="O908">
        <v>908</v>
      </c>
      <c r="P908" t="str">
        <f t="shared" si="14"/>
        <v xml:space="preserve">[^ftn908]: </v>
      </c>
    </row>
    <row r="909" spans="7:16" x14ac:dyDescent="0.25">
      <c r="G909" t="s">
        <v>894</v>
      </c>
      <c r="H909">
        <v>909</v>
      </c>
      <c r="I909">
        <v>909</v>
      </c>
      <c r="N909" t="s">
        <v>895</v>
      </c>
      <c r="O909">
        <v>909</v>
      </c>
      <c r="P909" t="str">
        <f t="shared" si="14"/>
        <v xml:space="preserve">[^ftn909]: </v>
      </c>
    </row>
    <row r="910" spans="7:16" x14ac:dyDescent="0.25">
      <c r="G910" t="s">
        <v>894</v>
      </c>
      <c r="H910">
        <v>910</v>
      </c>
      <c r="I910">
        <v>910</v>
      </c>
      <c r="N910" t="s">
        <v>895</v>
      </c>
      <c r="O910">
        <v>910</v>
      </c>
      <c r="P910" t="str">
        <f t="shared" si="14"/>
        <v xml:space="preserve">[^ftn910]: </v>
      </c>
    </row>
    <row r="911" spans="7:16" x14ac:dyDescent="0.25">
      <c r="G911" t="s">
        <v>894</v>
      </c>
      <c r="H911">
        <v>911</v>
      </c>
      <c r="I911">
        <v>911</v>
      </c>
      <c r="N911" t="s">
        <v>895</v>
      </c>
      <c r="O911">
        <v>911</v>
      </c>
      <c r="P911" t="str">
        <f t="shared" si="14"/>
        <v xml:space="preserve">[^ftn911]: </v>
      </c>
    </row>
    <row r="912" spans="7:16" x14ac:dyDescent="0.25">
      <c r="G912" t="s">
        <v>894</v>
      </c>
      <c r="H912">
        <v>912</v>
      </c>
      <c r="I912">
        <v>912</v>
      </c>
      <c r="N912" t="s">
        <v>895</v>
      </c>
      <c r="O912">
        <v>912</v>
      </c>
      <c r="P912" t="str">
        <f t="shared" si="14"/>
        <v xml:space="preserve">[^ftn912]: </v>
      </c>
    </row>
    <row r="913" spans="7:16" x14ac:dyDescent="0.25">
      <c r="G913" t="s">
        <v>894</v>
      </c>
      <c r="H913">
        <v>913</v>
      </c>
      <c r="I913">
        <v>913</v>
      </c>
      <c r="N913" t="s">
        <v>895</v>
      </c>
      <c r="O913">
        <v>913</v>
      </c>
      <c r="P913" t="str">
        <f t="shared" si="14"/>
        <v xml:space="preserve">[^ftn913]: </v>
      </c>
    </row>
    <row r="914" spans="7:16" x14ac:dyDescent="0.25">
      <c r="G914" t="s">
        <v>894</v>
      </c>
      <c r="H914">
        <v>914</v>
      </c>
      <c r="I914">
        <v>914</v>
      </c>
      <c r="N914" t="s">
        <v>895</v>
      </c>
      <c r="O914">
        <v>914</v>
      </c>
      <c r="P914" t="str">
        <f t="shared" si="14"/>
        <v xml:space="preserve">[^ftn914]: </v>
      </c>
    </row>
    <row r="915" spans="7:16" x14ac:dyDescent="0.25">
      <c r="G915" t="s">
        <v>894</v>
      </c>
      <c r="H915">
        <v>915</v>
      </c>
      <c r="I915">
        <v>915</v>
      </c>
      <c r="N915" t="s">
        <v>895</v>
      </c>
      <c r="O915">
        <v>915</v>
      </c>
      <c r="P915" t="str">
        <f t="shared" si="14"/>
        <v xml:space="preserve">[^ftn915]: </v>
      </c>
    </row>
    <row r="916" spans="7:16" x14ac:dyDescent="0.25">
      <c r="G916" t="s">
        <v>894</v>
      </c>
      <c r="H916">
        <v>916</v>
      </c>
      <c r="I916">
        <v>916</v>
      </c>
      <c r="N916" t="s">
        <v>895</v>
      </c>
      <c r="O916">
        <v>916</v>
      </c>
      <c r="P916" t="str">
        <f t="shared" si="14"/>
        <v xml:space="preserve">[^ftn916]: </v>
      </c>
    </row>
    <row r="917" spans="7:16" x14ac:dyDescent="0.25">
      <c r="G917" t="s">
        <v>894</v>
      </c>
      <c r="H917">
        <v>917</v>
      </c>
      <c r="I917">
        <v>917</v>
      </c>
      <c r="N917" t="s">
        <v>895</v>
      </c>
      <c r="O917">
        <v>917</v>
      </c>
      <c r="P917" t="str">
        <f t="shared" si="14"/>
        <v xml:space="preserve">[^ftn917]: </v>
      </c>
    </row>
    <row r="918" spans="7:16" x14ac:dyDescent="0.25">
      <c r="G918" t="s">
        <v>894</v>
      </c>
      <c r="H918">
        <v>918</v>
      </c>
      <c r="I918">
        <v>918</v>
      </c>
      <c r="N918" t="s">
        <v>895</v>
      </c>
      <c r="O918">
        <v>918</v>
      </c>
      <c r="P918" t="str">
        <f t="shared" si="14"/>
        <v xml:space="preserve">[^ftn918]: </v>
      </c>
    </row>
    <row r="919" spans="7:16" x14ac:dyDescent="0.25">
      <c r="G919" t="s">
        <v>894</v>
      </c>
      <c r="H919">
        <v>919</v>
      </c>
      <c r="I919">
        <v>919</v>
      </c>
      <c r="N919" t="s">
        <v>895</v>
      </c>
      <c r="O919">
        <v>919</v>
      </c>
      <c r="P919" t="str">
        <f t="shared" si="14"/>
        <v xml:space="preserve">[^ftn919]: </v>
      </c>
    </row>
    <row r="920" spans="7:16" x14ac:dyDescent="0.25">
      <c r="G920" t="s">
        <v>894</v>
      </c>
      <c r="H920">
        <v>920</v>
      </c>
      <c r="I920">
        <v>920</v>
      </c>
      <c r="N920" t="s">
        <v>895</v>
      </c>
      <c r="O920">
        <v>920</v>
      </c>
      <c r="P920" t="str">
        <f t="shared" si="14"/>
        <v xml:space="preserve">[^ftn920]: </v>
      </c>
    </row>
    <row r="921" spans="7:16" x14ac:dyDescent="0.25">
      <c r="G921" t="s">
        <v>894</v>
      </c>
      <c r="H921">
        <v>921</v>
      </c>
      <c r="I921">
        <v>921</v>
      </c>
      <c r="N921" t="s">
        <v>895</v>
      </c>
      <c r="O921">
        <v>921</v>
      </c>
      <c r="P921" t="str">
        <f t="shared" si="14"/>
        <v xml:space="preserve">[^ftn921]: </v>
      </c>
    </row>
    <row r="922" spans="7:16" x14ac:dyDescent="0.25">
      <c r="G922" t="s">
        <v>894</v>
      </c>
      <c r="H922">
        <v>922</v>
      </c>
      <c r="I922">
        <v>922</v>
      </c>
      <c r="N922" t="s">
        <v>895</v>
      </c>
      <c r="O922">
        <v>922</v>
      </c>
      <c r="P922" t="str">
        <f t="shared" si="14"/>
        <v xml:space="preserve">[^ftn922]: </v>
      </c>
    </row>
    <row r="923" spans="7:16" x14ac:dyDescent="0.25">
      <c r="G923" t="s">
        <v>894</v>
      </c>
      <c r="H923">
        <v>923</v>
      </c>
      <c r="I923">
        <v>923</v>
      </c>
      <c r="N923" t="s">
        <v>895</v>
      </c>
      <c r="O923">
        <v>923</v>
      </c>
      <c r="P923" t="str">
        <f t="shared" si="14"/>
        <v xml:space="preserve">[^ftn923]: </v>
      </c>
    </row>
    <row r="924" spans="7:16" x14ac:dyDescent="0.25">
      <c r="G924" t="s">
        <v>894</v>
      </c>
      <c r="H924">
        <v>924</v>
      </c>
      <c r="I924">
        <v>924</v>
      </c>
      <c r="N924" t="s">
        <v>895</v>
      </c>
      <c r="O924">
        <v>924</v>
      </c>
      <c r="P924" t="str">
        <f t="shared" si="14"/>
        <v xml:space="preserve">[^ftn924]: </v>
      </c>
    </row>
    <row r="925" spans="7:16" x14ac:dyDescent="0.25">
      <c r="G925" t="s">
        <v>894</v>
      </c>
      <c r="H925">
        <v>925</v>
      </c>
      <c r="I925">
        <v>925</v>
      </c>
      <c r="N925" t="s">
        <v>895</v>
      </c>
      <c r="O925">
        <v>925</v>
      </c>
      <c r="P925" t="str">
        <f t="shared" si="14"/>
        <v xml:space="preserve">[^ftn925]: </v>
      </c>
    </row>
    <row r="926" spans="7:16" x14ac:dyDescent="0.25">
      <c r="G926" t="s">
        <v>894</v>
      </c>
      <c r="H926">
        <v>926</v>
      </c>
      <c r="I926">
        <v>926</v>
      </c>
      <c r="N926" t="s">
        <v>895</v>
      </c>
      <c r="O926">
        <v>926</v>
      </c>
      <c r="P926" t="str">
        <f t="shared" si="14"/>
        <v xml:space="preserve">[^ftn926]: </v>
      </c>
    </row>
    <row r="927" spans="7:16" x14ac:dyDescent="0.25">
      <c r="G927" t="s">
        <v>894</v>
      </c>
      <c r="H927">
        <v>927</v>
      </c>
      <c r="I927">
        <v>927</v>
      </c>
      <c r="N927" t="s">
        <v>895</v>
      </c>
      <c r="O927">
        <v>927</v>
      </c>
      <c r="P927" t="str">
        <f t="shared" si="14"/>
        <v xml:space="preserve">[^ftn927]: </v>
      </c>
    </row>
    <row r="928" spans="7:16" x14ac:dyDescent="0.25">
      <c r="G928" t="s">
        <v>894</v>
      </c>
      <c r="H928">
        <v>928</v>
      </c>
      <c r="I928">
        <v>928</v>
      </c>
      <c r="N928" t="s">
        <v>895</v>
      </c>
      <c r="O928">
        <v>928</v>
      </c>
      <c r="P928" t="str">
        <f t="shared" si="14"/>
        <v xml:space="preserve">[^ftn928]: </v>
      </c>
    </row>
    <row r="929" spans="7:16" x14ac:dyDescent="0.25">
      <c r="G929" t="s">
        <v>894</v>
      </c>
      <c r="H929">
        <v>929</v>
      </c>
      <c r="I929">
        <v>929</v>
      </c>
      <c r="N929" t="s">
        <v>895</v>
      </c>
      <c r="O929">
        <v>929</v>
      </c>
      <c r="P929" t="str">
        <f t="shared" si="14"/>
        <v xml:space="preserve">[^ftn929]: </v>
      </c>
    </row>
    <row r="930" spans="7:16" x14ac:dyDescent="0.25">
      <c r="G930" t="s">
        <v>894</v>
      </c>
      <c r="H930">
        <v>930</v>
      </c>
      <c r="I930">
        <v>930</v>
      </c>
      <c r="N930" t="s">
        <v>895</v>
      </c>
      <c r="O930">
        <v>930</v>
      </c>
      <c r="P930" t="str">
        <f t="shared" si="14"/>
        <v xml:space="preserve">[^ftn930]: </v>
      </c>
    </row>
    <row r="931" spans="7:16" x14ac:dyDescent="0.25">
      <c r="G931" t="s">
        <v>894</v>
      </c>
      <c r="H931">
        <v>931</v>
      </c>
      <c r="I931">
        <v>931</v>
      </c>
      <c r="N931" t="s">
        <v>895</v>
      </c>
      <c r="O931">
        <v>931</v>
      </c>
      <c r="P931" t="str">
        <f t="shared" si="14"/>
        <v xml:space="preserve">[^ftn931]: </v>
      </c>
    </row>
    <row r="932" spans="7:16" x14ac:dyDescent="0.25">
      <c r="G932" t="s">
        <v>894</v>
      </c>
      <c r="H932">
        <v>932</v>
      </c>
      <c r="I932">
        <v>932</v>
      </c>
      <c r="N932" t="s">
        <v>895</v>
      </c>
      <c r="O932">
        <v>932</v>
      </c>
      <c r="P932" t="str">
        <f t="shared" si="14"/>
        <v xml:space="preserve">[^ftn932]: </v>
      </c>
    </row>
    <row r="933" spans="7:16" x14ac:dyDescent="0.25">
      <c r="G933" t="s">
        <v>894</v>
      </c>
      <c r="H933">
        <v>933</v>
      </c>
      <c r="I933">
        <v>933</v>
      </c>
      <c r="N933" t="s">
        <v>895</v>
      </c>
      <c r="O933">
        <v>933</v>
      </c>
      <c r="P933" t="str">
        <f t="shared" si="14"/>
        <v xml:space="preserve">[^ftn933]: </v>
      </c>
    </row>
    <row r="934" spans="7:16" x14ac:dyDescent="0.25">
      <c r="G934" t="s">
        <v>894</v>
      </c>
      <c r="H934">
        <v>934</v>
      </c>
      <c r="I934">
        <v>934</v>
      </c>
      <c r="N934" t="s">
        <v>895</v>
      </c>
      <c r="O934">
        <v>934</v>
      </c>
      <c r="P934" t="str">
        <f t="shared" si="14"/>
        <v xml:space="preserve">[^ftn934]: </v>
      </c>
    </row>
    <row r="935" spans="7:16" x14ac:dyDescent="0.25">
      <c r="G935" t="s">
        <v>894</v>
      </c>
      <c r="H935">
        <v>935</v>
      </c>
      <c r="I935">
        <v>935</v>
      </c>
      <c r="N935" t="s">
        <v>895</v>
      </c>
      <c r="O935">
        <v>935</v>
      </c>
      <c r="P935" t="str">
        <f t="shared" si="14"/>
        <v xml:space="preserve">[^ftn935]: </v>
      </c>
    </row>
    <row r="936" spans="7:16" x14ac:dyDescent="0.25">
      <c r="G936" t="s">
        <v>894</v>
      </c>
      <c r="H936">
        <v>936</v>
      </c>
      <c r="I936">
        <v>936</v>
      </c>
      <c r="N936" t="s">
        <v>895</v>
      </c>
      <c r="O936">
        <v>936</v>
      </c>
      <c r="P936" t="str">
        <f t="shared" si="14"/>
        <v xml:space="preserve">[^ftn936]: </v>
      </c>
    </row>
    <row r="937" spans="7:16" x14ac:dyDescent="0.25">
      <c r="G937" t="s">
        <v>894</v>
      </c>
      <c r="H937">
        <v>937</v>
      </c>
      <c r="I937">
        <v>937</v>
      </c>
      <c r="N937" t="s">
        <v>895</v>
      </c>
      <c r="O937">
        <v>937</v>
      </c>
      <c r="P937" t="str">
        <f t="shared" si="14"/>
        <v xml:space="preserve">[^ftn937]: </v>
      </c>
    </row>
    <row r="938" spans="7:16" x14ac:dyDescent="0.25">
      <c r="G938" t="s">
        <v>894</v>
      </c>
      <c r="H938">
        <v>938</v>
      </c>
      <c r="I938">
        <v>938</v>
      </c>
      <c r="N938" t="s">
        <v>895</v>
      </c>
      <c r="O938">
        <v>938</v>
      </c>
      <c r="P938" t="str">
        <f t="shared" si="14"/>
        <v xml:space="preserve">[^ftn938]: </v>
      </c>
    </row>
    <row r="939" spans="7:16" x14ac:dyDescent="0.25">
      <c r="G939" t="s">
        <v>894</v>
      </c>
      <c r="H939">
        <v>939</v>
      </c>
      <c r="I939">
        <v>939</v>
      </c>
      <c r="N939" t="s">
        <v>895</v>
      </c>
      <c r="O939">
        <v>939</v>
      </c>
      <c r="P939" t="str">
        <f t="shared" si="14"/>
        <v xml:space="preserve">[^ftn939]: </v>
      </c>
    </row>
    <row r="940" spans="7:16" x14ac:dyDescent="0.25">
      <c r="G940" t="s">
        <v>894</v>
      </c>
      <c r="H940">
        <v>940</v>
      </c>
      <c r="I940">
        <v>940</v>
      </c>
      <c r="N940" t="s">
        <v>895</v>
      </c>
      <c r="O940">
        <v>940</v>
      </c>
      <c r="P940" t="str">
        <f t="shared" si="14"/>
        <v xml:space="preserve">[^ftn940]: </v>
      </c>
    </row>
    <row r="941" spans="7:16" x14ac:dyDescent="0.25">
      <c r="G941" t="s">
        <v>894</v>
      </c>
      <c r="H941">
        <v>941</v>
      </c>
      <c r="I941">
        <v>941</v>
      </c>
      <c r="N941" t="s">
        <v>895</v>
      </c>
      <c r="O941">
        <v>941</v>
      </c>
      <c r="P941" t="str">
        <f t="shared" si="14"/>
        <v xml:space="preserve">[^ftn941]: </v>
      </c>
    </row>
    <row r="942" spans="7:16" x14ac:dyDescent="0.25">
      <c r="G942" t="s">
        <v>894</v>
      </c>
      <c r="H942">
        <v>942</v>
      </c>
      <c r="I942">
        <v>942</v>
      </c>
      <c r="N942" t="s">
        <v>895</v>
      </c>
      <c r="O942">
        <v>942</v>
      </c>
      <c r="P942" t="str">
        <f t="shared" si="14"/>
        <v xml:space="preserve">[^ftn942]: </v>
      </c>
    </row>
    <row r="943" spans="7:16" x14ac:dyDescent="0.25">
      <c r="G943" t="s">
        <v>894</v>
      </c>
      <c r="H943">
        <v>943</v>
      </c>
      <c r="I943">
        <v>943</v>
      </c>
      <c r="N943" t="s">
        <v>895</v>
      </c>
      <c r="O943">
        <v>943</v>
      </c>
      <c r="P943" t="str">
        <f t="shared" si="14"/>
        <v xml:space="preserve">[^ftn943]: </v>
      </c>
    </row>
    <row r="944" spans="7:16" x14ac:dyDescent="0.25">
      <c r="G944" t="s">
        <v>894</v>
      </c>
      <c r="H944">
        <v>944</v>
      </c>
      <c r="I944">
        <v>944</v>
      </c>
      <c r="N944" t="s">
        <v>895</v>
      </c>
      <c r="O944">
        <v>944</v>
      </c>
      <c r="P944" t="str">
        <f t="shared" si="14"/>
        <v xml:space="preserve">[^ftn944]: </v>
      </c>
    </row>
    <row r="945" spans="7:16" x14ac:dyDescent="0.25">
      <c r="G945" t="s">
        <v>894</v>
      </c>
      <c r="H945">
        <v>945</v>
      </c>
      <c r="I945">
        <v>945</v>
      </c>
      <c r="N945" t="s">
        <v>895</v>
      </c>
      <c r="O945">
        <v>945</v>
      </c>
      <c r="P945" t="str">
        <f t="shared" si="14"/>
        <v xml:space="preserve">[^ftn945]: </v>
      </c>
    </row>
    <row r="946" spans="7:16" x14ac:dyDescent="0.25">
      <c r="G946" t="s">
        <v>894</v>
      </c>
      <c r="H946">
        <v>946</v>
      </c>
      <c r="I946">
        <v>946</v>
      </c>
      <c r="N946" t="s">
        <v>895</v>
      </c>
      <c r="O946">
        <v>946</v>
      </c>
      <c r="P946" t="str">
        <f t="shared" si="14"/>
        <v xml:space="preserve">[^ftn946]: </v>
      </c>
    </row>
    <row r="947" spans="7:16" x14ac:dyDescent="0.25">
      <c r="G947" t="s">
        <v>894</v>
      </c>
      <c r="H947">
        <v>947</v>
      </c>
      <c r="I947">
        <v>947</v>
      </c>
      <c r="N947" t="s">
        <v>895</v>
      </c>
      <c r="O947">
        <v>947</v>
      </c>
      <c r="P947" t="str">
        <f t="shared" si="14"/>
        <v xml:space="preserve">[^ftn947]: </v>
      </c>
    </row>
    <row r="948" spans="7:16" x14ac:dyDescent="0.25">
      <c r="G948" t="s">
        <v>894</v>
      </c>
      <c r="H948">
        <v>948</v>
      </c>
      <c r="I948">
        <v>948</v>
      </c>
      <c r="N948" t="s">
        <v>895</v>
      </c>
      <c r="O948">
        <v>948</v>
      </c>
      <c r="P948" t="str">
        <f t="shared" si="14"/>
        <v xml:space="preserve">[^ftn948]: </v>
      </c>
    </row>
    <row r="949" spans="7:16" x14ac:dyDescent="0.25">
      <c r="G949" t="s">
        <v>894</v>
      </c>
      <c r="H949">
        <v>949</v>
      </c>
      <c r="I949">
        <v>949</v>
      </c>
      <c r="N949" t="s">
        <v>895</v>
      </c>
      <c r="O949">
        <v>949</v>
      </c>
      <c r="P949" t="str">
        <f t="shared" si="14"/>
        <v xml:space="preserve">[^ftn949]: </v>
      </c>
    </row>
    <row r="950" spans="7:16" x14ac:dyDescent="0.25">
      <c r="G950" t="s">
        <v>894</v>
      </c>
      <c r="H950">
        <v>950</v>
      </c>
      <c r="I950">
        <v>950</v>
      </c>
      <c r="N950" t="s">
        <v>895</v>
      </c>
      <c r="O950">
        <v>950</v>
      </c>
      <c r="P950" t="str">
        <f t="shared" si="14"/>
        <v xml:space="preserve">[^ftn950]: </v>
      </c>
    </row>
    <row r="951" spans="7:16" x14ac:dyDescent="0.25">
      <c r="G951" t="s">
        <v>894</v>
      </c>
      <c r="H951">
        <v>951</v>
      </c>
      <c r="I951">
        <v>951</v>
      </c>
      <c r="N951" t="s">
        <v>895</v>
      </c>
      <c r="O951">
        <v>951</v>
      </c>
      <c r="P951" t="str">
        <f t="shared" si="14"/>
        <v xml:space="preserve">[^ftn951]: </v>
      </c>
    </row>
    <row r="952" spans="7:16" x14ac:dyDescent="0.25">
      <c r="G952" t="s">
        <v>894</v>
      </c>
      <c r="H952">
        <v>952</v>
      </c>
      <c r="I952">
        <v>952</v>
      </c>
      <c r="N952" t="s">
        <v>895</v>
      </c>
      <c r="O952">
        <v>952</v>
      </c>
      <c r="P952" t="str">
        <f t="shared" si="14"/>
        <v xml:space="preserve">[^ftn952]: </v>
      </c>
    </row>
    <row r="953" spans="7:16" x14ac:dyDescent="0.25">
      <c r="G953" t="s">
        <v>894</v>
      </c>
      <c r="H953">
        <v>953</v>
      </c>
      <c r="I953">
        <v>953</v>
      </c>
      <c r="N953" t="s">
        <v>895</v>
      </c>
      <c r="O953">
        <v>953</v>
      </c>
      <c r="P953" t="str">
        <f t="shared" si="14"/>
        <v xml:space="preserve">[^ftn953]: </v>
      </c>
    </row>
    <row r="954" spans="7:16" x14ac:dyDescent="0.25">
      <c r="G954" t="s">
        <v>894</v>
      </c>
      <c r="H954">
        <v>954</v>
      </c>
      <c r="I954">
        <v>954</v>
      </c>
      <c r="N954" t="s">
        <v>895</v>
      </c>
      <c r="O954">
        <v>954</v>
      </c>
      <c r="P954" t="str">
        <f t="shared" si="14"/>
        <v xml:space="preserve">[^ftn954]: </v>
      </c>
    </row>
    <row r="955" spans="7:16" x14ac:dyDescent="0.25">
      <c r="G955" t="s">
        <v>894</v>
      </c>
      <c r="H955">
        <v>955</v>
      </c>
      <c r="I955">
        <v>955</v>
      </c>
      <c r="N955" t="s">
        <v>895</v>
      </c>
      <c r="O955">
        <v>955</v>
      </c>
      <c r="P955" t="str">
        <f t="shared" si="14"/>
        <v xml:space="preserve">[^ftn955]: </v>
      </c>
    </row>
    <row r="956" spans="7:16" x14ac:dyDescent="0.25">
      <c r="G956" t="s">
        <v>894</v>
      </c>
      <c r="H956">
        <v>956</v>
      </c>
      <c r="I956">
        <v>956</v>
      </c>
      <c r="N956" t="s">
        <v>895</v>
      </c>
      <c r="O956">
        <v>956</v>
      </c>
      <c r="P956" t="str">
        <f t="shared" si="14"/>
        <v xml:space="preserve">[^ftn956]: </v>
      </c>
    </row>
    <row r="957" spans="7:16" x14ac:dyDescent="0.25">
      <c r="G957" t="s">
        <v>894</v>
      </c>
      <c r="H957">
        <v>957</v>
      </c>
      <c r="I957">
        <v>957</v>
      </c>
      <c r="N957" t="s">
        <v>895</v>
      </c>
      <c r="O957">
        <v>957</v>
      </c>
      <c r="P957" t="str">
        <f t="shared" si="14"/>
        <v xml:space="preserve">[^ftn957]: </v>
      </c>
    </row>
    <row r="958" spans="7:16" x14ac:dyDescent="0.25">
      <c r="G958" t="s">
        <v>894</v>
      </c>
      <c r="H958">
        <v>958</v>
      </c>
      <c r="I958">
        <v>958</v>
      </c>
      <c r="N958" t="s">
        <v>895</v>
      </c>
      <c r="O958">
        <v>958</v>
      </c>
      <c r="P958" t="str">
        <f t="shared" si="14"/>
        <v xml:space="preserve">[^ftn958]: </v>
      </c>
    </row>
    <row r="959" spans="7:16" x14ac:dyDescent="0.25">
      <c r="G959" t="s">
        <v>894</v>
      </c>
      <c r="H959">
        <v>959</v>
      </c>
      <c r="I959">
        <v>959</v>
      </c>
      <c r="N959" t="s">
        <v>895</v>
      </c>
      <c r="O959">
        <v>959</v>
      </c>
      <c r="P959" t="str">
        <f t="shared" si="14"/>
        <v xml:space="preserve">[^ftn959]: </v>
      </c>
    </row>
    <row r="960" spans="7:16" x14ac:dyDescent="0.25">
      <c r="G960" t="s">
        <v>894</v>
      </c>
      <c r="H960">
        <v>960</v>
      </c>
      <c r="I960">
        <v>960</v>
      </c>
      <c r="N960" t="s">
        <v>895</v>
      </c>
      <c r="O960">
        <v>960</v>
      </c>
      <c r="P960" t="str">
        <f t="shared" si="14"/>
        <v xml:space="preserve">[^ftn960]: </v>
      </c>
    </row>
    <row r="961" spans="7:16" x14ac:dyDescent="0.25">
      <c r="G961" t="s">
        <v>894</v>
      </c>
      <c r="H961">
        <v>961</v>
      </c>
      <c r="I961">
        <v>961</v>
      </c>
      <c r="N961" t="s">
        <v>895</v>
      </c>
      <c r="O961">
        <v>961</v>
      </c>
      <c r="P961" t="str">
        <f t="shared" si="14"/>
        <v xml:space="preserve">[^ftn961]: </v>
      </c>
    </row>
    <row r="962" spans="7:16" x14ac:dyDescent="0.25">
      <c r="G962" t="s">
        <v>894</v>
      </c>
      <c r="H962">
        <v>962</v>
      </c>
      <c r="I962">
        <v>962</v>
      </c>
      <c r="N962" t="s">
        <v>895</v>
      </c>
      <c r="O962">
        <v>962</v>
      </c>
      <c r="P962" t="str">
        <f t="shared" ref="P962:P1025" si="15">_xlfn.CONCAT("[^ftn",O962,"]: ",)</f>
        <v xml:space="preserve">[^ftn962]: </v>
      </c>
    </row>
    <row r="963" spans="7:16" x14ac:dyDescent="0.25">
      <c r="G963" t="s">
        <v>894</v>
      </c>
      <c r="H963">
        <v>963</v>
      </c>
      <c r="I963">
        <v>963</v>
      </c>
      <c r="N963" t="s">
        <v>895</v>
      </c>
      <c r="O963">
        <v>963</v>
      </c>
      <c r="P963" t="str">
        <f t="shared" si="15"/>
        <v xml:space="preserve">[^ftn963]: </v>
      </c>
    </row>
    <row r="964" spans="7:16" x14ac:dyDescent="0.25">
      <c r="G964" t="s">
        <v>894</v>
      </c>
      <c r="H964">
        <v>964</v>
      </c>
      <c r="I964">
        <v>964</v>
      </c>
      <c r="N964" t="s">
        <v>895</v>
      </c>
      <c r="O964">
        <v>964</v>
      </c>
      <c r="P964" t="str">
        <f t="shared" si="15"/>
        <v xml:space="preserve">[^ftn964]: </v>
      </c>
    </row>
    <row r="965" spans="7:16" x14ac:dyDescent="0.25">
      <c r="G965" t="s">
        <v>894</v>
      </c>
      <c r="H965">
        <v>965</v>
      </c>
      <c r="I965">
        <v>965</v>
      </c>
      <c r="N965" t="s">
        <v>895</v>
      </c>
      <c r="O965">
        <v>965</v>
      </c>
      <c r="P965" t="str">
        <f t="shared" si="15"/>
        <v xml:space="preserve">[^ftn965]: </v>
      </c>
    </row>
    <row r="966" spans="7:16" x14ac:dyDescent="0.25">
      <c r="G966" t="s">
        <v>894</v>
      </c>
      <c r="H966">
        <v>966</v>
      </c>
      <c r="I966">
        <v>966</v>
      </c>
      <c r="N966" t="s">
        <v>895</v>
      </c>
      <c r="O966">
        <v>966</v>
      </c>
      <c r="P966" t="str">
        <f t="shared" si="15"/>
        <v xml:space="preserve">[^ftn966]: </v>
      </c>
    </row>
    <row r="967" spans="7:16" x14ac:dyDescent="0.25">
      <c r="G967" t="s">
        <v>894</v>
      </c>
      <c r="H967">
        <v>967</v>
      </c>
      <c r="I967">
        <v>967</v>
      </c>
      <c r="N967" t="s">
        <v>895</v>
      </c>
      <c r="O967">
        <v>967</v>
      </c>
      <c r="P967" t="str">
        <f t="shared" si="15"/>
        <v xml:space="preserve">[^ftn967]: </v>
      </c>
    </row>
    <row r="968" spans="7:16" x14ac:dyDescent="0.25">
      <c r="G968" t="s">
        <v>894</v>
      </c>
      <c r="H968">
        <v>968</v>
      </c>
      <c r="I968">
        <v>968</v>
      </c>
      <c r="N968" t="s">
        <v>895</v>
      </c>
      <c r="O968">
        <v>968</v>
      </c>
      <c r="P968" t="str">
        <f t="shared" si="15"/>
        <v xml:space="preserve">[^ftn968]: </v>
      </c>
    </row>
    <row r="969" spans="7:16" x14ac:dyDescent="0.25">
      <c r="G969" t="s">
        <v>894</v>
      </c>
      <c r="H969">
        <v>969</v>
      </c>
      <c r="I969">
        <v>969</v>
      </c>
      <c r="N969" t="s">
        <v>895</v>
      </c>
      <c r="O969">
        <v>969</v>
      </c>
      <c r="P969" t="str">
        <f t="shared" si="15"/>
        <v xml:space="preserve">[^ftn969]: </v>
      </c>
    </row>
    <row r="970" spans="7:16" x14ac:dyDescent="0.25">
      <c r="G970" t="s">
        <v>894</v>
      </c>
      <c r="H970">
        <v>970</v>
      </c>
      <c r="I970">
        <v>970</v>
      </c>
      <c r="N970" t="s">
        <v>895</v>
      </c>
      <c r="O970">
        <v>970</v>
      </c>
      <c r="P970" t="str">
        <f t="shared" si="15"/>
        <v xml:space="preserve">[^ftn970]: </v>
      </c>
    </row>
    <row r="971" spans="7:16" x14ac:dyDescent="0.25">
      <c r="G971" t="s">
        <v>894</v>
      </c>
      <c r="H971">
        <v>971</v>
      </c>
      <c r="I971">
        <v>971</v>
      </c>
      <c r="N971" t="s">
        <v>895</v>
      </c>
      <c r="O971">
        <v>971</v>
      </c>
      <c r="P971" t="str">
        <f t="shared" si="15"/>
        <v xml:space="preserve">[^ftn971]: </v>
      </c>
    </row>
    <row r="972" spans="7:16" x14ac:dyDescent="0.25">
      <c r="G972" t="s">
        <v>894</v>
      </c>
      <c r="H972">
        <v>972</v>
      </c>
      <c r="I972">
        <v>972</v>
      </c>
      <c r="N972" t="s">
        <v>895</v>
      </c>
      <c r="O972">
        <v>972</v>
      </c>
      <c r="P972" t="str">
        <f t="shared" si="15"/>
        <v xml:space="preserve">[^ftn972]: </v>
      </c>
    </row>
    <row r="973" spans="7:16" x14ac:dyDescent="0.25">
      <c r="G973" t="s">
        <v>894</v>
      </c>
      <c r="H973">
        <v>973</v>
      </c>
      <c r="I973">
        <v>973</v>
      </c>
      <c r="N973" t="s">
        <v>895</v>
      </c>
      <c r="O973">
        <v>973</v>
      </c>
      <c r="P973" t="str">
        <f t="shared" si="15"/>
        <v xml:space="preserve">[^ftn973]: </v>
      </c>
    </row>
    <row r="974" spans="7:16" x14ac:dyDescent="0.25">
      <c r="G974" t="s">
        <v>894</v>
      </c>
      <c r="H974">
        <v>974</v>
      </c>
      <c r="I974">
        <v>974</v>
      </c>
      <c r="N974" t="s">
        <v>895</v>
      </c>
      <c r="O974">
        <v>974</v>
      </c>
      <c r="P974" t="str">
        <f t="shared" si="15"/>
        <v xml:space="preserve">[^ftn974]: </v>
      </c>
    </row>
    <row r="975" spans="7:16" x14ac:dyDescent="0.25">
      <c r="G975" t="s">
        <v>894</v>
      </c>
      <c r="H975">
        <v>975</v>
      </c>
      <c r="I975">
        <v>975</v>
      </c>
      <c r="N975" t="s">
        <v>895</v>
      </c>
      <c r="O975">
        <v>975</v>
      </c>
      <c r="P975" t="str">
        <f t="shared" si="15"/>
        <v xml:space="preserve">[^ftn975]: </v>
      </c>
    </row>
    <row r="976" spans="7:16" x14ac:dyDescent="0.25">
      <c r="G976" t="s">
        <v>894</v>
      </c>
      <c r="H976">
        <v>976</v>
      </c>
      <c r="I976">
        <v>976</v>
      </c>
      <c r="N976" t="s">
        <v>895</v>
      </c>
      <c r="O976">
        <v>976</v>
      </c>
      <c r="P976" t="str">
        <f t="shared" si="15"/>
        <v xml:space="preserve">[^ftn976]: </v>
      </c>
    </row>
    <row r="977" spans="7:16" x14ac:dyDescent="0.25">
      <c r="G977" t="s">
        <v>894</v>
      </c>
      <c r="H977">
        <v>977</v>
      </c>
      <c r="I977">
        <v>977</v>
      </c>
      <c r="N977" t="s">
        <v>895</v>
      </c>
      <c r="O977">
        <v>977</v>
      </c>
      <c r="P977" t="str">
        <f t="shared" si="15"/>
        <v xml:space="preserve">[^ftn977]: </v>
      </c>
    </row>
    <row r="978" spans="7:16" x14ac:dyDescent="0.25">
      <c r="G978" t="s">
        <v>894</v>
      </c>
      <c r="H978">
        <v>978</v>
      </c>
      <c r="I978">
        <v>978</v>
      </c>
      <c r="N978" t="s">
        <v>895</v>
      </c>
      <c r="O978">
        <v>978</v>
      </c>
      <c r="P978" t="str">
        <f t="shared" si="15"/>
        <v xml:space="preserve">[^ftn978]: </v>
      </c>
    </row>
    <row r="979" spans="7:16" x14ac:dyDescent="0.25">
      <c r="G979" t="s">
        <v>894</v>
      </c>
      <c r="H979">
        <v>979</v>
      </c>
      <c r="I979">
        <v>979</v>
      </c>
      <c r="N979" t="s">
        <v>895</v>
      </c>
      <c r="O979">
        <v>979</v>
      </c>
      <c r="P979" t="str">
        <f t="shared" si="15"/>
        <v xml:space="preserve">[^ftn979]: </v>
      </c>
    </row>
    <row r="980" spans="7:16" x14ac:dyDescent="0.25">
      <c r="G980" t="s">
        <v>894</v>
      </c>
      <c r="H980">
        <v>980</v>
      </c>
      <c r="I980">
        <v>980</v>
      </c>
      <c r="N980" t="s">
        <v>895</v>
      </c>
      <c r="O980">
        <v>980</v>
      </c>
      <c r="P980" t="str">
        <f t="shared" si="15"/>
        <v xml:space="preserve">[^ftn980]: </v>
      </c>
    </row>
    <row r="981" spans="7:16" x14ac:dyDescent="0.25">
      <c r="G981" t="s">
        <v>894</v>
      </c>
      <c r="H981">
        <v>981</v>
      </c>
      <c r="I981">
        <v>981</v>
      </c>
      <c r="N981" t="s">
        <v>895</v>
      </c>
      <c r="O981">
        <v>981</v>
      </c>
      <c r="P981" t="str">
        <f t="shared" si="15"/>
        <v xml:space="preserve">[^ftn981]: </v>
      </c>
    </row>
    <row r="982" spans="7:16" x14ac:dyDescent="0.25">
      <c r="G982" t="s">
        <v>894</v>
      </c>
      <c r="H982">
        <v>982</v>
      </c>
      <c r="I982">
        <v>982</v>
      </c>
      <c r="N982" t="s">
        <v>895</v>
      </c>
      <c r="O982">
        <v>982</v>
      </c>
      <c r="P982" t="str">
        <f t="shared" si="15"/>
        <v xml:space="preserve">[^ftn982]: </v>
      </c>
    </row>
    <row r="983" spans="7:16" x14ac:dyDescent="0.25">
      <c r="G983" t="s">
        <v>894</v>
      </c>
      <c r="H983">
        <v>983</v>
      </c>
      <c r="I983">
        <v>983</v>
      </c>
      <c r="N983" t="s">
        <v>895</v>
      </c>
      <c r="O983">
        <v>983</v>
      </c>
      <c r="P983" t="str">
        <f t="shared" si="15"/>
        <v xml:space="preserve">[^ftn983]: </v>
      </c>
    </row>
    <row r="984" spans="7:16" x14ac:dyDescent="0.25">
      <c r="G984" t="s">
        <v>894</v>
      </c>
      <c r="H984">
        <v>984</v>
      </c>
      <c r="I984">
        <v>984</v>
      </c>
      <c r="N984" t="s">
        <v>895</v>
      </c>
      <c r="O984">
        <v>984</v>
      </c>
      <c r="P984" t="str">
        <f t="shared" si="15"/>
        <v xml:space="preserve">[^ftn984]: </v>
      </c>
    </row>
    <row r="985" spans="7:16" x14ac:dyDescent="0.25">
      <c r="G985" t="s">
        <v>894</v>
      </c>
      <c r="H985">
        <v>985</v>
      </c>
      <c r="I985">
        <v>985</v>
      </c>
      <c r="N985" t="s">
        <v>895</v>
      </c>
      <c r="O985">
        <v>985</v>
      </c>
      <c r="P985" t="str">
        <f t="shared" si="15"/>
        <v xml:space="preserve">[^ftn985]: </v>
      </c>
    </row>
    <row r="986" spans="7:16" x14ac:dyDescent="0.25">
      <c r="G986" t="s">
        <v>894</v>
      </c>
      <c r="H986">
        <v>986</v>
      </c>
      <c r="I986">
        <v>986</v>
      </c>
      <c r="N986" t="s">
        <v>895</v>
      </c>
      <c r="O986">
        <v>986</v>
      </c>
      <c r="P986" t="str">
        <f t="shared" si="15"/>
        <v xml:space="preserve">[^ftn986]: </v>
      </c>
    </row>
    <row r="987" spans="7:16" x14ac:dyDescent="0.25">
      <c r="G987" t="s">
        <v>894</v>
      </c>
      <c r="H987">
        <v>987</v>
      </c>
      <c r="I987">
        <v>987</v>
      </c>
      <c r="N987" t="s">
        <v>895</v>
      </c>
      <c r="O987">
        <v>987</v>
      </c>
      <c r="P987" t="str">
        <f t="shared" si="15"/>
        <v xml:space="preserve">[^ftn987]: </v>
      </c>
    </row>
    <row r="988" spans="7:16" x14ac:dyDescent="0.25">
      <c r="G988" t="s">
        <v>894</v>
      </c>
      <c r="H988">
        <v>988</v>
      </c>
      <c r="I988">
        <v>988</v>
      </c>
      <c r="N988" t="s">
        <v>895</v>
      </c>
      <c r="O988">
        <v>988</v>
      </c>
      <c r="P988" t="str">
        <f t="shared" si="15"/>
        <v xml:space="preserve">[^ftn988]: </v>
      </c>
    </row>
    <row r="989" spans="7:16" x14ac:dyDescent="0.25">
      <c r="G989" t="s">
        <v>894</v>
      </c>
      <c r="H989">
        <v>989</v>
      </c>
      <c r="I989">
        <v>989</v>
      </c>
      <c r="N989" t="s">
        <v>895</v>
      </c>
      <c r="O989">
        <v>989</v>
      </c>
      <c r="P989" t="str">
        <f t="shared" si="15"/>
        <v xml:space="preserve">[^ftn989]: </v>
      </c>
    </row>
    <row r="990" spans="7:16" x14ac:dyDescent="0.25">
      <c r="G990" t="s">
        <v>894</v>
      </c>
      <c r="H990">
        <v>990</v>
      </c>
      <c r="I990">
        <v>990</v>
      </c>
      <c r="N990" t="s">
        <v>895</v>
      </c>
      <c r="O990">
        <v>990</v>
      </c>
      <c r="P990" t="str">
        <f t="shared" si="15"/>
        <v xml:space="preserve">[^ftn990]: </v>
      </c>
    </row>
    <row r="991" spans="7:16" x14ac:dyDescent="0.25">
      <c r="G991" t="s">
        <v>894</v>
      </c>
      <c r="H991">
        <v>991</v>
      </c>
      <c r="I991">
        <v>991</v>
      </c>
      <c r="N991" t="s">
        <v>895</v>
      </c>
      <c r="O991">
        <v>991</v>
      </c>
      <c r="P991" t="str">
        <f t="shared" si="15"/>
        <v xml:space="preserve">[^ftn991]: </v>
      </c>
    </row>
    <row r="992" spans="7:16" x14ac:dyDescent="0.25">
      <c r="G992" t="s">
        <v>894</v>
      </c>
      <c r="H992">
        <v>992</v>
      </c>
      <c r="I992">
        <v>992</v>
      </c>
      <c r="N992" t="s">
        <v>895</v>
      </c>
      <c r="O992">
        <v>992</v>
      </c>
      <c r="P992" t="str">
        <f t="shared" si="15"/>
        <v xml:space="preserve">[^ftn992]: </v>
      </c>
    </row>
    <row r="993" spans="7:16" x14ac:dyDescent="0.25">
      <c r="G993" t="s">
        <v>894</v>
      </c>
      <c r="H993">
        <v>993</v>
      </c>
      <c r="I993">
        <v>993</v>
      </c>
      <c r="N993" t="s">
        <v>895</v>
      </c>
      <c r="O993">
        <v>993</v>
      </c>
      <c r="P993" t="str">
        <f t="shared" si="15"/>
        <v xml:space="preserve">[^ftn993]: </v>
      </c>
    </row>
    <row r="994" spans="7:16" x14ac:dyDescent="0.25">
      <c r="G994" t="s">
        <v>894</v>
      </c>
      <c r="H994">
        <v>994</v>
      </c>
      <c r="I994">
        <v>994</v>
      </c>
      <c r="N994" t="s">
        <v>895</v>
      </c>
      <c r="O994">
        <v>994</v>
      </c>
      <c r="P994" t="str">
        <f t="shared" si="15"/>
        <v xml:space="preserve">[^ftn994]: </v>
      </c>
    </row>
    <row r="995" spans="7:16" x14ac:dyDescent="0.25">
      <c r="G995" t="s">
        <v>894</v>
      </c>
      <c r="H995">
        <v>995</v>
      </c>
      <c r="I995">
        <v>995</v>
      </c>
      <c r="N995" t="s">
        <v>895</v>
      </c>
      <c r="O995">
        <v>995</v>
      </c>
      <c r="P995" t="str">
        <f t="shared" si="15"/>
        <v xml:space="preserve">[^ftn995]: </v>
      </c>
    </row>
    <row r="996" spans="7:16" x14ac:dyDescent="0.25">
      <c r="G996" t="s">
        <v>894</v>
      </c>
      <c r="H996">
        <v>996</v>
      </c>
      <c r="I996">
        <v>996</v>
      </c>
      <c r="N996" t="s">
        <v>895</v>
      </c>
      <c r="O996">
        <v>996</v>
      </c>
      <c r="P996" t="str">
        <f t="shared" si="15"/>
        <v xml:space="preserve">[^ftn996]: </v>
      </c>
    </row>
    <row r="997" spans="7:16" x14ac:dyDescent="0.25">
      <c r="G997" t="s">
        <v>894</v>
      </c>
      <c r="H997">
        <v>997</v>
      </c>
      <c r="I997">
        <v>997</v>
      </c>
      <c r="N997" t="s">
        <v>895</v>
      </c>
      <c r="O997">
        <v>997</v>
      </c>
      <c r="P997" t="str">
        <f t="shared" si="15"/>
        <v xml:space="preserve">[^ftn997]: </v>
      </c>
    </row>
    <row r="998" spans="7:16" x14ac:dyDescent="0.25">
      <c r="G998" t="s">
        <v>894</v>
      </c>
      <c r="H998">
        <v>998</v>
      </c>
      <c r="I998">
        <v>998</v>
      </c>
      <c r="N998" t="s">
        <v>895</v>
      </c>
      <c r="O998">
        <v>998</v>
      </c>
      <c r="P998" t="str">
        <f t="shared" si="15"/>
        <v xml:space="preserve">[^ftn998]: </v>
      </c>
    </row>
    <row r="999" spans="7:16" x14ac:dyDescent="0.25">
      <c r="G999" t="s">
        <v>894</v>
      </c>
      <c r="H999">
        <v>999</v>
      </c>
      <c r="I999">
        <v>999</v>
      </c>
      <c r="N999" t="s">
        <v>895</v>
      </c>
      <c r="O999">
        <v>999</v>
      </c>
      <c r="P999" t="str">
        <f t="shared" si="15"/>
        <v xml:space="preserve">[^ftn999]: </v>
      </c>
    </row>
    <row r="1000" spans="7:16" x14ac:dyDescent="0.25">
      <c r="G1000" t="s">
        <v>894</v>
      </c>
      <c r="H1000">
        <v>1000</v>
      </c>
      <c r="I1000">
        <v>1000</v>
      </c>
      <c r="N1000" t="s">
        <v>895</v>
      </c>
      <c r="O1000">
        <v>1000</v>
      </c>
      <c r="P1000" t="str">
        <f t="shared" si="15"/>
        <v xml:space="preserve">[^ftn1000]: </v>
      </c>
    </row>
    <row r="1001" spans="7:16" x14ac:dyDescent="0.25">
      <c r="G1001" t="s">
        <v>894</v>
      </c>
      <c r="H1001">
        <v>1001</v>
      </c>
      <c r="I1001">
        <v>1001</v>
      </c>
      <c r="N1001" t="s">
        <v>895</v>
      </c>
      <c r="O1001">
        <v>1001</v>
      </c>
      <c r="P1001" t="str">
        <f t="shared" si="15"/>
        <v xml:space="preserve">[^ftn1001]: </v>
      </c>
    </row>
    <row r="1002" spans="7:16" x14ac:dyDescent="0.25">
      <c r="G1002" t="s">
        <v>894</v>
      </c>
      <c r="H1002">
        <v>1002</v>
      </c>
      <c r="I1002">
        <v>1002</v>
      </c>
      <c r="N1002" t="s">
        <v>895</v>
      </c>
      <c r="O1002">
        <v>1002</v>
      </c>
      <c r="P1002" t="str">
        <f t="shared" si="15"/>
        <v xml:space="preserve">[^ftn1002]: </v>
      </c>
    </row>
    <row r="1003" spans="7:16" x14ac:dyDescent="0.25">
      <c r="G1003" t="s">
        <v>894</v>
      </c>
      <c r="H1003">
        <v>1003</v>
      </c>
      <c r="I1003">
        <v>1003</v>
      </c>
      <c r="N1003" t="s">
        <v>895</v>
      </c>
      <c r="O1003">
        <v>1003</v>
      </c>
      <c r="P1003" t="str">
        <f t="shared" si="15"/>
        <v xml:space="preserve">[^ftn1003]: </v>
      </c>
    </row>
    <row r="1004" spans="7:16" x14ac:dyDescent="0.25">
      <c r="G1004" t="s">
        <v>894</v>
      </c>
      <c r="H1004">
        <v>1004</v>
      </c>
      <c r="I1004">
        <v>1004</v>
      </c>
      <c r="N1004" t="s">
        <v>895</v>
      </c>
      <c r="O1004">
        <v>1004</v>
      </c>
      <c r="P1004" t="str">
        <f t="shared" si="15"/>
        <v xml:space="preserve">[^ftn1004]: </v>
      </c>
    </row>
    <row r="1005" spans="7:16" x14ac:dyDescent="0.25">
      <c r="G1005" t="s">
        <v>894</v>
      </c>
      <c r="H1005">
        <v>1005</v>
      </c>
      <c r="I1005">
        <v>1005</v>
      </c>
      <c r="N1005" t="s">
        <v>895</v>
      </c>
      <c r="O1005">
        <v>1005</v>
      </c>
      <c r="P1005" t="str">
        <f t="shared" si="15"/>
        <v xml:space="preserve">[^ftn1005]: </v>
      </c>
    </row>
    <row r="1006" spans="7:16" x14ac:dyDescent="0.25">
      <c r="G1006" t="s">
        <v>894</v>
      </c>
      <c r="H1006">
        <v>1006</v>
      </c>
      <c r="I1006">
        <v>1006</v>
      </c>
      <c r="N1006" t="s">
        <v>895</v>
      </c>
      <c r="O1006">
        <v>1006</v>
      </c>
      <c r="P1006" t="str">
        <f t="shared" si="15"/>
        <v xml:space="preserve">[^ftn1006]: </v>
      </c>
    </row>
    <row r="1007" spans="7:16" x14ac:dyDescent="0.25">
      <c r="G1007" t="s">
        <v>894</v>
      </c>
      <c r="H1007">
        <v>1007</v>
      </c>
      <c r="I1007">
        <v>1007</v>
      </c>
      <c r="N1007" t="s">
        <v>895</v>
      </c>
      <c r="O1007">
        <v>1007</v>
      </c>
      <c r="P1007" t="str">
        <f t="shared" si="15"/>
        <v xml:space="preserve">[^ftn1007]: </v>
      </c>
    </row>
    <row r="1008" spans="7:16" x14ac:dyDescent="0.25">
      <c r="G1008" t="s">
        <v>894</v>
      </c>
      <c r="H1008">
        <v>1008</v>
      </c>
      <c r="I1008">
        <v>1008</v>
      </c>
      <c r="N1008" t="s">
        <v>895</v>
      </c>
      <c r="O1008">
        <v>1008</v>
      </c>
      <c r="P1008" t="str">
        <f t="shared" si="15"/>
        <v xml:space="preserve">[^ftn1008]: </v>
      </c>
    </row>
    <row r="1009" spans="7:16" x14ac:dyDescent="0.25">
      <c r="G1009" t="s">
        <v>894</v>
      </c>
      <c r="H1009">
        <v>1009</v>
      </c>
      <c r="I1009">
        <v>1009</v>
      </c>
      <c r="N1009" t="s">
        <v>895</v>
      </c>
      <c r="O1009">
        <v>1009</v>
      </c>
      <c r="P1009" t="str">
        <f t="shared" si="15"/>
        <v xml:space="preserve">[^ftn1009]: </v>
      </c>
    </row>
    <row r="1010" spans="7:16" x14ac:dyDescent="0.25">
      <c r="G1010" t="s">
        <v>894</v>
      </c>
      <c r="H1010">
        <v>1010</v>
      </c>
      <c r="I1010">
        <v>1010</v>
      </c>
      <c r="N1010" t="s">
        <v>895</v>
      </c>
      <c r="O1010">
        <v>1010</v>
      </c>
      <c r="P1010" t="str">
        <f t="shared" si="15"/>
        <v xml:space="preserve">[^ftn1010]: </v>
      </c>
    </row>
    <row r="1011" spans="7:16" x14ac:dyDescent="0.25">
      <c r="G1011" t="s">
        <v>894</v>
      </c>
      <c r="H1011">
        <v>1011</v>
      </c>
      <c r="I1011">
        <v>1011</v>
      </c>
      <c r="N1011" t="s">
        <v>895</v>
      </c>
      <c r="O1011">
        <v>1011</v>
      </c>
      <c r="P1011" t="str">
        <f t="shared" si="15"/>
        <v xml:space="preserve">[^ftn1011]: </v>
      </c>
    </row>
    <row r="1012" spans="7:16" x14ac:dyDescent="0.25">
      <c r="G1012" t="s">
        <v>894</v>
      </c>
      <c r="H1012">
        <v>1012</v>
      </c>
      <c r="I1012">
        <v>1012</v>
      </c>
      <c r="N1012" t="s">
        <v>895</v>
      </c>
      <c r="O1012">
        <v>1012</v>
      </c>
      <c r="P1012" t="str">
        <f t="shared" si="15"/>
        <v xml:space="preserve">[^ftn1012]: </v>
      </c>
    </row>
    <row r="1013" spans="7:16" x14ac:dyDescent="0.25">
      <c r="G1013" t="s">
        <v>894</v>
      </c>
      <c r="H1013">
        <v>1013</v>
      </c>
      <c r="I1013">
        <v>1013</v>
      </c>
      <c r="N1013" t="s">
        <v>895</v>
      </c>
      <c r="O1013">
        <v>1013</v>
      </c>
      <c r="P1013" t="str">
        <f t="shared" si="15"/>
        <v xml:space="preserve">[^ftn1013]: </v>
      </c>
    </row>
    <row r="1014" spans="7:16" x14ac:dyDescent="0.25">
      <c r="G1014" t="s">
        <v>894</v>
      </c>
      <c r="H1014">
        <v>1014</v>
      </c>
      <c r="I1014">
        <v>1014</v>
      </c>
      <c r="N1014" t="s">
        <v>895</v>
      </c>
      <c r="O1014">
        <v>1014</v>
      </c>
      <c r="P1014" t="str">
        <f t="shared" si="15"/>
        <v xml:space="preserve">[^ftn1014]: </v>
      </c>
    </row>
    <row r="1015" spans="7:16" x14ac:dyDescent="0.25">
      <c r="G1015" t="s">
        <v>894</v>
      </c>
      <c r="H1015">
        <v>1015</v>
      </c>
      <c r="I1015">
        <v>1015</v>
      </c>
      <c r="N1015" t="s">
        <v>895</v>
      </c>
      <c r="O1015">
        <v>1015</v>
      </c>
      <c r="P1015" t="str">
        <f t="shared" si="15"/>
        <v xml:space="preserve">[^ftn1015]: </v>
      </c>
    </row>
    <row r="1016" spans="7:16" x14ac:dyDescent="0.25">
      <c r="G1016" t="s">
        <v>894</v>
      </c>
      <c r="H1016">
        <v>1016</v>
      </c>
      <c r="I1016">
        <v>1016</v>
      </c>
      <c r="N1016" t="s">
        <v>895</v>
      </c>
      <c r="O1016">
        <v>1016</v>
      </c>
      <c r="P1016" t="str">
        <f t="shared" si="15"/>
        <v xml:space="preserve">[^ftn1016]: </v>
      </c>
    </row>
    <row r="1017" spans="7:16" x14ac:dyDescent="0.25">
      <c r="G1017" t="s">
        <v>894</v>
      </c>
      <c r="H1017">
        <v>1017</v>
      </c>
      <c r="I1017">
        <v>1017</v>
      </c>
      <c r="N1017" t="s">
        <v>895</v>
      </c>
      <c r="O1017">
        <v>1017</v>
      </c>
      <c r="P1017" t="str">
        <f t="shared" si="15"/>
        <v xml:space="preserve">[^ftn1017]: </v>
      </c>
    </row>
    <row r="1018" spans="7:16" x14ac:dyDescent="0.25">
      <c r="G1018" t="s">
        <v>894</v>
      </c>
      <c r="H1018">
        <v>1018</v>
      </c>
      <c r="I1018">
        <v>1018</v>
      </c>
      <c r="N1018" t="s">
        <v>895</v>
      </c>
      <c r="O1018">
        <v>1018</v>
      </c>
      <c r="P1018" t="str">
        <f t="shared" si="15"/>
        <v xml:space="preserve">[^ftn1018]: </v>
      </c>
    </row>
    <row r="1019" spans="7:16" x14ac:dyDescent="0.25">
      <c r="G1019" t="s">
        <v>894</v>
      </c>
      <c r="H1019">
        <v>1019</v>
      </c>
      <c r="I1019">
        <v>1019</v>
      </c>
      <c r="N1019" t="s">
        <v>895</v>
      </c>
      <c r="O1019">
        <v>1019</v>
      </c>
      <c r="P1019" t="str">
        <f t="shared" si="15"/>
        <v xml:space="preserve">[^ftn1019]: </v>
      </c>
    </row>
    <row r="1020" spans="7:16" x14ac:dyDescent="0.25">
      <c r="G1020" t="s">
        <v>894</v>
      </c>
      <c r="H1020">
        <v>1020</v>
      </c>
      <c r="I1020">
        <v>1020</v>
      </c>
      <c r="N1020" t="s">
        <v>895</v>
      </c>
      <c r="O1020">
        <v>1020</v>
      </c>
      <c r="P1020" t="str">
        <f t="shared" si="15"/>
        <v xml:space="preserve">[^ftn1020]: </v>
      </c>
    </row>
    <row r="1021" spans="7:16" x14ac:dyDescent="0.25">
      <c r="G1021" t="s">
        <v>894</v>
      </c>
      <c r="H1021">
        <v>1021</v>
      </c>
      <c r="I1021">
        <v>1021</v>
      </c>
      <c r="N1021" t="s">
        <v>895</v>
      </c>
      <c r="O1021">
        <v>1021</v>
      </c>
      <c r="P1021" t="str">
        <f t="shared" si="15"/>
        <v xml:space="preserve">[^ftn1021]: </v>
      </c>
    </row>
    <row r="1022" spans="7:16" x14ac:dyDescent="0.25">
      <c r="G1022" t="s">
        <v>894</v>
      </c>
      <c r="H1022">
        <v>1022</v>
      </c>
      <c r="I1022">
        <v>1022</v>
      </c>
      <c r="N1022" t="s">
        <v>895</v>
      </c>
      <c r="O1022">
        <v>1022</v>
      </c>
      <c r="P1022" t="str">
        <f t="shared" si="15"/>
        <v xml:space="preserve">[^ftn1022]: </v>
      </c>
    </row>
    <row r="1023" spans="7:16" x14ac:dyDescent="0.25">
      <c r="G1023" t="s">
        <v>894</v>
      </c>
      <c r="H1023">
        <v>1023</v>
      </c>
      <c r="I1023">
        <v>1023</v>
      </c>
      <c r="N1023" t="s">
        <v>895</v>
      </c>
      <c r="O1023">
        <v>1023</v>
      </c>
      <c r="P1023" t="str">
        <f t="shared" si="15"/>
        <v xml:space="preserve">[^ftn1023]: </v>
      </c>
    </row>
    <row r="1024" spans="7:16" x14ac:dyDescent="0.25">
      <c r="G1024" t="s">
        <v>894</v>
      </c>
      <c r="H1024">
        <v>1024</v>
      </c>
      <c r="I1024">
        <v>1024</v>
      </c>
      <c r="N1024" t="s">
        <v>895</v>
      </c>
      <c r="O1024">
        <v>1024</v>
      </c>
      <c r="P1024" t="str">
        <f t="shared" si="15"/>
        <v xml:space="preserve">[^ftn1024]: </v>
      </c>
    </row>
    <row r="1025" spans="7:16" x14ac:dyDescent="0.25">
      <c r="G1025" t="s">
        <v>894</v>
      </c>
      <c r="H1025">
        <v>1025</v>
      </c>
      <c r="I1025">
        <v>1025</v>
      </c>
      <c r="N1025" t="s">
        <v>895</v>
      </c>
      <c r="O1025">
        <v>1025</v>
      </c>
      <c r="P1025" t="str">
        <f t="shared" si="15"/>
        <v xml:space="preserve">[^ftn1025]: </v>
      </c>
    </row>
    <row r="1026" spans="7:16" x14ac:dyDescent="0.25">
      <c r="G1026" t="s">
        <v>894</v>
      </c>
      <c r="H1026">
        <v>1026</v>
      </c>
      <c r="I1026">
        <v>1026</v>
      </c>
      <c r="N1026" t="s">
        <v>895</v>
      </c>
      <c r="O1026">
        <v>1026</v>
      </c>
      <c r="P1026" t="str">
        <f t="shared" ref="P1026:P1089" si="16">_xlfn.CONCAT("[^ftn",O1026,"]: ",)</f>
        <v xml:space="preserve">[^ftn1026]: </v>
      </c>
    </row>
    <row r="1027" spans="7:16" x14ac:dyDescent="0.25">
      <c r="G1027" t="s">
        <v>894</v>
      </c>
      <c r="H1027">
        <v>1027</v>
      </c>
      <c r="I1027">
        <v>1027</v>
      </c>
      <c r="N1027" t="s">
        <v>895</v>
      </c>
      <c r="O1027">
        <v>1027</v>
      </c>
      <c r="P1027" t="str">
        <f t="shared" si="16"/>
        <v xml:space="preserve">[^ftn1027]: </v>
      </c>
    </row>
    <row r="1028" spans="7:16" x14ac:dyDescent="0.25">
      <c r="G1028" t="s">
        <v>894</v>
      </c>
      <c r="H1028">
        <v>1028</v>
      </c>
      <c r="I1028">
        <v>1028</v>
      </c>
      <c r="N1028" t="s">
        <v>895</v>
      </c>
      <c r="O1028">
        <v>1028</v>
      </c>
      <c r="P1028" t="str">
        <f t="shared" si="16"/>
        <v xml:space="preserve">[^ftn1028]: </v>
      </c>
    </row>
    <row r="1029" spans="7:16" x14ac:dyDescent="0.25">
      <c r="G1029" t="s">
        <v>894</v>
      </c>
      <c r="H1029">
        <v>1029</v>
      </c>
      <c r="I1029">
        <v>1029</v>
      </c>
      <c r="N1029" t="s">
        <v>895</v>
      </c>
      <c r="O1029">
        <v>1029</v>
      </c>
      <c r="P1029" t="str">
        <f t="shared" si="16"/>
        <v xml:space="preserve">[^ftn1029]: </v>
      </c>
    </row>
    <row r="1030" spans="7:16" x14ac:dyDescent="0.25">
      <c r="G1030" t="s">
        <v>894</v>
      </c>
      <c r="H1030">
        <v>1030</v>
      </c>
      <c r="I1030">
        <v>1030</v>
      </c>
      <c r="N1030" t="s">
        <v>895</v>
      </c>
      <c r="O1030">
        <v>1030</v>
      </c>
      <c r="P1030" t="str">
        <f t="shared" si="16"/>
        <v xml:space="preserve">[^ftn1030]: </v>
      </c>
    </row>
    <row r="1031" spans="7:16" x14ac:dyDescent="0.25">
      <c r="G1031" t="s">
        <v>894</v>
      </c>
      <c r="H1031">
        <v>1031</v>
      </c>
      <c r="I1031">
        <v>1031</v>
      </c>
      <c r="N1031" t="s">
        <v>895</v>
      </c>
      <c r="O1031">
        <v>1031</v>
      </c>
      <c r="P1031" t="str">
        <f t="shared" si="16"/>
        <v xml:space="preserve">[^ftn1031]: </v>
      </c>
    </row>
    <row r="1032" spans="7:16" x14ac:dyDescent="0.25">
      <c r="G1032" t="s">
        <v>894</v>
      </c>
      <c r="H1032">
        <v>1032</v>
      </c>
      <c r="I1032">
        <v>1032</v>
      </c>
      <c r="N1032" t="s">
        <v>895</v>
      </c>
      <c r="O1032">
        <v>1032</v>
      </c>
      <c r="P1032" t="str">
        <f t="shared" si="16"/>
        <v xml:space="preserve">[^ftn1032]: </v>
      </c>
    </row>
    <row r="1033" spans="7:16" x14ac:dyDescent="0.25">
      <c r="G1033" t="s">
        <v>894</v>
      </c>
      <c r="H1033">
        <v>1033</v>
      </c>
      <c r="I1033">
        <v>1033</v>
      </c>
      <c r="N1033" t="s">
        <v>895</v>
      </c>
      <c r="O1033">
        <v>1033</v>
      </c>
      <c r="P1033" t="str">
        <f t="shared" si="16"/>
        <v xml:space="preserve">[^ftn1033]: </v>
      </c>
    </row>
    <row r="1034" spans="7:16" x14ac:dyDescent="0.25">
      <c r="G1034" t="s">
        <v>894</v>
      </c>
      <c r="H1034">
        <v>1034</v>
      </c>
      <c r="I1034">
        <v>1034</v>
      </c>
      <c r="N1034" t="s">
        <v>895</v>
      </c>
      <c r="O1034">
        <v>1034</v>
      </c>
      <c r="P1034" t="str">
        <f t="shared" si="16"/>
        <v xml:space="preserve">[^ftn1034]: </v>
      </c>
    </row>
    <row r="1035" spans="7:16" x14ac:dyDescent="0.25">
      <c r="G1035" t="s">
        <v>894</v>
      </c>
      <c r="H1035">
        <v>1035</v>
      </c>
      <c r="I1035">
        <v>1035</v>
      </c>
      <c r="N1035" t="s">
        <v>895</v>
      </c>
      <c r="O1035">
        <v>1035</v>
      </c>
      <c r="P1035" t="str">
        <f t="shared" si="16"/>
        <v xml:space="preserve">[^ftn1035]: </v>
      </c>
    </row>
    <row r="1036" spans="7:16" x14ac:dyDescent="0.25">
      <c r="G1036" t="s">
        <v>894</v>
      </c>
      <c r="H1036">
        <v>1036</v>
      </c>
      <c r="I1036">
        <v>1036</v>
      </c>
      <c r="N1036" t="s">
        <v>895</v>
      </c>
      <c r="O1036">
        <v>1036</v>
      </c>
      <c r="P1036" t="str">
        <f t="shared" si="16"/>
        <v xml:space="preserve">[^ftn1036]: </v>
      </c>
    </row>
    <row r="1037" spans="7:16" x14ac:dyDescent="0.25">
      <c r="G1037" t="s">
        <v>894</v>
      </c>
      <c r="H1037">
        <v>1037</v>
      </c>
      <c r="I1037">
        <v>1037</v>
      </c>
      <c r="N1037" t="s">
        <v>895</v>
      </c>
      <c r="O1037">
        <v>1037</v>
      </c>
      <c r="P1037" t="str">
        <f t="shared" si="16"/>
        <v xml:space="preserve">[^ftn1037]: </v>
      </c>
    </row>
    <row r="1038" spans="7:16" x14ac:dyDescent="0.25">
      <c r="G1038" t="s">
        <v>894</v>
      </c>
      <c r="H1038">
        <v>1038</v>
      </c>
      <c r="I1038">
        <v>1038</v>
      </c>
      <c r="N1038" t="s">
        <v>895</v>
      </c>
      <c r="O1038">
        <v>1038</v>
      </c>
      <c r="P1038" t="str">
        <f t="shared" si="16"/>
        <v xml:space="preserve">[^ftn1038]: </v>
      </c>
    </row>
    <row r="1039" spans="7:16" x14ac:dyDescent="0.25">
      <c r="G1039" t="s">
        <v>894</v>
      </c>
      <c r="H1039">
        <v>1039</v>
      </c>
      <c r="I1039">
        <v>1039</v>
      </c>
      <c r="N1039" t="s">
        <v>895</v>
      </c>
      <c r="O1039">
        <v>1039</v>
      </c>
      <c r="P1039" t="str">
        <f t="shared" si="16"/>
        <v xml:space="preserve">[^ftn1039]: </v>
      </c>
    </row>
    <row r="1040" spans="7:16" x14ac:dyDescent="0.25">
      <c r="G1040" t="s">
        <v>894</v>
      </c>
      <c r="H1040">
        <v>1040</v>
      </c>
      <c r="I1040">
        <v>1040</v>
      </c>
      <c r="N1040" t="s">
        <v>895</v>
      </c>
      <c r="O1040">
        <v>1040</v>
      </c>
      <c r="P1040" t="str">
        <f t="shared" si="16"/>
        <v xml:space="preserve">[^ftn1040]: </v>
      </c>
    </row>
    <row r="1041" spans="7:16" x14ac:dyDescent="0.25">
      <c r="G1041" t="s">
        <v>894</v>
      </c>
      <c r="H1041">
        <v>1041</v>
      </c>
      <c r="I1041">
        <v>1041</v>
      </c>
      <c r="N1041" t="s">
        <v>895</v>
      </c>
      <c r="O1041">
        <v>1041</v>
      </c>
      <c r="P1041" t="str">
        <f t="shared" si="16"/>
        <v xml:space="preserve">[^ftn1041]: </v>
      </c>
    </row>
    <row r="1042" spans="7:16" x14ac:dyDescent="0.25">
      <c r="G1042" t="s">
        <v>894</v>
      </c>
      <c r="H1042">
        <v>1042</v>
      </c>
      <c r="I1042">
        <v>1042</v>
      </c>
      <c r="N1042" t="s">
        <v>895</v>
      </c>
      <c r="O1042">
        <v>1042</v>
      </c>
      <c r="P1042" t="str">
        <f t="shared" si="16"/>
        <v xml:space="preserve">[^ftn1042]: </v>
      </c>
    </row>
    <row r="1043" spans="7:16" x14ac:dyDescent="0.25">
      <c r="G1043" t="s">
        <v>894</v>
      </c>
      <c r="H1043">
        <v>1043</v>
      </c>
      <c r="I1043">
        <v>1043</v>
      </c>
      <c r="N1043" t="s">
        <v>895</v>
      </c>
      <c r="O1043">
        <v>1043</v>
      </c>
      <c r="P1043" t="str">
        <f t="shared" si="16"/>
        <v xml:space="preserve">[^ftn1043]: </v>
      </c>
    </row>
    <row r="1044" spans="7:16" x14ac:dyDescent="0.25">
      <c r="G1044" t="s">
        <v>894</v>
      </c>
      <c r="H1044">
        <v>1044</v>
      </c>
      <c r="I1044">
        <v>1044</v>
      </c>
      <c r="N1044" t="s">
        <v>895</v>
      </c>
      <c r="O1044">
        <v>1044</v>
      </c>
      <c r="P1044" t="str">
        <f t="shared" si="16"/>
        <v xml:space="preserve">[^ftn1044]: </v>
      </c>
    </row>
    <row r="1045" spans="7:16" x14ac:dyDescent="0.25">
      <c r="G1045" t="s">
        <v>894</v>
      </c>
      <c r="H1045">
        <v>1045</v>
      </c>
      <c r="I1045">
        <v>1045</v>
      </c>
      <c r="N1045" t="s">
        <v>895</v>
      </c>
      <c r="O1045">
        <v>1045</v>
      </c>
      <c r="P1045" t="str">
        <f t="shared" si="16"/>
        <v xml:space="preserve">[^ftn1045]: </v>
      </c>
    </row>
    <row r="1046" spans="7:16" x14ac:dyDescent="0.25">
      <c r="G1046" t="s">
        <v>894</v>
      </c>
      <c r="H1046">
        <v>1046</v>
      </c>
      <c r="I1046">
        <v>1046</v>
      </c>
      <c r="N1046" t="s">
        <v>895</v>
      </c>
      <c r="O1046">
        <v>1046</v>
      </c>
      <c r="P1046" t="str">
        <f t="shared" si="16"/>
        <v xml:space="preserve">[^ftn1046]: </v>
      </c>
    </row>
    <row r="1047" spans="7:16" x14ac:dyDescent="0.25">
      <c r="G1047" t="s">
        <v>894</v>
      </c>
      <c r="H1047">
        <v>1047</v>
      </c>
      <c r="I1047">
        <v>1047</v>
      </c>
      <c r="N1047" t="s">
        <v>895</v>
      </c>
      <c r="O1047">
        <v>1047</v>
      </c>
      <c r="P1047" t="str">
        <f t="shared" si="16"/>
        <v xml:space="preserve">[^ftn1047]: </v>
      </c>
    </row>
    <row r="1048" spans="7:16" x14ac:dyDescent="0.25">
      <c r="G1048" t="s">
        <v>894</v>
      </c>
      <c r="H1048">
        <v>1048</v>
      </c>
      <c r="I1048">
        <v>1048</v>
      </c>
      <c r="N1048" t="s">
        <v>895</v>
      </c>
      <c r="O1048">
        <v>1048</v>
      </c>
      <c r="P1048" t="str">
        <f t="shared" si="16"/>
        <v xml:space="preserve">[^ftn1048]: </v>
      </c>
    </row>
    <row r="1049" spans="7:16" x14ac:dyDescent="0.25">
      <c r="G1049" t="s">
        <v>894</v>
      </c>
      <c r="H1049">
        <v>1049</v>
      </c>
      <c r="I1049">
        <v>1049</v>
      </c>
      <c r="N1049" t="s">
        <v>895</v>
      </c>
      <c r="O1049">
        <v>1049</v>
      </c>
      <c r="P1049" t="str">
        <f t="shared" si="16"/>
        <v xml:space="preserve">[^ftn1049]: </v>
      </c>
    </row>
    <row r="1050" spans="7:16" x14ac:dyDescent="0.25">
      <c r="G1050" t="s">
        <v>894</v>
      </c>
      <c r="H1050">
        <v>1050</v>
      </c>
      <c r="I1050">
        <v>1050</v>
      </c>
      <c r="N1050" t="s">
        <v>895</v>
      </c>
      <c r="O1050">
        <v>1050</v>
      </c>
      <c r="P1050" t="str">
        <f t="shared" si="16"/>
        <v xml:space="preserve">[^ftn1050]: </v>
      </c>
    </row>
    <row r="1051" spans="7:16" x14ac:dyDescent="0.25">
      <c r="G1051" t="s">
        <v>894</v>
      </c>
      <c r="H1051">
        <v>1051</v>
      </c>
      <c r="I1051">
        <v>1051</v>
      </c>
      <c r="N1051" t="s">
        <v>895</v>
      </c>
      <c r="O1051">
        <v>1051</v>
      </c>
      <c r="P1051" t="str">
        <f t="shared" si="16"/>
        <v xml:space="preserve">[^ftn1051]: </v>
      </c>
    </row>
    <row r="1052" spans="7:16" x14ac:dyDescent="0.25">
      <c r="G1052" t="s">
        <v>894</v>
      </c>
      <c r="H1052">
        <v>1052</v>
      </c>
      <c r="I1052">
        <v>1052</v>
      </c>
      <c r="N1052" t="s">
        <v>895</v>
      </c>
      <c r="O1052">
        <v>1052</v>
      </c>
      <c r="P1052" t="str">
        <f t="shared" si="16"/>
        <v xml:space="preserve">[^ftn1052]: </v>
      </c>
    </row>
    <row r="1053" spans="7:16" x14ac:dyDescent="0.25">
      <c r="G1053" t="s">
        <v>894</v>
      </c>
      <c r="H1053">
        <v>1053</v>
      </c>
      <c r="I1053">
        <v>1053</v>
      </c>
      <c r="N1053" t="s">
        <v>895</v>
      </c>
      <c r="O1053">
        <v>1053</v>
      </c>
      <c r="P1053" t="str">
        <f t="shared" si="16"/>
        <v xml:space="preserve">[^ftn1053]: </v>
      </c>
    </row>
    <row r="1054" spans="7:16" x14ac:dyDescent="0.25">
      <c r="G1054" t="s">
        <v>894</v>
      </c>
      <c r="H1054">
        <v>1054</v>
      </c>
      <c r="I1054">
        <v>1054</v>
      </c>
      <c r="N1054" t="s">
        <v>895</v>
      </c>
      <c r="O1054">
        <v>1054</v>
      </c>
      <c r="P1054" t="str">
        <f t="shared" si="16"/>
        <v xml:space="preserve">[^ftn1054]: </v>
      </c>
    </row>
    <row r="1055" spans="7:16" x14ac:dyDescent="0.25">
      <c r="G1055" t="s">
        <v>894</v>
      </c>
      <c r="H1055">
        <v>1055</v>
      </c>
      <c r="I1055">
        <v>1055</v>
      </c>
      <c r="N1055" t="s">
        <v>895</v>
      </c>
      <c r="O1055">
        <v>1055</v>
      </c>
      <c r="P1055" t="str">
        <f t="shared" si="16"/>
        <v xml:space="preserve">[^ftn1055]: </v>
      </c>
    </row>
    <row r="1056" spans="7:16" x14ac:dyDescent="0.25">
      <c r="G1056" t="s">
        <v>894</v>
      </c>
      <c r="H1056">
        <v>1056</v>
      </c>
      <c r="I1056">
        <v>1056</v>
      </c>
      <c r="N1056" t="s">
        <v>895</v>
      </c>
      <c r="O1056">
        <v>1056</v>
      </c>
      <c r="P1056" t="str">
        <f t="shared" si="16"/>
        <v xml:space="preserve">[^ftn1056]: </v>
      </c>
    </row>
    <row r="1057" spans="7:16" x14ac:dyDescent="0.25">
      <c r="G1057" t="s">
        <v>894</v>
      </c>
      <c r="H1057">
        <v>1057</v>
      </c>
      <c r="I1057">
        <v>1057</v>
      </c>
      <c r="N1057" t="s">
        <v>895</v>
      </c>
      <c r="O1057">
        <v>1057</v>
      </c>
      <c r="P1057" t="str">
        <f t="shared" si="16"/>
        <v xml:space="preserve">[^ftn1057]: </v>
      </c>
    </row>
    <row r="1058" spans="7:16" x14ac:dyDescent="0.25">
      <c r="G1058" t="s">
        <v>894</v>
      </c>
      <c r="H1058">
        <v>1058</v>
      </c>
      <c r="I1058">
        <v>1058</v>
      </c>
      <c r="N1058" t="s">
        <v>895</v>
      </c>
      <c r="O1058">
        <v>1058</v>
      </c>
      <c r="P1058" t="str">
        <f t="shared" si="16"/>
        <v xml:space="preserve">[^ftn1058]: </v>
      </c>
    </row>
    <row r="1059" spans="7:16" x14ac:dyDescent="0.25">
      <c r="G1059" t="s">
        <v>894</v>
      </c>
      <c r="H1059">
        <v>1059</v>
      </c>
      <c r="I1059">
        <v>1059</v>
      </c>
      <c r="N1059" t="s">
        <v>895</v>
      </c>
      <c r="O1059">
        <v>1059</v>
      </c>
      <c r="P1059" t="str">
        <f t="shared" si="16"/>
        <v xml:space="preserve">[^ftn1059]: </v>
      </c>
    </row>
    <row r="1060" spans="7:16" x14ac:dyDescent="0.25">
      <c r="G1060" t="s">
        <v>894</v>
      </c>
      <c r="H1060">
        <v>1060</v>
      </c>
      <c r="I1060">
        <v>1060</v>
      </c>
      <c r="N1060" t="s">
        <v>895</v>
      </c>
      <c r="O1060">
        <v>1060</v>
      </c>
      <c r="P1060" t="str">
        <f t="shared" si="16"/>
        <v xml:space="preserve">[^ftn1060]: </v>
      </c>
    </row>
    <row r="1061" spans="7:16" x14ac:dyDescent="0.25">
      <c r="G1061" t="s">
        <v>894</v>
      </c>
      <c r="H1061">
        <v>1061</v>
      </c>
      <c r="I1061">
        <v>1061</v>
      </c>
      <c r="N1061" t="s">
        <v>895</v>
      </c>
      <c r="O1061">
        <v>1061</v>
      </c>
      <c r="P1061" t="str">
        <f t="shared" si="16"/>
        <v xml:space="preserve">[^ftn1061]: </v>
      </c>
    </row>
    <row r="1062" spans="7:16" x14ac:dyDescent="0.25">
      <c r="G1062" t="s">
        <v>894</v>
      </c>
      <c r="H1062">
        <v>1062</v>
      </c>
      <c r="I1062">
        <v>1062</v>
      </c>
      <c r="N1062" t="s">
        <v>895</v>
      </c>
      <c r="O1062">
        <v>1062</v>
      </c>
      <c r="P1062" t="str">
        <f t="shared" si="16"/>
        <v xml:space="preserve">[^ftn1062]: </v>
      </c>
    </row>
    <row r="1063" spans="7:16" x14ac:dyDescent="0.25">
      <c r="G1063" t="s">
        <v>894</v>
      </c>
      <c r="H1063">
        <v>1063</v>
      </c>
      <c r="I1063">
        <v>1063</v>
      </c>
      <c r="N1063" t="s">
        <v>895</v>
      </c>
      <c r="O1063">
        <v>1063</v>
      </c>
      <c r="P1063" t="str">
        <f t="shared" si="16"/>
        <v xml:space="preserve">[^ftn1063]: </v>
      </c>
    </row>
    <row r="1064" spans="7:16" x14ac:dyDescent="0.25">
      <c r="G1064" t="s">
        <v>894</v>
      </c>
      <c r="H1064">
        <v>1064</v>
      </c>
      <c r="I1064">
        <v>1064</v>
      </c>
      <c r="N1064" t="s">
        <v>895</v>
      </c>
      <c r="O1064">
        <v>1064</v>
      </c>
      <c r="P1064" t="str">
        <f t="shared" si="16"/>
        <v xml:space="preserve">[^ftn1064]: </v>
      </c>
    </row>
    <row r="1065" spans="7:16" x14ac:dyDescent="0.25">
      <c r="G1065" t="s">
        <v>894</v>
      </c>
      <c r="H1065">
        <v>1065</v>
      </c>
      <c r="I1065">
        <v>1065</v>
      </c>
      <c r="N1065" t="s">
        <v>895</v>
      </c>
      <c r="O1065">
        <v>1065</v>
      </c>
      <c r="P1065" t="str">
        <f t="shared" si="16"/>
        <v xml:space="preserve">[^ftn1065]: </v>
      </c>
    </row>
    <row r="1066" spans="7:16" x14ac:dyDescent="0.25">
      <c r="G1066" t="s">
        <v>894</v>
      </c>
      <c r="H1066">
        <v>1066</v>
      </c>
      <c r="I1066">
        <v>1066</v>
      </c>
      <c r="N1066" t="s">
        <v>895</v>
      </c>
      <c r="O1066">
        <v>1066</v>
      </c>
      <c r="P1066" t="str">
        <f t="shared" si="16"/>
        <v xml:space="preserve">[^ftn1066]: </v>
      </c>
    </row>
    <row r="1067" spans="7:16" x14ac:dyDescent="0.25">
      <c r="G1067" t="s">
        <v>894</v>
      </c>
      <c r="H1067">
        <v>1067</v>
      </c>
      <c r="I1067">
        <v>1067</v>
      </c>
      <c r="N1067" t="s">
        <v>895</v>
      </c>
      <c r="O1067">
        <v>1067</v>
      </c>
      <c r="P1067" t="str">
        <f t="shared" si="16"/>
        <v xml:space="preserve">[^ftn1067]: </v>
      </c>
    </row>
    <row r="1068" spans="7:16" x14ac:dyDescent="0.25">
      <c r="G1068" t="s">
        <v>894</v>
      </c>
      <c r="H1068">
        <v>1068</v>
      </c>
      <c r="I1068">
        <v>1068</v>
      </c>
      <c r="N1068" t="s">
        <v>895</v>
      </c>
      <c r="O1068">
        <v>1068</v>
      </c>
      <c r="P1068" t="str">
        <f t="shared" si="16"/>
        <v xml:space="preserve">[^ftn1068]: </v>
      </c>
    </row>
    <row r="1069" spans="7:16" x14ac:dyDescent="0.25">
      <c r="G1069" t="s">
        <v>894</v>
      </c>
      <c r="H1069">
        <v>1069</v>
      </c>
      <c r="I1069">
        <v>1069</v>
      </c>
      <c r="N1069" t="s">
        <v>895</v>
      </c>
      <c r="O1069">
        <v>1069</v>
      </c>
      <c r="P1069" t="str">
        <f t="shared" si="16"/>
        <v xml:space="preserve">[^ftn1069]: </v>
      </c>
    </row>
    <row r="1070" spans="7:16" x14ac:dyDescent="0.25">
      <c r="G1070" t="s">
        <v>894</v>
      </c>
      <c r="H1070">
        <v>1070</v>
      </c>
      <c r="I1070">
        <v>1070</v>
      </c>
      <c r="N1070" t="s">
        <v>895</v>
      </c>
      <c r="O1070">
        <v>1070</v>
      </c>
      <c r="P1070" t="str">
        <f t="shared" si="16"/>
        <v xml:space="preserve">[^ftn1070]: </v>
      </c>
    </row>
    <row r="1071" spans="7:16" x14ac:dyDescent="0.25">
      <c r="G1071" t="s">
        <v>894</v>
      </c>
      <c r="H1071">
        <v>1071</v>
      </c>
      <c r="I1071">
        <v>1071</v>
      </c>
      <c r="N1071" t="s">
        <v>895</v>
      </c>
      <c r="O1071">
        <v>1071</v>
      </c>
      <c r="P1071" t="str">
        <f t="shared" si="16"/>
        <v xml:space="preserve">[^ftn1071]: </v>
      </c>
    </row>
    <row r="1072" spans="7:16" x14ac:dyDescent="0.25">
      <c r="G1072" t="s">
        <v>894</v>
      </c>
      <c r="H1072">
        <v>1072</v>
      </c>
      <c r="I1072">
        <v>1072</v>
      </c>
      <c r="N1072" t="s">
        <v>895</v>
      </c>
      <c r="O1072">
        <v>1072</v>
      </c>
      <c r="P1072" t="str">
        <f t="shared" si="16"/>
        <v xml:space="preserve">[^ftn1072]: </v>
      </c>
    </row>
    <row r="1073" spans="7:16" x14ac:dyDescent="0.25">
      <c r="G1073" t="s">
        <v>894</v>
      </c>
      <c r="H1073">
        <v>1073</v>
      </c>
      <c r="I1073">
        <v>1073</v>
      </c>
      <c r="N1073" t="s">
        <v>895</v>
      </c>
      <c r="O1073">
        <v>1073</v>
      </c>
      <c r="P1073" t="str">
        <f t="shared" si="16"/>
        <v xml:space="preserve">[^ftn1073]: </v>
      </c>
    </row>
    <row r="1074" spans="7:16" x14ac:dyDescent="0.25">
      <c r="G1074" t="s">
        <v>894</v>
      </c>
      <c r="H1074">
        <v>1074</v>
      </c>
      <c r="I1074">
        <v>1074</v>
      </c>
      <c r="N1074" t="s">
        <v>895</v>
      </c>
      <c r="O1074">
        <v>1074</v>
      </c>
      <c r="P1074" t="str">
        <f t="shared" si="16"/>
        <v xml:space="preserve">[^ftn1074]: </v>
      </c>
    </row>
    <row r="1075" spans="7:16" x14ac:dyDescent="0.25">
      <c r="G1075" t="s">
        <v>894</v>
      </c>
      <c r="H1075">
        <v>1075</v>
      </c>
      <c r="I1075">
        <v>1075</v>
      </c>
      <c r="N1075" t="s">
        <v>895</v>
      </c>
      <c r="O1075">
        <v>1075</v>
      </c>
      <c r="P1075" t="str">
        <f t="shared" si="16"/>
        <v xml:space="preserve">[^ftn1075]: </v>
      </c>
    </row>
    <row r="1076" spans="7:16" x14ac:dyDescent="0.25">
      <c r="G1076" t="s">
        <v>894</v>
      </c>
      <c r="H1076">
        <v>1076</v>
      </c>
      <c r="I1076">
        <v>1076</v>
      </c>
      <c r="N1076" t="s">
        <v>895</v>
      </c>
      <c r="O1076">
        <v>1076</v>
      </c>
      <c r="P1076" t="str">
        <f t="shared" si="16"/>
        <v xml:space="preserve">[^ftn1076]: </v>
      </c>
    </row>
    <row r="1077" spans="7:16" x14ac:dyDescent="0.25">
      <c r="G1077" t="s">
        <v>894</v>
      </c>
      <c r="H1077">
        <v>1077</v>
      </c>
      <c r="I1077">
        <v>1077</v>
      </c>
      <c r="N1077" t="s">
        <v>895</v>
      </c>
      <c r="O1077">
        <v>1077</v>
      </c>
      <c r="P1077" t="str">
        <f t="shared" si="16"/>
        <v xml:space="preserve">[^ftn1077]: </v>
      </c>
    </row>
    <row r="1078" spans="7:16" x14ac:dyDescent="0.25">
      <c r="G1078" t="s">
        <v>894</v>
      </c>
      <c r="H1078">
        <v>1078</v>
      </c>
      <c r="I1078">
        <v>1078</v>
      </c>
      <c r="N1078" t="s">
        <v>895</v>
      </c>
      <c r="O1078">
        <v>1078</v>
      </c>
      <c r="P1078" t="str">
        <f t="shared" si="16"/>
        <v xml:space="preserve">[^ftn1078]: </v>
      </c>
    </row>
    <row r="1079" spans="7:16" x14ac:dyDescent="0.25">
      <c r="G1079" t="s">
        <v>894</v>
      </c>
      <c r="H1079">
        <v>1079</v>
      </c>
      <c r="I1079">
        <v>1079</v>
      </c>
      <c r="N1079" t="s">
        <v>895</v>
      </c>
      <c r="O1079">
        <v>1079</v>
      </c>
      <c r="P1079" t="str">
        <f t="shared" si="16"/>
        <v xml:space="preserve">[^ftn1079]: </v>
      </c>
    </row>
    <row r="1080" spans="7:16" x14ac:dyDescent="0.25">
      <c r="G1080" t="s">
        <v>894</v>
      </c>
      <c r="H1080">
        <v>1080</v>
      </c>
      <c r="I1080">
        <v>1080</v>
      </c>
      <c r="N1080" t="s">
        <v>895</v>
      </c>
      <c r="O1080">
        <v>1080</v>
      </c>
      <c r="P1080" t="str">
        <f t="shared" si="16"/>
        <v xml:space="preserve">[^ftn1080]: </v>
      </c>
    </row>
    <row r="1081" spans="7:16" x14ac:dyDescent="0.25">
      <c r="G1081" t="s">
        <v>894</v>
      </c>
      <c r="H1081">
        <v>1081</v>
      </c>
      <c r="I1081">
        <v>1081</v>
      </c>
      <c r="N1081" t="s">
        <v>895</v>
      </c>
      <c r="O1081">
        <v>1081</v>
      </c>
      <c r="P1081" t="str">
        <f t="shared" si="16"/>
        <v xml:space="preserve">[^ftn1081]: </v>
      </c>
    </row>
    <row r="1082" spans="7:16" x14ac:dyDescent="0.25">
      <c r="G1082" t="s">
        <v>894</v>
      </c>
      <c r="H1082">
        <v>1082</v>
      </c>
      <c r="I1082">
        <v>1082</v>
      </c>
      <c r="N1082" t="s">
        <v>895</v>
      </c>
      <c r="O1082">
        <v>1082</v>
      </c>
      <c r="P1082" t="str">
        <f t="shared" si="16"/>
        <v xml:space="preserve">[^ftn1082]: </v>
      </c>
    </row>
    <row r="1083" spans="7:16" x14ac:dyDescent="0.25">
      <c r="G1083" t="s">
        <v>894</v>
      </c>
      <c r="H1083">
        <v>1083</v>
      </c>
      <c r="I1083">
        <v>1083</v>
      </c>
      <c r="N1083" t="s">
        <v>895</v>
      </c>
      <c r="O1083">
        <v>1083</v>
      </c>
      <c r="P1083" t="str">
        <f t="shared" si="16"/>
        <v xml:space="preserve">[^ftn1083]: </v>
      </c>
    </row>
    <row r="1084" spans="7:16" x14ac:dyDescent="0.25">
      <c r="G1084" t="s">
        <v>894</v>
      </c>
      <c r="H1084">
        <v>1084</v>
      </c>
      <c r="I1084">
        <v>1084</v>
      </c>
      <c r="N1084" t="s">
        <v>895</v>
      </c>
      <c r="O1084">
        <v>1084</v>
      </c>
      <c r="P1084" t="str">
        <f t="shared" si="16"/>
        <v xml:space="preserve">[^ftn1084]: </v>
      </c>
    </row>
    <row r="1085" spans="7:16" x14ac:dyDescent="0.25">
      <c r="G1085" t="s">
        <v>894</v>
      </c>
      <c r="H1085">
        <v>1085</v>
      </c>
      <c r="I1085">
        <v>1085</v>
      </c>
      <c r="N1085" t="s">
        <v>895</v>
      </c>
      <c r="O1085">
        <v>1085</v>
      </c>
      <c r="P1085" t="str">
        <f t="shared" si="16"/>
        <v xml:space="preserve">[^ftn1085]: </v>
      </c>
    </row>
    <row r="1086" spans="7:16" x14ac:dyDescent="0.25">
      <c r="G1086" t="s">
        <v>894</v>
      </c>
      <c r="H1086">
        <v>1086</v>
      </c>
      <c r="I1086">
        <v>1086</v>
      </c>
      <c r="N1086" t="s">
        <v>895</v>
      </c>
      <c r="O1086">
        <v>1086</v>
      </c>
      <c r="P1086" t="str">
        <f t="shared" si="16"/>
        <v xml:space="preserve">[^ftn1086]: </v>
      </c>
    </row>
    <row r="1087" spans="7:16" x14ac:dyDescent="0.25">
      <c r="G1087" t="s">
        <v>894</v>
      </c>
      <c r="H1087">
        <v>1087</v>
      </c>
      <c r="I1087">
        <v>1087</v>
      </c>
      <c r="N1087" t="s">
        <v>895</v>
      </c>
      <c r="O1087">
        <v>1087</v>
      </c>
      <c r="P1087" t="str">
        <f t="shared" si="16"/>
        <v xml:space="preserve">[^ftn1087]: </v>
      </c>
    </row>
    <row r="1088" spans="7:16" x14ac:dyDescent="0.25">
      <c r="G1088" t="s">
        <v>894</v>
      </c>
      <c r="H1088">
        <v>1088</v>
      </c>
      <c r="I1088">
        <v>1088</v>
      </c>
      <c r="N1088" t="s">
        <v>895</v>
      </c>
      <c r="O1088">
        <v>1088</v>
      </c>
      <c r="P1088" t="str">
        <f t="shared" si="16"/>
        <v xml:space="preserve">[^ftn1088]: </v>
      </c>
    </row>
    <row r="1089" spans="7:16" x14ac:dyDescent="0.25">
      <c r="G1089" t="s">
        <v>894</v>
      </c>
      <c r="H1089">
        <v>1089</v>
      </c>
      <c r="I1089">
        <v>1089</v>
      </c>
      <c r="N1089" t="s">
        <v>895</v>
      </c>
      <c r="O1089">
        <v>1089</v>
      </c>
      <c r="P1089" t="str">
        <f t="shared" si="16"/>
        <v xml:space="preserve">[^ftn1089]: </v>
      </c>
    </row>
    <row r="1090" spans="7:16" x14ac:dyDescent="0.25">
      <c r="G1090" t="s">
        <v>894</v>
      </c>
      <c r="H1090">
        <v>1090</v>
      </c>
      <c r="I1090">
        <v>1090</v>
      </c>
      <c r="N1090" t="s">
        <v>895</v>
      </c>
      <c r="O1090">
        <v>1090</v>
      </c>
      <c r="P1090" t="str">
        <f t="shared" ref="P1090:P1153" si="17">_xlfn.CONCAT("[^ftn",O1090,"]: ",)</f>
        <v xml:space="preserve">[^ftn1090]: </v>
      </c>
    </row>
    <row r="1091" spans="7:16" x14ac:dyDescent="0.25">
      <c r="G1091" t="s">
        <v>894</v>
      </c>
      <c r="H1091">
        <v>1091</v>
      </c>
      <c r="I1091">
        <v>1091</v>
      </c>
      <c r="N1091" t="s">
        <v>895</v>
      </c>
      <c r="O1091">
        <v>1091</v>
      </c>
      <c r="P1091" t="str">
        <f t="shared" si="17"/>
        <v xml:space="preserve">[^ftn1091]: </v>
      </c>
    </row>
    <row r="1092" spans="7:16" x14ac:dyDescent="0.25">
      <c r="G1092" t="s">
        <v>894</v>
      </c>
      <c r="H1092">
        <v>1092</v>
      </c>
      <c r="I1092">
        <v>1092</v>
      </c>
      <c r="N1092" t="s">
        <v>895</v>
      </c>
      <c r="O1092">
        <v>1092</v>
      </c>
      <c r="P1092" t="str">
        <f t="shared" si="17"/>
        <v xml:space="preserve">[^ftn1092]: </v>
      </c>
    </row>
    <row r="1093" spans="7:16" x14ac:dyDescent="0.25">
      <c r="G1093" t="s">
        <v>894</v>
      </c>
      <c r="H1093">
        <v>1093</v>
      </c>
      <c r="I1093">
        <v>1093</v>
      </c>
      <c r="N1093" t="s">
        <v>895</v>
      </c>
      <c r="O1093">
        <v>1093</v>
      </c>
      <c r="P1093" t="str">
        <f t="shared" si="17"/>
        <v xml:space="preserve">[^ftn1093]: </v>
      </c>
    </row>
    <row r="1094" spans="7:16" x14ac:dyDescent="0.25">
      <c r="G1094" t="s">
        <v>894</v>
      </c>
      <c r="H1094">
        <v>1094</v>
      </c>
      <c r="I1094">
        <v>1094</v>
      </c>
      <c r="N1094" t="s">
        <v>895</v>
      </c>
      <c r="O1094">
        <v>1094</v>
      </c>
      <c r="P1094" t="str">
        <f t="shared" si="17"/>
        <v xml:space="preserve">[^ftn1094]: </v>
      </c>
    </row>
    <row r="1095" spans="7:16" x14ac:dyDescent="0.25">
      <c r="G1095" t="s">
        <v>894</v>
      </c>
      <c r="H1095">
        <v>1095</v>
      </c>
      <c r="I1095">
        <v>1095</v>
      </c>
      <c r="N1095" t="s">
        <v>895</v>
      </c>
      <c r="O1095">
        <v>1095</v>
      </c>
      <c r="P1095" t="str">
        <f t="shared" si="17"/>
        <v xml:space="preserve">[^ftn1095]: </v>
      </c>
    </row>
    <row r="1096" spans="7:16" x14ac:dyDescent="0.25">
      <c r="G1096" t="s">
        <v>894</v>
      </c>
      <c r="H1096">
        <v>1096</v>
      </c>
      <c r="I1096">
        <v>1096</v>
      </c>
      <c r="N1096" t="s">
        <v>895</v>
      </c>
      <c r="O1096">
        <v>1096</v>
      </c>
      <c r="P1096" t="str">
        <f t="shared" si="17"/>
        <v xml:space="preserve">[^ftn1096]: </v>
      </c>
    </row>
    <row r="1097" spans="7:16" x14ac:dyDescent="0.25">
      <c r="G1097" t="s">
        <v>894</v>
      </c>
      <c r="H1097">
        <v>1097</v>
      </c>
      <c r="I1097">
        <v>1097</v>
      </c>
      <c r="N1097" t="s">
        <v>895</v>
      </c>
      <c r="O1097">
        <v>1097</v>
      </c>
      <c r="P1097" t="str">
        <f t="shared" si="17"/>
        <v xml:space="preserve">[^ftn1097]: </v>
      </c>
    </row>
    <row r="1098" spans="7:16" x14ac:dyDescent="0.25">
      <c r="G1098" t="s">
        <v>894</v>
      </c>
      <c r="H1098">
        <v>1098</v>
      </c>
      <c r="I1098">
        <v>1098</v>
      </c>
      <c r="N1098" t="s">
        <v>895</v>
      </c>
      <c r="O1098">
        <v>1098</v>
      </c>
      <c r="P1098" t="str">
        <f t="shared" si="17"/>
        <v xml:space="preserve">[^ftn1098]: </v>
      </c>
    </row>
    <row r="1099" spans="7:16" x14ac:dyDescent="0.25">
      <c r="G1099" t="s">
        <v>894</v>
      </c>
      <c r="H1099">
        <v>1099</v>
      </c>
      <c r="I1099">
        <v>1099</v>
      </c>
      <c r="N1099" t="s">
        <v>895</v>
      </c>
      <c r="O1099">
        <v>1099</v>
      </c>
      <c r="P1099" t="str">
        <f t="shared" si="17"/>
        <v xml:space="preserve">[^ftn1099]: </v>
      </c>
    </row>
    <row r="1100" spans="7:16" x14ac:dyDescent="0.25">
      <c r="G1100" t="s">
        <v>894</v>
      </c>
      <c r="H1100">
        <v>1100</v>
      </c>
      <c r="I1100">
        <v>1100</v>
      </c>
      <c r="N1100" t="s">
        <v>895</v>
      </c>
      <c r="O1100">
        <v>1100</v>
      </c>
      <c r="P1100" t="str">
        <f t="shared" si="17"/>
        <v xml:space="preserve">[^ftn1100]: </v>
      </c>
    </row>
    <row r="1101" spans="7:16" x14ac:dyDescent="0.25">
      <c r="G1101" t="s">
        <v>894</v>
      </c>
      <c r="H1101">
        <v>1101</v>
      </c>
      <c r="I1101">
        <v>1101</v>
      </c>
      <c r="N1101" t="s">
        <v>895</v>
      </c>
      <c r="O1101">
        <v>1101</v>
      </c>
      <c r="P1101" t="str">
        <f t="shared" si="17"/>
        <v xml:space="preserve">[^ftn1101]: </v>
      </c>
    </row>
    <row r="1102" spans="7:16" x14ac:dyDescent="0.25">
      <c r="G1102" t="s">
        <v>894</v>
      </c>
      <c r="H1102">
        <v>1102</v>
      </c>
      <c r="I1102">
        <v>1102</v>
      </c>
      <c r="N1102" t="s">
        <v>895</v>
      </c>
      <c r="O1102">
        <v>1102</v>
      </c>
      <c r="P1102" t="str">
        <f t="shared" si="17"/>
        <v xml:space="preserve">[^ftn1102]: </v>
      </c>
    </row>
    <row r="1103" spans="7:16" x14ac:dyDescent="0.25">
      <c r="G1103" t="s">
        <v>894</v>
      </c>
      <c r="H1103">
        <v>1103</v>
      </c>
      <c r="I1103">
        <v>1103</v>
      </c>
      <c r="N1103" t="s">
        <v>895</v>
      </c>
      <c r="O1103">
        <v>1103</v>
      </c>
      <c r="P1103" t="str">
        <f t="shared" si="17"/>
        <v xml:space="preserve">[^ftn1103]: </v>
      </c>
    </row>
    <row r="1104" spans="7:16" x14ac:dyDescent="0.25">
      <c r="G1104" t="s">
        <v>894</v>
      </c>
      <c r="H1104">
        <v>1104</v>
      </c>
      <c r="I1104">
        <v>1104</v>
      </c>
      <c r="N1104" t="s">
        <v>895</v>
      </c>
      <c r="O1104">
        <v>1104</v>
      </c>
      <c r="P1104" t="str">
        <f t="shared" si="17"/>
        <v xml:space="preserve">[^ftn1104]: </v>
      </c>
    </row>
    <row r="1105" spans="7:16" x14ac:dyDescent="0.25">
      <c r="G1105" t="s">
        <v>894</v>
      </c>
      <c r="H1105">
        <v>1105</v>
      </c>
      <c r="I1105">
        <v>1105</v>
      </c>
      <c r="N1105" t="s">
        <v>895</v>
      </c>
      <c r="O1105">
        <v>1105</v>
      </c>
      <c r="P1105" t="str">
        <f t="shared" si="17"/>
        <v xml:space="preserve">[^ftn1105]: </v>
      </c>
    </row>
    <row r="1106" spans="7:16" x14ac:dyDescent="0.25">
      <c r="G1106" t="s">
        <v>894</v>
      </c>
      <c r="H1106">
        <v>1106</v>
      </c>
      <c r="I1106">
        <v>1106</v>
      </c>
      <c r="N1106" t="s">
        <v>895</v>
      </c>
      <c r="O1106">
        <v>1106</v>
      </c>
      <c r="P1106" t="str">
        <f t="shared" si="17"/>
        <v xml:space="preserve">[^ftn1106]: </v>
      </c>
    </row>
    <row r="1107" spans="7:16" x14ac:dyDescent="0.25">
      <c r="G1107" t="s">
        <v>894</v>
      </c>
      <c r="H1107">
        <v>1107</v>
      </c>
      <c r="I1107">
        <v>1107</v>
      </c>
      <c r="N1107" t="s">
        <v>895</v>
      </c>
      <c r="O1107">
        <v>1107</v>
      </c>
      <c r="P1107" t="str">
        <f t="shared" si="17"/>
        <v xml:space="preserve">[^ftn1107]: </v>
      </c>
    </row>
    <row r="1108" spans="7:16" x14ac:dyDescent="0.25">
      <c r="G1108" t="s">
        <v>894</v>
      </c>
      <c r="H1108">
        <v>1108</v>
      </c>
      <c r="I1108">
        <v>1108</v>
      </c>
      <c r="N1108" t="s">
        <v>895</v>
      </c>
      <c r="O1108">
        <v>1108</v>
      </c>
      <c r="P1108" t="str">
        <f t="shared" si="17"/>
        <v xml:space="preserve">[^ftn1108]: </v>
      </c>
    </row>
    <row r="1109" spans="7:16" x14ac:dyDescent="0.25">
      <c r="G1109" t="s">
        <v>894</v>
      </c>
      <c r="H1109">
        <v>1109</v>
      </c>
      <c r="I1109">
        <v>1109</v>
      </c>
      <c r="N1109" t="s">
        <v>895</v>
      </c>
      <c r="O1109">
        <v>1109</v>
      </c>
      <c r="P1109" t="str">
        <f t="shared" si="17"/>
        <v xml:space="preserve">[^ftn1109]: </v>
      </c>
    </row>
    <row r="1110" spans="7:16" x14ac:dyDescent="0.25">
      <c r="G1110" t="s">
        <v>894</v>
      </c>
      <c r="H1110">
        <v>1110</v>
      </c>
      <c r="I1110">
        <v>1110</v>
      </c>
      <c r="N1110" t="s">
        <v>895</v>
      </c>
      <c r="O1110">
        <v>1110</v>
      </c>
      <c r="P1110" t="str">
        <f t="shared" si="17"/>
        <v xml:space="preserve">[^ftn1110]: </v>
      </c>
    </row>
    <row r="1111" spans="7:16" x14ac:dyDescent="0.25">
      <c r="G1111" t="s">
        <v>894</v>
      </c>
      <c r="H1111">
        <v>1111</v>
      </c>
      <c r="I1111">
        <v>1111</v>
      </c>
      <c r="N1111" t="s">
        <v>895</v>
      </c>
      <c r="O1111">
        <v>1111</v>
      </c>
      <c r="P1111" t="str">
        <f t="shared" si="17"/>
        <v xml:space="preserve">[^ftn1111]: </v>
      </c>
    </row>
    <row r="1112" spans="7:16" x14ac:dyDescent="0.25">
      <c r="G1112" t="s">
        <v>894</v>
      </c>
      <c r="H1112">
        <v>1112</v>
      </c>
      <c r="I1112">
        <v>1112</v>
      </c>
      <c r="N1112" t="s">
        <v>895</v>
      </c>
      <c r="O1112">
        <v>1112</v>
      </c>
      <c r="P1112" t="str">
        <f t="shared" si="17"/>
        <v xml:space="preserve">[^ftn1112]: </v>
      </c>
    </row>
    <row r="1113" spans="7:16" x14ac:dyDescent="0.25">
      <c r="G1113" t="s">
        <v>894</v>
      </c>
      <c r="H1113">
        <v>1113</v>
      </c>
      <c r="I1113">
        <v>1113</v>
      </c>
      <c r="N1113" t="s">
        <v>895</v>
      </c>
      <c r="O1113">
        <v>1113</v>
      </c>
      <c r="P1113" t="str">
        <f t="shared" si="17"/>
        <v xml:space="preserve">[^ftn1113]: </v>
      </c>
    </row>
    <row r="1114" spans="7:16" x14ac:dyDescent="0.25">
      <c r="G1114" t="s">
        <v>894</v>
      </c>
      <c r="H1114">
        <v>1114</v>
      </c>
      <c r="I1114">
        <v>1114</v>
      </c>
      <c r="N1114" t="s">
        <v>895</v>
      </c>
      <c r="O1114">
        <v>1114</v>
      </c>
      <c r="P1114" t="str">
        <f t="shared" si="17"/>
        <v xml:space="preserve">[^ftn1114]: </v>
      </c>
    </row>
    <row r="1115" spans="7:16" x14ac:dyDescent="0.25">
      <c r="G1115" t="s">
        <v>894</v>
      </c>
      <c r="H1115">
        <v>1115</v>
      </c>
      <c r="I1115">
        <v>1115</v>
      </c>
      <c r="N1115" t="s">
        <v>895</v>
      </c>
      <c r="O1115">
        <v>1115</v>
      </c>
      <c r="P1115" t="str">
        <f t="shared" si="17"/>
        <v xml:space="preserve">[^ftn1115]: </v>
      </c>
    </row>
    <row r="1116" spans="7:16" x14ac:dyDescent="0.25">
      <c r="G1116" t="s">
        <v>894</v>
      </c>
      <c r="H1116">
        <v>1116</v>
      </c>
      <c r="I1116">
        <v>1116</v>
      </c>
      <c r="N1116" t="s">
        <v>895</v>
      </c>
      <c r="O1116">
        <v>1116</v>
      </c>
      <c r="P1116" t="str">
        <f t="shared" si="17"/>
        <v xml:space="preserve">[^ftn1116]: </v>
      </c>
    </row>
    <row r="1117" spans="7:16" x14ac:dyDescent="0.25">
      <c r="G1117" t="s">
        <v>894</v>
      </c>
      <c r="H1117">
        <v>1117</v>
      </c>
      <c r="I1117">
        <v>1117</v>
      </c>
      <c r="N1117" t="s">
        <v>895</v>
      </c>
      <c r="O1117">
        <v>1117</v>
      </c>
      <c r="P1117" t="str">
        <f t="shared" si="17"/>
        <v xml:space="preserve">[^ftn1117]: </v>
      </c>
    </row>
    <row r="1118" spans="7:16" x14ac:dyDescent="0.25">
      <c r="G1118" t="s">
        <v>894</v>
      </c>
      <c r="H1118">
        <v>1118</v>
      </c>
      <c r="I1118">
        <v>1118</v>
      </c>
      <c r="N1118" t="s">
        <v>895</v>
      </c>
      <c r="O1118">
        <v>1118</v>
      </c>
      <c r="P1118" t="str">
        <f t="shared" si="17"/>
        <v xml:space="preserve">[^ftn1118]: </v>
      </c>
    </row>
    <row r="1119" spans="7:16" x14ac:dyDescent="0.25">
      <c r="G1119" t="s">
        <v>894</v>
      </c>
      <c r="H1119">
        <v>1119</v>
      </c>
      <c r="I1119">
        <v>1119</v>
      </c>
      <c r="N1119" t="s">
        <v>895</v>
      </c>
      <c r="O1119">
        <v>1119</v>
      </c>
      <c r="P1119" t="str">
        <f t="shared" si="17"/>
        <v xml:space="preserve">[^ftn1119]: </v>
      </c>
    </row>
    <row r="1120" spans="7:16" x14ac:dyDescent="0.25">
      <c r="G1120" t="s">
        <v>894</v>
      </c>
      <c r="H1120">
        <v>1120</v>
      </c>
      <c r="I1120">
        <v>1120</v>
      </c>
      <c r="N1120" t="s">
        <v>895</v>
      </c>
      <c r="O1120">
        <v>1120</v>
      </c>
      <c r="P1120" t="str">
        <f t="shared" si="17"/>
        <v xml:space="preserve">[^ftn1120]: </v>
      </c>
    </row>
    <row r="1121" spans="7:16" x14ac:dyDescent="0.25">
      <c r="G1121" t="s">
        <v>894</v>
      </c>
      <c r="H1121">
        <v>1121</v>
      </c>
      <c r="I1121">
        <v>1121</v>
      </c>
      <c r="N1121" t="s">
        <v>895</v>
      </c>
      <c r="O1121">
        <v>1121</v>
      </c>
      <c r="P1121" t="str">
        <f t="shared" si="17"/>
        <v xml:space="preserve">[^ftn1121]: </v>
      </c>
    </row>
    <row r="1122" spans="7:16" x14ac:dyDescent="0.25">
      <c r="G1122" t="s">
        <v>894</v>
      </c>
      <c r="H1122">
        <v>1122</v>
      </c>
      <c r="I1122">
        <v>1122</v>
      </c>
      <c r="N1122" t="s">
        <v>895</v>
      </c>
      <c r="O1122">
        <v>1122</v>
      </c>
      <c r="P1122" t="str">
        <f t="shared" si="17"/>
        <v xml:space="preserve">[^ftn1122]: </v>
      </c>
    </row>
    <row r="1123" spans="7:16" x14ac:dyDescent="0.25">
      <c r="G1123" t="s">
        <v>894</v>
      </c>
      <c r="H1123">
        <v>1123</v>
      </c>
      <c r="I1123">
        <v>1123</v>
      </c>
      <c r="N1123" t="s">
        <v>895</v>
      </c>
      <c r="O1123">
        <v>1123</v>
      </c>
      <c r="P1123" t="str">
        <f t="shared" si="17"/>
        <v xml:space="preserve">[^ftn1123]: </v>
      </c>
    </row>
    <row r="1124" spans="7:16" x14ac:dyDescent="0.25">
      <c r="G1124" t="s">
        <v>894</v>
      </c>
      <c r="H1124">
        <v>1124</v>
      </c>
      <c r="I1124">
        <v>1124</v>
      </c>
      <c r="N1124" t="s">
        <v>895</v>
      </c>
      <c r="O1124">
        <v>1124</v>
      </c>
      <c r="P1124" t="str">
        <f t="shared" si="17"/>
        <v xml:space="preserve">[^ftn1124]: </v>
      </c>
    </row>
    <row r="1125" spans="7:16" x14ac:dyDescent="0.25">
      <c r="G1125" t="s">
        <v>894</v>
      </c>
      <c r="H1125">
        <v>1125</v>
      </c>
      <c r="I1125">
        <v>1125</v>
      </c>
      <c r="N1125" t="s">
        <v>895</v>
      </c>
      <c r="O1125">
        <v>1125</v>
      </c>
      <c r="P1125" t="str">
        <f t="shared" si="17"/>
        <v xml:space="preserve">[^ftn1125]: </v>
      </c>
    </row>
    <row r="1126" spans="7:16" x14ac:dyDescent="0.25">
      <c r="G1126" t="s">
        <v>894</v>
      </c>
      <c r="H1126">
        <v>1126</v>
      </c>
      <c r="I1126">
        <v>1126</v>
      </c>
      <c r="N1126" t="s">
        <v>895</v>
      </c>
      <c r="O1126">
        <v>1126</v>
      </c>
      <c r="P1126" t="str">
        <f t="shared" si="17"/>
        <v xml:space="preserve">[^ftn1126]: </v>
      </c>
    </row>
    <row r="1127" spans="7:16" x14ac:dyDescent="0.25">
      <c r="G1127" t="s">
        <v>894</v>
      </c>
      <c r="H1127">
        <v>1127</v>
      </c>
      <c r="I1127">
        <v>1127</v>
      </c>
      <c r="N1127" t="s">
        <v>895</v>
      </c>
      <c r="O1127">
        <v>1127</v>
      </c>
      <c r="P1127" t="str">
        <f t="shared" si="17"/>
        <v xml:space="preserve">[^ftn1127]: </v>
      </c>
    </row>
    <row r="1128" spans="7:16" x14ac:dyDescent="0.25">
      <c r="G1128" t="s">
        <v>894</v>
      </c>
      <c r="H1128">
        <v>1128</v>
      </c>
      <c r="I1128">
        <v>1128</v>
      </c>
      <c r="N1128" t="s">
        <v>895</v>
      </c>
      <c r="O1128">
        <v>1128</v>
      </c>
      <c r="P1128" t="str">
        <f t="shared" si="17"/>
        <v xml:space="preserve">[^ftn1128]: </v>
      </c>
    </row>
    <row r="1129" spans="7:16" x14ac:dyDescent="0.25">
      <c r="G1129" t="s">
        <v>894</v>
      </c>
      <c r="H1129">
        <v>1129</v>
      </c>
      <c r="I1129">
        <v>1129</v>
      </c>
      <c r="N1129" t="s">
        <v>895</v>
      </c>
      <c r="O1129">
        <v>1129</v>
      </c>
      <c r="P1129" t="str">
        <f t="shared" si="17"/>
        <v xml:space="preserve">[^ftn1129]: </v>
      </c>
    </row>
    <row r="1130" spans="7:16" x14ac:dyDescent="0.25">
      <c r="G1130" t="s">
        <v>894</v>
      </c>
      <c r="H1130">
        <v>1130</v>
      </c>
      <c r="I1130">
        <v>1130</v>
      </c>
      <c r="N1130" t="s">
        <v>895</v>
      </c>
      <c r="O1130">
        <v>1130</v>
      </c>
      <c r="P1130" t="str">
        <f t="shared" si="17"/>
        <v xml:space="preserve">[^ftn1130]: </v>
      </c>
    </row>
    <row r="1131" spans="7:16" x14ac:dyDescent="0.25">
      <c r="G1131" t="s">
        <v>894</v>
      </c>
      <c r="H1131">
        <v>1131</v>
      </c>
      <c r="I1131">
        <v>1131</v>
      </c>
      <c r="N1131" t="s">
        <v>895</v>
      </c>
      <c r="O1131">
        <v>1131</v>
      </c>
      <c r="P1131" t="str">
        <f t="shared" si="17"/>
        <v xml:space="preserve">[^ftn1131]: </v>
      </c>
    </row>
    <row r="1132" spans="7:16" x14ac:dyDescent="0.25">
      <c r="G1132" t="s">
        <v>894</v>
      </c>
      <c r="H1132">
        <v>1132</v>
      </c>
      <c r="I1132">
        <v>1132</v>
      </c>
      <c r="N1132" t="s">
        <v>895</v>
      </c>
      <c r="O1132">
        <v>1132</v>
      </c>
      <c r="P1132" t="str">
        <f t="shared" si="17"/>
        <v xml:space="preserve">[^ftn1132]: </v>
      </c>
    </row>
    <row r="1133" spans="7:16" x14ac:dyDescent="0.25">
      <c r="G1133" t="s">
        <v>894</v>
      </c>
      <c r="H1133">
        <v>1133</v>
      </c>
      <c r="I1133">
        <v>1133</v>
      </c>
      <c r="N1133" t="s">
        <v>895</v>
      </c>
      <c r="O1133">
        <v>1133</v>
      </c>
      <c r="P1133" t="str">
        <f t="shared" si="17"/>
        <v xml:space="preserve">[^ftn1133]: </v>
      </c>
    </row>
    <row r="1134" spans="7:16" x14ac:dyDescent="0.25">
      <c r="G1134" t="s">
        <v>894</v>
      </c>
      <c r="H1134">
        <v>1134</v>
      </c>
      <c r="I1134">
        <v>1134</v>
      </c>
      <c r="N1134" t="s">
        <v>895</v>
      </c>
      <c r="O1134">
        <v>1134</v>
      </c>
      <c r="P1134" t="str">
        <f t="shared" si="17"/>
        <v xml:space="preserve">[^ftn1134]: </v>
      </c>
    </row>
    <row r="1135" spans="7:16" x14ac:dyDescent="0.25">
      <c r="G1135" t="s">
        <v>894</v>
      </c>
      <c r="H1135">
        <v>1135</v>
      </c>
      <c r="I1135">
        <v>1135</v>
      </c>
      <c r="N1135" t="s">
        <v>895</v>
      </c>
      <c r="O1135">
        <v>1135</v>
      </c>
      <c r="P1135" t="str">
        <f t="shared" si="17"/>
        <v xml:space="preserve">[^ftn1135]: </v>
      </c>
    </row>
    <row r="1136" spans="7:16" x14ac:dyDescent="0.25">
      <c r="G1136" t="s">
        <v>894</v>
      </c>
      <c r="H1136">
        <v>1136</v>
      </c>
      <c r="I1136">
        <v>1136</v>
      </c>
      <c r="N1136" t="s">
        <v>895</v>
      </c>
      <c r="O1136">
        <v>1136</v>
      </c>
      <c r="P1136" t="str">
        <f t="shared" si="17"/>
        <v xml:space="preserve">[^ftn1136]: </v>
      </c>
    </row>
    <row r="1137" spans="7:16" x14ac:dyDescent="0.25">
      <c r="G1137" t="s">
        <v>894</v>
      </c>
      <c r="H1137">
        <v>1137</v>
      </c>
      <c r="I1137">
        <v>1137</v>
      </c>
      <c r="N1137" t="s">
        <v>895</v>
      </c>
      <c r="O1137">
        <v>1137</v>
      </c>
      <c r="P1137" t="str">
        <f t="shared" si="17"/>
        <v xml:space="preserve">[^ftn1137]: </v>
      </c>
    </row>
    <row r="1138" spans="7:16" x14ac:dyDescent="0.25">
      <c r="G1138" t="s">
        <v>894</v>
      </c>
      <c r="H1138">
        <v>1138</v>
      </c>
      <c r="I1138">
        <v>1138</v>
      </c>
      <c r="N1138" t="s">
        <v>895</v>
      </c>
      <c r="O1138">
        <v>1138</v>
      </c>
      <c r="P1138" t="str">
        <f t="shared" si="17"/>
        <v xml:space="preserve">[^ftn1138]: </v>
      </c>
    </row>
    <row r="1139" spans="7:16" x14ac:dyDescent="0.25">
      <c r="G1139" t="s">
        <v>894</v>
      </c>
      <c r="H1139">
        <v>1139</v>
      </c>
      <c r="I1139">
        <v>1139</v>
      </c>
      <c r="N1139" t="s">
        <v>895</v>
      </c>
      <c r="O1139">
        <v>1139</v>
      </c>
      <c r="P1139" t="str">
        <f t="shared" si="17"/>
        <v xml:space="preserve">[^ftn1139]: </v>
      </c>
    </row>
    <row r="1140" spans="7:16" x14ac:dyDescent="0.25">
      <c r="G1140" t="s">
        <v>894</v>
      </c>
      <c r="H1140">
        <v>1140</v>
      </c>
      <c r="I1140">
        <v>1140</v>
      </c>
      <c r="N1140" t="s">
        <v>895</v>
      </c>
      <c r="O1140">
        <v>1140</v>
      </c>
      <c r="P1140" t="str">
        <f t="shared" si="17"/>
        <v xml:space="preserve">[^ftn1140]: </v>
      </c>
    </row>
    <row r="1141" spans="7:16" x14ac:dyDescent="0.25">
      <c r="G1141" t="s">
        <v>894</v>
      </c>
      <c r="H1141">
        <v>1141</v>
      </c>
      <c r="I1141">
        <v>1141</v>
      </c>
      <c r="N1141" t="s">
        <v>895</v>
      </c>
      <c r="O1141">
        <v>1141</v>
      </c>
      <c r="P1141" t="str">
        <f t="shared" si="17"/>
        <v xml:space="preserve">[^ftn1141]: </v>
      </c>
    </row>
    <row r="1142" spans="7:16" x14ac:dyDescent="0.25">
      <c r="G1142" t="s">
        <v>894</v>
      </c>
      <c r="H1142">
        <v>1142</v>
      </c>
      <c r="I1142">
        <v>1142</v>
      </c>
      <c r="N1142" t="s">
        <v>895</v>
      </c>
      <c r="O1142">
        <v>1142</v>
      </c>
      <c r="P1142" t="str">
        <f t="shared" si="17"/>
        <v xml:space="preserve">[^ftn1142]: </v>
      </c>
    </row>
    <row r="1143" spans="7:16" x14ac:dyDescent="0.25">
      <c r="G1143" t="s">
        <v>894</v>
      </c>
      <c r="H1143">
        <v>1143</v>
      </c>
      <c r="I1143">
        <v>1143</v>
      </c>
      <c r="N1143" t="s">
        <v>895</v>
      </c>
      <c r="O1143">
        <v>1143</v>
      </c>
      <c r="P1143" t="str">
        <f t="shared" si="17"/>
        <v xml:space="preserve">[^ftn1143]: </v>
      </c>
    </row>
    <row r="1144" spans="7:16" x14ac:dyDescent="0.25">
      <c r="G1144" t="s">
        <v>894</v>
      </c>
      <c r="H1144">
        <v>1144</v>
      </c>
      <c r="I1144">
        <v>1144</v>
      </c>
      <c r="N1144" t="s">
        <v>895</v>
      </c>
      <c r="O1144">
        <v>1144</v>
      </c>
      <c r="P1144" t="str">
        <f t="shared" si="17"/>
        <v xml:space="preserve">[^ftn1144]: </v>
      </c>
    </row>
    <row r="1145" spans="7:16" x14ac:dyDescent="0.25">
      <c r="G1145" t="s">
        <v>894</v>
      </c>
      <c r="H1145">
        <v>1145</v>
      </c>
      <c r="I1145">
        <v>1145</v>
      </c>
      <c r="N1145" t="s">
        <v>895</v>
      </c>
      <c r="O1145">
        <v>1145</v>
      </c>
      <c r="P1145" t="str">
        <f t="shared" si="17"/>
        <v xml:space="preserve">[^ftn1145]: </v>
      </c>
    </row>
    <row r="1146" spans="7:16" x14ac:dyDescent="0.25">
      <c r="G1146" t="s">
        <v>894</v>
      </c>
      <c r="H1146">
        <v>1146</v>
      </c>
      <c r="I1146">
        <v>1146</v>
      </c>
      <c r="N1146" t="s">
        <v>895</v>
      </c>
      <c r="O1146">
        <v>1146</v>
      </c>
      <c r="P1146" t="str">
        <f t="shared" si="17"/>
        <v xml:space="preserve">[^ftn1146]: </v>
      </c>
    </row>
    <row r="1147" spans="7:16" x14ac:dyDescent="0.25">
      <c r="G1147" t="s">
        <v>894</v>
      </c>
      <c r="H1147">
        <v>1147</v>
      </c>
      <c r="I1147">
        <v>1147</v>
      </c>
      <c r="N1147" t="s">
        <v>895</v>
      </c>
      <c r="O1147">
        <v>1147</v>
      </c>
      <c r="P1147" t="str">
        <f t="shared" si="17"/>
        <v xml:space="preserve">[^ftn1147]: </v>
      </c>
    </row>
    <row r="1148" spans="7:16" x14ac:dyDescent="0.25">
      <c r="G1148" t="s">
        <v>894</v>
      </c>
      <c r="H1148">
        <v>1148</v>
      </c>
      <c r="I1148">
        <v>1148</v>
      </c>
      <c r="N1148" t="s">
        <v>895</v>
      </c>
      <c r="O1148">
        <v>1148</v>
      </c>
      <c r="P1148" t="str">
        <f t="shared" si="17"/>
        <v xml:space="preserve">[^ftn1148]: </v>
      </c>
    </row>
    <row r="1149" spans="7:16" x14ac:dyDescent="0.25">
      <c r="G1149" t="s">
        <v>894</v>
      </c>
      <c r="H1149">
        <v>1149</v>
      </c>
      <c r="I1149">
        <v>1149</v>
      </c>
      <c r="N1149" t="s">
        <v>895</v>
      </c>
      <c r="O1149">
        <v>1149</v>
      </c>
      <c r="P1149" t="str">
        <f t="shared" si="17"/>
        <v xml:space="preserve">[^ftn1149]: </v>
      </c>
    </row>
    <row r="1150" spans="7:16" x14ac:dyDescent="0.25">
      <c r="G1150" t="s">
        <v>894</v>
      </c>
      <c r="H1150">
        <v>1150</v>
      </c>
      <c r="I1150">
        <v>1150</v>
      </c>
      <c r="N1150" t="s">
        <v>895</v>
      </c>
      <c r="O1150">
        <v>1150</v>
      </c>
      <c r="P1150" t="str">
        <f t="shared" si="17"/>
        <v xml:space="preserve">[^ftn1150]: </v>
      </c>
    </row>
    <row r="1151" spans="7:16" x14ac:dyDescent="0.25">
      <c r="G1151" t="s">
        <v>894</v>
      </c>
      <c r="H1151">
        <v>1151</v>
      </c>
      <c r="I1151">
        <v>1151</v>
      </c>
      <c r="N1151" t="s">
        <v>895</v>
      </c>
      <c r="O1151">
        <v>1151</v>
      </c>
      <c r="P1151" t="str">
        <f t="shared" si="17"/>
        <v xml:space="preserve">[^ftn1151]: </v>
      </c>
    </row>
    <row r="1152" spans="7:16" x14ac:dyDescent="0.25">
      <c r="G1152" t="s">
        <v>894</v>
      </c>
      <c r="H1152">
        <v>1152</v>
      </c>
      <c r="I1152">
        <v>1152</v>
      </c>
      <c r="N1152" t="s">
        <v>895</v>
      </c>
      <c r="O1152">
        <v>1152</v>
      </c>
      <c r="P1152" t="str">
        <f t="shared" si="17"/>
        <v xml:space="preserve">[^ftn1152]: </v>
      </c>
    </row>
    <row r="1153" spans="7:16" x14ac:dyDescent="0.25">
      <c r="G1153" t="s">
        <v>894</v>
      </c>
      <c r="H1153">
        <v>1153</v>
      </c>
      <c r="I1153">
        <v>1153</v>
      </c>
      <c r="N1153" t="s">
        <v>895</v>
      </c>
      <c r="O1153">
        <v>1153</v>
      </c>
      <c r="P1153" t="str">
        <f t="shared" si="17"/>
        <v xml:space="preserve">[^ftn1153]: </v>
      </c>
    </row>
    <row r="1154" spans="7:16" x14ac:dyDescent="0.25">
      <c r="G1154" t="s">
        <v>894</v>
      </c>
      <c r="H1154">
        <v>1154</v>
      </c>
      <c r="I1154">
        <v>1154</v>
      </c>
      <c r="N1154" t="s">
        <v>895</v>
      </c>
      <c r="O1154">
        <v>1154</v>
      </c>
      <c r="P1154" t="str">
        <f t="shared" ref="P1154:P1217" si="18">_xlfn.CONCAT("[^ftn",O1154,"]: ",)</f>
        <v xml:space="preserve">[^ftn1154]: </v>
      </c>
    </row>
    <row r="1155" spans="7:16" x14ac:dyDescent="0.25">
      <c r="G1155" t="s">
        <v>894</v>
      </c>
      <c r="H1155">
        <v>1155</v>
      </c>
      <c r="I1155">
        <v>1155</v>
      </c>
      <c r="N1155" t="s">
        <v>895</v>
      </c>
      <c r="O1155">
        <v>1155</v>
      </c>
      <c r="P1155" t="str">
        <f t="shared" si="18"/>
        <v xml:space="preserve">[^ftn1155]: </v>
      </c>
    </row>
    <row r="1156" spans="7:16" x14ac:dyDescent="0.25">
      <c r="G1156" t="s">
        <v>894</v>
      </c>
      <c r="H1156">
        <v>1156</v>
      </c>
      <c r="I1156">
        <v>1156</v>
      </c>
      <c r="N1156" t="s">
        <v>895</v>
      </c>
      <c r="O1156">
        <v>1156</v>
      </c>
      <c r="P1156" t="str">
        <f t="shared" si="18"/>
        <v xml:space="preserve">[^ftn1156]: </v>
      </c>
    </row>
    <row r="1157" spans="7:16" x14ac:dyDescent="0.25">
      <c r="G1157" t="s">
        <v>894</v>
      </c>
      <c r="H1157">
        <v>1157</v>
      </c>
      <c r="I1157">
        <v>1157</v>
      </c>
      <c r="N1157" t="s">
        <v>895</v>
      </c>
      <c r="O1157">
        <v>1157</v>
      </c>
      <c r="P1157" t="str">
        <f t="shared" si="18"/>
        <v xml:space="preserve">[^ftn1157]: </v>
      </c>
    </row>
    <row r="1158" spans="7:16" x14ac:dyDescent="0.25">
      <c r="G1158" t="s">
        <v>894</v>
      </c>
      <c r="H1158">
        <v>1158</v>
      </c>
      <c r="I1158">
        <v>1158</v>
      </c>
      <c r="N1158" t="s">
        <v>895</v>
      </c>
      <c r="O1158">
        <v>1158</v>
      </c>
      <c r="P1158" t="str">
        <f t="shared" si="18"/>
        <v xml:space="preserve">[^ftn1158]: </v>
      </c>
    </row>
    <row r="1159" spans="7:16" x14ac:dyDescent="0.25">
      <c r="G1159" t="s">
        <v>894</v>
      </c>
      <c r="H1159">
        <v>1159</v>
      </c>
      <c r="I1159">
        <v>1159</v>
      </c>
      <c r="N1159" t="s">
        <v>895</v>
      </c>
      <c r="O1159">
        <v>1159</v>
      </c>
      <c r="P1159" t="str">
        <f t="shared" si="18"/>
        <v xml:space="preserve">[^ftn1159]: </v>
      </c>
    </row>
    <row r="1160" spans="7:16" x14ac:dyDescent="0.25">
      <c r="G1160" t="s">
        <v>894</v>
      </c>
      <c r="H1160">
        <v>1160</v>
      </c>
      <c r="I1160">
        <v>1160</v>
      </c>
      <c r="N1160" t="s">
        <v>895</v>
      </c>
      <c r="O1160">
        <v>1160</v>
      </c>
      <c r="P1160" t="str">
        <f t="shared" si="18"/>
        <v xml:space="preserve">[^ftn1160]: </v>
      </c>
    </row>
    <row r="1161" spans="7:16" x14ac:dyDescent="0.25">
      <c r="G1161" t="s">
        <v>894</v>
      </c>
      <c r="H1161">
        <v>1161</v>
      </c>
      <c r="I1161">
        <v>1161</v>
      </c>
      <c r="N1161" t="s">
        <v>895</v>
      </c>
      <c r="O1161">
        <v>1161</v>
      </c>
      <c r="P1161" t="str">
        <f t="shared" si="18"/>
        <v xml:space="preserve">[^ftn1161]: </v>
      </c>
    </row>
    <row r="1162" spans="7:16" x14ac:dyDescent="0.25">
      <c r="G1162" t="s">
        <v>894</v>
      </c>
      <c r="H1162">
        <v>1162</v>
      </c>
      <c r="I1162">
        <v>1162</v>
      </c>
      <c r="N1162" t="s">
        <v>895</v>
      </c>
      <c r="O1162">
        <v>1162</v>
      </c>
      <c r="P1162" t="str">
        <f t="shared" si="18"/>
        <v xml:space="preserve">[^ftn1162]: </v>
      </c>
    </row>
    <row r="1163" spans="7:16" x14ac:dyDescent="0.25">
      <c r="G1163" t="s">
        <v>894</v>
      </c>
      <c r="H1163">
        <v>1163</v>
      </c>
      <c r="I1163">
        <v>1163</v>
      </c>
      <c r="N1163" t="s">
        <v>895</v>
      </c>
      <c r="O1163">
        <v>1163</v>
      </c>
      <c r="P1163" t="str">
        <f t="shared" si="18"/>
        <v xml:space="preserve">[^ftn1163]: </v>
      </c>
    </row>
    <row r="1164" spans="7:16" x14ac:dyDescent="0.25">
      <c r="G1164" t="s">
        <v>894</v>
      </c>
      <c r="H1164">
        <v>1164</v>
      </c>
      <c r="I1164">
        <v>1164</v>
      </c>
      <c r="N1164" t="s">
        <v>895</v>
      </c>
      <c r="O1164">
        <v>1164</v>
      </c>
      <c r="P1164" t="str">
        <f t="shared" si="18"/>
        <v xml:space="preserve">[^ftn1164]: </v>
      </c>
    </row>
    <row r="1165" spans="7:16" x14ac:dyDescent="0.25">
      <c r="G1165" t="s">
        <v>894</v>
      </c>
      <c r="H1165">
        <v>1165</v>
      </c>
      <c r="I1165">
        <v>1165</v>
      </c>
      <c r="N1165" t="s">
        <v>895</v>
      </c>
      <c r="O1165">
        <v>1165</v>
      </c>
      <c r="P1165" t="str">
        <f t="shared" si="18"/>
        <v xml:space="preserve">[^ftn1165]: </v>
      </c>
    </row>
    <row r="1166" spans="7:16" x14ac:dyDescent="0.25">
      <c r="G1166" t="s">
        <v>894</v>
      </c>
      <c r="H1166">
        <v>1166</v>
      </c>
      <c r="I1166">
        <v>1166</v>
      </c>
      <c r="N1166" t="s">
        <v>895</v>
      </c>
      <c r="O1166">
        <v>1166</v>
      </c>
      <c r="P1166" t="str">
        <f t="shared" si="18"/>
        <v xml:space="preserve">[^ftn1166]: </v>
      </c>
    </row>
    <row r="1167" spans="7:16" x14ac:dyDescent="0.25">
      <c r="G1167" t="s">
        <v>894</v>
      </c>
      <c r="H1167">
        <v>1167</v>
      </c>
      <c r="I1167">
        <v>1167</v>
      </c>
      <c r="N1167" t="s">
        <v>895</v>
      </c>
      <c r="O1167">
        <v>1167</v>
      </c>
      <c r="P1167" t="str">
        <f t="shared" si="18"/>
        <v xml:space="preserve">[^ftn1167]: </v>
      </c>
    </row>
    <row r="1168" spans="7:16" x14ac:dyDescent="0.25">
      <c r="G1168" t="s">
        <v>894</v>
      </c>
      <c r="H1168">
        <v>1168</v>
      </c>
      <c r="I1168">
        <v>1168</v>
      </c>
      <c r="N1168" t="s">
        <v>895</v>
      </c>
      <c r="O1168">
        <v>1168</v>
      </c>
      <c r="P1168" t="str">
        <f t="shared" si="18"/>
        <v xml:space="preserve">[^ftn1168]: </v>
      </c>
    </row>
    <row r="1169" spans="7:16" x14ac:dyDescent="0.25">
      <c r="G1169" t="s">
        <v>894</v>
      </c>
      <c r="H1169">
        <v>1169</v>
      </c>
      <c r="I1169">
        <v>1169</v>
      </c>
      <c r="N1169" t="s">
        <v>895</v>
      </c>
      <c r="O1169">
        <v>1169</v>
      </c>
      <c r="P1169" t="str">
        <f t="shared" si="18"/>
        <v xml:space="preserve">[^ftn1169]: </v>
      </c>
    </row>
    <row r="1170" spans="7:16" x14ac:dyDescent="0.25">
      <c r="G1170" t="s">
        <v>894</v>
      </c>
      <c r="H1170">
        <v>1170</v>
      </c>
      <c r="I1170">
        <v>1170</v>
      </c>
      <c r="N1170" t="s">
        <v>895</v>
      </c>
      <c r="O1170">
        <v>1170</v>
      </c>
      <c r="P1170" t="str">
        <f t="shared" si="18"/>
        <v xml:space="preserve">[^ftn1170]: </v>
      </c>
    </row>
    <row r="1171" spans="7:16" x14ac:dyDescent="0.25">
      <c r="G1171" t="s">
        <v>894</v>
      </c>
      <c r="H1171">
        <v>1171</v>
      </c>
      <c r="I1171">
        <v>1171</v>
      </c>
      <c r="N1171" t="s">
        <v>895</v>
      </c>
      <c r="O1171">
        <v>1171</v>
      </c>
      <c r="P1171" t="str">
        <f t="shared" si="18"/>
        <v xml:space="preserve">[^ftn1171]: </v>
      </c>
    </row>
    <row r="1172" spans="7:16" x14ac:dyDescent="0.25">
      <c r="G1172" t="s">
        <v>894</v>
      </c>
      <c r="H1172">
        <v>1172</v>
      </c>
      <c r="I1172">
        <v>1172</v>
      </c>
      <c r="N1172" t="s">
        <v>895</v>
      </c>
      <c r="O1172">
        <v>1172</v>
      </c>
      <c r="P1172" t="str">
        <f t="shared" si="18"/>
        <v xml:space="preserve">[^ftn1172]: </v>
      </c>
    </row>
    <row r="1173" spans="7:16" x14ac:dyDescent="0.25">
      <c r="G1173" t="s">
        <v>894</v>
      </c>
      <c r="H1173">
        <v>1173</v>
      </c>
      <c r="I1173">
        <v>1173</v>
      </c>
      <c r="N1173" t="s">
        <v>895</v>
      </c>
      <c r="O1173">
        <v>1173</v>
      </c>
      <c r="P1173" t="str">
        <f t="shared" si="18"/>
        <v xml:space="preserve">[^ftn1173]: </v>
      </c>
    </row>
    <row r="1174" spans="7:16" x14ac:dyDescent="0.25">
      <c r="G1174" t="s">
        <v>894</v>
      </c>
      <c r="H1174">
        <v>1174</v>
      </c>
      <c r="I1174">
        <v>1174</v>
      </c>
      <c r="N1174" t="s">
        <v>895</v>
      </c>
      <c r="O1174">
        <v>1174</v>
      </c>
      <c r="P1174" t="str">
        <f t="shared" si="18"/>
        <v xml:space="preserve">[^ftn1174]: </v>
      </c>
    </row>
    <row r="1175" spans="7:16" x14ac:dyDescent="0.25">
      <c r="G1175" t="s">
        <v>894</v>
      </c>
      <c r="H1175">
        <v>1175</v>
      </c>
      <c r="I1175">
        <v>1175</v>
      </c>
      <c r="N1175" t="s">
        <v>895</v>
      </c>
      <c r="O1175">
        <v>1175</v>
      </c>
      <c r="P1175" t="str">
        <f t="shared" si="18"/>
        <v xml:space="preserve">[^ftn1175]: </v>
      </c>
    </row>
    <row r="1176" spans="7:16" x14ac:dyDescent="0.25">
      <c r="G1176" t="s">
        <v>894</v>
      </c>
      <c r="H1176">
        <v>1176</v>
      </c>
      <c r="I1176">
        <v>1176</v>
      </c>
      <c r="N1176" t="s">
        <v>895</v>
      </c>
      <c r="O1176">
        <v>1176</v>
      </c>
      <c r="P1176" t="str">
        <f t="shared" si="18"/>
        <v xml:space="preserve">[^ftn1176]: </v>
      </c>
    </row>
    <row r="1177" spans="7:16" x14ac:dyDescent="0.25">
      <c r="G1177" t="s">
        <v>894</v>
      </c>
      <c r="H1177">
        <v>1177</v>
      </c>
      <c r="I1177">
        <v>1177</v>
      </c>
      <c r="N1177" t="s">
        <v>895</v>
      </c>
      <c r="O1177">
        <v>1177</v>
      </c>
      <c r="P1177" t="str">
        <f t="shared" si="18"/>
        <v xml:space="preserve">[^ftn1177]: </v>
      </c>
    </row>
    <row r="1178" spans="7:16" x14ac:dyDescent="0.25">
      <c r="G1178" t="s">
        <v>894</v>
      </c>
      <c r="H1178">
        <v>1178</v>
      </c>
      <c r="I1178">
        <v>1178</v>
      </c>
      <c r="N1178" t="s">
        <v>895</v>
      </c>
      <c r="O1178">
        <v>1178</v>
      </c>
      <c r="P1178" t="str">
        <f t="shared" si="18"/>
        <v xml:space="preserve">[^ftn1178]: </v>
      </c>
    </row>
    <row r="1179" spans="7:16" x14ac:dyDescent="0.25">
      <c r="G1179" t="s">
        <v>894</v>
      </c>
      <c r="H1179">
        <v>1179</v>
      </c>
      <c r="I1179">
        <v>1179</v>
      </c>
      <c r="N1179" t="s">
        <v>895</v>
      </c>
      <c r="O1179">
        <v>1179</v>
      </c>
      <c r="P1179" t="str">
        <f t="shared" si="18"/>
        <v xml:space="preserve">[^ftn1179]: </v>
      </c>
    </row>
    <row r="1180" spans="7:16" x14ac:dyDescent="0.25">
      <c r="G1180" t="s">
        <v>894</v>
      </c>
      <c r="H1180">
        <v>1180</v>
      </c>
      <c r="I1180">
        <v>1180</v>
      </c>
      <c r="N1180" t="s">
        <v>895</v>
      </c>
      <c r="O1180">
        <v>1180</v>
      </c>
      <c r="P1180" t="str">
        <f t="shared" si="18"/>
        <v xml:space="preserve">[^ftn1180]: </v>
      </c>
    </row>
    <row r="1181" spans="7:16" x14ac:dyDescent="0.25">
      <c r="G1181" t="s">
        <v>894</v>
      </c>
      <c r="H1181">
        <v>1181</v>
      </c>
      <c r="I1181">
        <v>1181</v>
      </c>
      <c r="N1181" t="s">
        <v>895</v>
      </c>
      <c r="O1181">
        <v>1181</v>
      </c>
      <c r="P1181" t="str">
        <f t="shared" si="18"/>
        <v xml:space="preserve">[^ftn1181]: </v>
      </c>
    </row>
    <row r="1182" spans="7:16" x14ac:dyDescent="0.25">
      <c r="G1182" t="s">
        <v>894</v>
      </c>
      <c r="H1182">
        <v>1182</v>
      </c>
      <c r="I1182">
        <v>1182</v>
      </c>
      <c r="N1182" t="s">
        <v>895</v>
      </c>
      <c r="O1182">
        <v>1182</v>
      </c>
      <c r="P1182" t="str">
        <f t="shared" si="18"/>
        <v xml:space="preserve">[^ftn1182]: </v>
      </c>
    </row>
    <row r="1183" spans="7:16" x14ac:dyDescent="0.25">
      <c r="G1183" t="s">
        <v>894</v>
      </c>
      <c r="H1183">
        <v>1183</v>
      </c>
      <c r="I1183">
        <v>1183</v>
      </c>
      <c r="N1183" t="s">
        <v>895</v>
      </c>
      <c r="O1183">
        <v>1183</v>
      </c>
      <c r="P1183" t="str">
        <f t="shared" si="18"/>
        <v xml:space="preserve">[^ftn1183]: </v>
      </c>
    </row>
    <row r="1184" spans="7:16" x14ac:dyDescent="0.25">
      <c r="G1184" t="s">
        <v>894</v>
      </c>
      <c r="H1184">
        <v>1184</v>
      </c>
      <c r="I1184">
        <v>1184</v>
      </c>
      <c r="N1184" t="s">
        <v>895</v>
      </c>
      <c r="O1184">
        <v>1184</v>
      </c>
      <c r="P1184" t="str">
        <f t="shared" si="18"/>
        <v xml:space="preserve">[^ftn1184]: </v>
      </c>
    </row>
    <row r="1185" spans="7:16" x14ac:dyDescent="0.25">
      <c r="G1185" t="s">
        <v>894</v>
      </c>
      <c r="H1185">
        <v>1185</v>
      </c>
      <c r="I1185">
        <v>1185</v>
      </c>
      <c r="N1185" t="s">
        <v>895</v>
      </c>
      <c r="O1185">
        <v>1185</v>
      </c>
      <c r="P1185" t="str">
        <f t="shared" si="18"/>
        <v xml:space="preserve">[^ftn1185]: </v>
      </c>
    </row>
    <row r="1186" spans="7:16" x14ac:dyDescent="0.25">
      <c r="G1186" t="s">
        <v>894</v>
      </c>
      <c r="H1186">
        <v>1186</v>
      </c>
      <c r="I1186">
        <v>1186</v>
      </c>
      <c r="N1186" t="s">
        <v>895</v>
      </c>
      <c r="O1186">
        <v>1186</v>
      </c>
      <c r="P1186" t="str">
        <f t="shared" si="18"/>
        <v xml:space="preserve">[^ftn1186]: </v>
      </c>
    </row>
    <row r="1187" spans="7:16" x14ac:dyDescent="0.25">
      <c r="G1187" t="s">
        <v>894</v>
      </c>
      <c r="H1187">
        <v>1187</v>
      </c>
      <c r="I1187">
        <v>1187</v>
      </c>
      <c r="N1187" t="s">
        <v>895</v>
      </c>
      <c r="O1187">
        <v>1187</v>
      </c>
      <c r="P1187" t="str">
        <f t="shared" si="18"/>
        <v xml:space="preserve">[^ftn1187]: </v>
      </c>
    </row>
    <row r="1188" spans="7:16" x14ac:dyDescent="0.25">
      <c r="G1188" t="s">
        <v>894</v>
      </c>
      <c r="H1188">
        <v>1188</v>
      </c>
      <c r="I1188">
        <v>1188</v>
      </c>
      <c r="N1188" t="s">
        <v>895</v>
      </c>
      <c r="O1188">
        <v>1188</v>
      </c>
      <c r="P1188" t="str">
        <f t="shared" si="18"/>
        <v xml:space="preserve">[^ftn1188]: </v>
      </c>
    </row>
    <row r="1189" spans="7:16" x14ac:dyDescent="0.25">
      <c r="G1189" t="s">
        <v>894</v>
      </c>
      <c r="H1189">
        <v>1189</v>
      </c>
      <c r="I1189">
        <v>1189</v>
      </c>
      <c r="N1189" t="s">
        <v>895</v>
      </c>
      <c r="O1189">
        <v>1189</v>
      </c>
      <c r="P1189" t="str">
        <f t="shared" si="18"/>
        <v xml:space="preserve">[^ftn1189]: </v>
      </c>
    </row>
    <row r="1190" spans="7:16" x14ac:dyDescent="0.25">
      <c r="G1190" t="s">
        <v>894</v>
      </c>
      <c r="H1190">
        <v>1190</v>
      </c>
      <c r="I1190">
        <v>1190</v>
      </c>
      <c r="N1190" t="s">
        <v>895</v>
      </c>
      <c r="O1190">
        <v>1190</v>
      </c>
      <c r="P1190" t="str">
        <f t="shared" si="18"/>
        <v xml:space="preserve">[^ftn1190]: </v>
      </c>
    </row>
    <row r="1191" spans="7:16" x14ac:dyDescent="0.25">
      <c r="G1191" t="s">
        <v>894</v>
      </c>
      <c r="H1191">
        <v>1191</v>
      </c>
      <c r="I1191">
        <v>1191</v>
      </c>
      <c r="N1191" t="s">
        <v>895</v>
      </c>
      <c r="O1191">
        <v>1191</v>
      </c>
      <c r="P1191" t="str">
        <f t="shared" si="18"/>
        <v xml:space="preserve">[^ftn1191]: </v>
      </c>
    </row>
    <row r="1192" spans="7:16" x14ac:dyDescent="0.25">
      <c r="G1192" t="s">
        <v>894</v>
      </c>
      <c r="H1192">
        <v>1192</v>
      </c>
      <c r="I1192">
        <v>1192</v>
      </c>
      <c r="N1192" t="s">
        <v>895</v>
      </c>
      <c r="O1192">
        <v>1192</v>
      </c>
      <c r="P1192" t="str">
        <f t="shared" si="18"/>
        <v xml:space="preserve">[^ftn1192]: </v>
      </c>
    </row>
    <row r="1193" spans="7:16" x14ac:dyDescent="0.25">
      <c r="G1193" t="s">
        <v>894</v>
      </c>
      <c r="H1193">
        <v>1193</v>
      </c>
      <c r="I1193">
        <v>1193</v>
      </c>
      <c r="N1193" t="s">
        <v>895</v>
      </c>
      <c r="O1193">
        <v>1193</v>
      </c>
      <c r="P1193" t="str">
        <f t="shared" si="18"/>
        <v xml:space="preserve">[^ftn1193]: </v>
      </c>
    </row>
    <row r="1194" spans="7:16" x14ac:dyDescent="0.25">
      <c r="G1194" t="s">
        <v>894</v>
      </c>
      <c r="H1194">
        <v>1194</v>
      </c>
      <c r="I1194">
        <v>1194</v>
      </c>
      <c r="N1194" t="s">
        <v>895</v>
      </c>
      <c r="O1194">
        <v>1194</v>
      </c>
      <c r="P1194" t="str">
        <f t="shared" si="18"/>
        <v xml:space="preserve">[^ftn1194]: </v>
      </c>
    </row>
    <row r="1195" spans="7:16" x14ac:dyDescent="0.25">
      <c r="G1195" t="s">
        <v>894</v>
      </c>
      <c r="H1195">
        <v>1195</v>
      </c>
      <c r="I1195">
        <v>1195</v>
      </c>
      <c r="N1195" t="s">
        <v>895</v>
      </c>
      <c r="O1195">
        <v>1195</v>
      </c>
      <c r="P1195" t="str">
        <f t="shared" si="18"/>
        <v xml:space="preserve">[^ftn1195]: </v>
      </c>
    </row>
    <row r="1196" spans="7:16" x14ac:dyDescent="0.25">
      <c r="G1196" t="s">
        <v>894</v>
      </c>
      <c r="H1196">
        <v>1196</v>
      </c>
      <c r="I1196">
        <v>1196</v>
      </c>
      <c r="N1196" t="s">
        <v>895</v>
      </c>
      <c r="O1196">
        <v>1196</v>
      </c>
      <c r="P1196" t="str">
        <f t="shared" si="18"/>
        <v xml:space="preserve">[^ftn1196]: </v>
      </c>
    </row>
    <row r="1197" spans="7:16" x14ac:dyDescent="0.25">
      <c r="G1197" t="s">
        <v>894</v>
      </c>
      <c r="H1197">
        <v>1197</v>
      </c>
      <c r="I1197">
        <v>1197</v>
      </c>
      <c r="N1197" t="s">
        <v>895</v>
      </c>
      <c r="O1197">
        <v>1197</v>
      </c>
      <c r="P1197" t="str">
        <f t="shared" si="18"/>
        <v xml:space="preserve">[^ftn1197]: </v>
      </c>
    </row>
    <row r="1198" spans="7:16" x14ac:dyDescent="0.25">
      <c r="G1198" t="s">
        <v>894</v>
      </c>
      <c r="H1198">
        <v>1198</v>
      </c>
      <c r="I1198">
        <v>1198</v>
      </c>
      <c r="N1198" t="s">
        <v>895</v>
      </c>
      <c r="O1198">
        <v>1198</v>
      </c>
      <c r="P1198" t="str">
        <f t="shared" si="18"/>
        <v xml:space="preserve">[^ftn1198]: </v>
      </c>
    </row>
    <row r="1199" spans="7:16" x14ac:dyDescent="0.25">
      <c r="G1199" t="s">
        <v>894</v>
      </c>
      <c r="H1199">
        <v>1199</v>
      </c>
      <c r="I1199">
        <v>1199</v>
      </c>
      <c r="N1199" t="s">
        <v>895</v>
      </c>
      <c r="O1199">
        <v>1199</v>
      </c>
      <c r="P1199" t="str">
        <f t="shared" si="18"/>
        <v xml:space="preserve">[^ftn1199]: </v>
      </c>
    </row>
    <row r="1200" spans="7:16" x14ac:dyDescent="0.25">
      <c r="G1200" t="s">
        <v>894</v>
      </c>
      <c r="H1200">
        <v>1200</v>
      </c>
      <c r="I1200">
        <v>1200</v>
      </c>
      <c r="N1200" t="s">
        <v>895</v>
      </c>
      <c r="O1200">
        <v>1200</v>
      </c>
      <c r="P1200" t="str">
        <f t="shared" si="18"/>
        <v xml:space="preserve">[^ftn1200]: </v>
      </c>
    </row>
    <row r="1201" spans="7:16" x14ac:dyDescent="0.25">
      <c r="G1201" t="s">
        <v>894</v>
      </c>
      <c r="H1201">
        <v>1201</v>
      </c>
      <c r="I1201">
        <v>1201</v>
      </c>
      <c r="N1201" t="s">
        <v>895</v>
      </c>
      <c r="O1201">
        <v>1201</v>
      </c>
      <c r="P1201" t="str">
        <f t="shared" si="18"/>
        <v xml:space="preserve">[^ftn1201]: </v>
      </c>
    </row>
    <row r="1202" spans="7:16" x14ac:dyDescent="0.25">
      <c r="G1202" t="s">
        <v>894</v>
      </c>
      <c r="H1202">
        <v>1202</v>
      </c>
      <c r="I1202">
        <v>1202</v>
      </c>
      <c r="N1202" t="s">
        <v>895</v>
      </c>
      <c r="O1202">
        <v>1202</v>
      </c>
      <c r="P1202" t="str">
        <f t="shared" si="18"/>
        <v xml:space="preserve">[^ftn1202]: </v>
      </c>
    </row>
    <row r="1203" spans="7:16" x14ac:dyDescent="0.25">
      <c r="G1203" t="s">
        <v>894</v>
      </c>
      <c r="H1203">
        <v>1203</v>
      </c>
      <c r="I1203">
        <v>1203</v>
      </c>
      <c r="N1203" t="s">
        <v>895</v>
      </c>
      <c r="O1203">
        <v>1203</v>
      </c>
      <c r="P1203" t="str">
        <f t="shared" si="18"/>
        <v xml:space="preserve">[^ftn1203]: </v>
      </c>
    </row>
    <row r="1204" spans="7:16" x14ac:dyDescent="0.25">
      <c r="G1204" t="s">
        <v>894</v>
      </c>
      <c r="H1204">
        <v>1204</v>
      </c>
      <c r="I1204">
        <v>1204</v>
      </c>
      <c r="N1204" t="s">
        <v>895</v>
      </c>
      <c r="O1204">
        <v>1204</v>
      </c>
      <c r="P1204" t="str">
        <f t="shared" si="18"/>
        <v xml:space="preserve">[^ftn1204]: </v>
      </c>
    </row>
    <row r="1205" spans="7:16" x14ac:dyDescent="0.25">
      <c r="G1205" t="s">
        <v>894</v>
      </c>
      <c r="H1205">
        <v>1205</v>
      </c>
      <c r="I1205">
        <v>1205</v>
      </c>
      <c r="N1205" t="s">
        <v>895</v>
      </c>
      <c r="O1205">
        <v>1205</v>
      </c>
      <c r="P1205" t="str">
        <f t="shared" si="18"/>
        <v xml:space="preserve">[^ftn1205]: </v>
      </c>
    </row>
    <row r="1206" spans="7:16" x14ac:dyDescent="0.25">
      <c r="G1206" t="s">
        <v>894</v>
      </c>
      <c r="H1206">
        <v>1206</v>
      </c>
      <c r="I1206">
        <v>1206</v>
      </c>
      <c r="N1206" t="s">
        <v>895</v>
      </c>
      <c r="O1206">
        <v>1206</v>
      </c>
      <c r="P1206" t="str">
        <f t="shared" si="18"/>
        <v xml:space="preserve">[^ftn1206]: </v>
      </c>
    </row>
    <row r="1207" spans="7:16" x14ac:dyDescent="0.25">
      <c r="G1207" t="s">
        <v>894</v>
      </c>
      <c r="H1207">
        <v>1207</v>
      </c>
      <c r="I1207">
        <v>1207</v>
      </c>
      <c r="N1207" t="s">
        <v>895</v>
      </c>
      <c r="O1207">
        <v>1207</v>
      </c>
      <c r="P1207" t="str">
        <f t="shared" si="18"/>
        <v xml:space="preserve">[^ftn1207]: </v>
      </c>
    </row>
    <row r="1208" spans="7:16" x14ac:dyDescent="0.25">
      <c r="G1208" t="s">
        <v>894</v>
      </c>
      <c r="H1208">
        <v>1208</v>
      </c>
      <c r="I1208">
        <v>1208</v>
      </c>
      <c r="N1208" t="s">
        <v>895</v>
      </c>
      <c r="O1208">
        <v>1208</v>
      </c>
      <c r="P1208" t="str">
        <f t="shared" si="18"/>
        <v xml:space="preserve">[^ftn1208]: </v>
      </c>
    </row>
    <row r="1209" spans="7:16" x14ac:dyDescent="0.25">
      <c r="G1209" t="s">
        <v>894</v>
      </c>
      <c r="H1209">
        <v>1209</v>
      </c>
      <c r="I1209">
        <v>1209</v>
      </c>
      <c r="N1209" t="s">
        <v>895</v>
      </c>
      <c r="O1209">
        <v>1209</v>
      </c>
      <c r="P1209" t="str">
        <f t="shared" si="18"/>
        <v xml:space="preserve">[^ftn1209]: </v>
      </c>
    </row>
    <row r="1210" spans="7:16" x14ac:dyDescent="0.25">
      <c r="G1210" t="s">
        <v>894</v>
      </c>
      <c r="H1210">
        <v>1210</v>
      </c>
      <c r="I1210">
        <v>1210</v>
      </c>
      <c r="N1210" t="s">
        <v>895</v>
      </c>
      <c r="O1210">
        <v>1210</v>
      </c>
      <c r="P1210" t="str">
        <f t="shared" si="18"/>
        <v xml:space="preserve">[^ftn1210]: </v>
      </c>
    </row>
    <row r="1211" spans="7:16" x14ac:dyDescent="0.25">
      <c r="G1211" t="s">
        <v>894</v>
      </c>
      <c r="H1211">
        <v>1211</v>
      </c>
      <c r="I1211">
        <v>1211</v>
      </c>
      <c r="N1211" t="s">
        <v>895</v>
      </c>
      <c r="O1211">
        <v>1211</v>
      </c>
      <c r="P1211" t="str">
        <f t="shared" si="18"/>
        <v xml:space="preserve">[^ftn1211]: </v>
      </c>
    </row>
    <row r="1212" spans="7:16" x14ac:dyDescent="0.25">
      <c r="G1212" t="s">
        <v>894</v>
      </c>
      <c r="H1212">
        <v>1212</v>
      </c>
      <c r="I1212">
        <v>1212</v>
      </c>
      <c r="N1212" t="s">
        <v>895</v>
      </c>
      <c r="O1212">
        <v>1212</v>
      </c>
      <c r="P1212" t="str">
        <f t="shared" si="18"/>
        <v xml:space="preserve">[^ftn1212]: </v>
      </c>
    </row>
    <row r="1213" spans="7:16" x14ac:dyDescent="0.25">
      <c r="G1213" t="s">
        <v>894</v>
      </c>
      <c r="H1213">
        <v>1213</v>
      </c>
      <c r="I1213">
        <v>1213</v>
      </c>
      <c r="N1213" t="s">
        <v>895</v>
      </c>
      <c r="O1213">
        <v>1213</v>
      </c>
      <c r="P1213" t="str">
        <f t="shared" si="18"/>
        <v xml:space="preserve">[^ftn1213]: </v>
      </c>
    </row>
    <row r="1214" spans="7:16" x14ac:dyDescent="0.25">
      <c r="G1214" t="s">
        <v>894</v>
      </c>
      <c r="H1214">
        <v>1214</v>
      </c>
      <c r="I1214">
        <v>1214</v>
      </c>
      <c r="N1214" t="s">
        <v>895</v>
      </c>
      <c r="O1214">
        <v>1214</v>
      </c>
      <c r="P1214" t="str">
        <f t="shared" si="18"/>
        <v xml:space="preserve">[^ftn1214]: </v>
      </c>
    </row>
    <row r="1215" spans="7:16" x14ac:dyDescent="0.25">
      <c r="G1215" t="s">
        <v>894</v>
      </c>
      <c r="H1215">
        <v>1215</v>
      </c>
      <c r="I1215">
        <v>1215</v>
      </c>
      <c r="N1215" t="s">
        <v>895</v>
      </c>
      <c r="O1215">
        <v>1215</v>
      </c>
      <c r="P1215" t="str">
        <f t="shared" si="18"/>
        <v xml:space="preserve">[^ftn1215]: </v>
      </c>
    </row>
    <row r="1216" spans="7:16" x14ac:dyDescent="0.25">
      <c r="G1216" t="s">
        <v>894</v>
      </c>
      <c r="H1216">
        <v>1216</v>
      </c>
      <c r="I1216">
        <v>1216</v>
      </c>
      <c r="N1216" t="s">
        <v>895</v>
      </c>
      <c r="O1216">
        <v>1216</v>
      </c>
      <c r="P1216" t="str">
        <f t="shared" si="18"/>
        <v xml:space="preserve">[^ftn1216]: </v>
      </c>
    </row>
    <row r="1217" spans="7:16" x14ac:dyDescent="0.25">
      <c r="G1217" t="s">
        <v>894</v>
      </c>
      <c r="H1217">
        <v>1217</v>
      </c>
      <c r="I1217">
        <v>1217</v>
      </c>
      <c r="N1217" t="s">
        <v>895</v>
      </c>
      <c r="O1217">
        <v>1217</v>
      </c>
      <c r="P1217" t="str">
        <f t="shared" si="18"/>
        <v xml:space="preserve">[^ftn1217]: </v>
      </c>
    </row>
    <row r="1218" spans="7:16" x14ac:dyDescent="0.25">
      <c r="G1218" t="s">
        <v>894</v>
      </c>
      <c r="H1218">
        <v>1218</v>
      </c>
      <c r="I1218">
        <v>1218</v>
      </c>
      <c r="N1218" t="s">
        <v>895</v>
      </c>
      <c r="O1218">
        <v>1218</v>
      </c>
      <c r="P1218" t="str">
        <f t="shared" ref="P1218:P1281" si="19">_xlfn.CONCAT("[^ftn",O1218,"]: ",)</f>
        <v xml:space="preserve">[^ftn1218]: </v>
      </c>
    </row>
    <row r="1219" spans="7:16" x14ac:dyDescent="0.25">
      <c r="G1219" t="s">
        <v>894</v>
      </c>
      <c r="H1219">
        <v>1219</v>
      </c>
      <c r="I1219">
        <v>1219</v>
      </c>
      <c r="N1219" t="s">
        <v>895</v>
      </c>
      <c r="O1219">
        <v>1219</v>
      </c>
      <c r="P1219" t="str">
        <f t="shared" si="19"/>
        <v xml:space="preserve">[^ftn1219]: </v>
      </c>
    </row>
    <row r="1220" spans="7:16" x14ac:dyDescent="0.25">
      <c r="G1220" t="s">
        <v>894</v>
      </c>
      <c r="H1220">
        <v>1220</v>
      </c>
      <c r="I1220">
        <v>1220</v>
      </c>
      <c r="N1220" t="s">
        <v>895</v>
      </c>
      <c r="O1220">
        <v>1220</v>
      </c>
      <c r="P1220" t="str">
        <f t="shared" si="19"/>
        <v xml:space="preserve">[^ftn1220]: </v>
      </c>
    </row>
    <row r="1221" spans="7:16" x14ac:dyDescent="0.25">
      <c r="G1221" t="s">
        <v>894</v>
      </c>
      <c r="H1221">
        <v>1221</v>
      </c>
      <c r="I1221">
        <v>1221</v>
      </c>
      <c r="N1221" t="s">
        <v>895</v>
      </c>
      <c r="O1221">
        <v>1221</v>
      </c>
      <c r="P1221" t="str">
        <f t="shared" si="19"/>
        <v xml:space="preserve">[^ftn1221]: </v>
      </c>
    </row>
    <row r="1222" spans="7:16" x14ac:dyDescent="0.25">
      <c r="G1222" t="s">
        <v>894</v>
      </c>
      <c r="H1222">
        <v>1222</v>
      </c>
      <c r="I1222">
        <v>1222</v>
      </c>
      <c r="N1222" t="s">
        <v>895</v>
      </c>
      <c r="O1222">
        <v>1222</v>
      </c>
      <c r="P1222" t="str">
        <f t="shared" si="19"/>
        <v xml:space="preserve">[^ftn1222]: </v>
      </c>
    </row>
    <row r="1223" spans="7:16" x14ac:dyDescent="0.25">
      <c r="G1223" t="s">
        <v>894</v>
      </c>
      <c r="H1223">
        <v>1223</v>
      </c>
      <c r="I1223">
        <v>1223</v>
      </c>
      <c r="N1223" t="s">
        <v>895</v>
      </c>
      <c r="O1223">
        <v>1223</v>
      </c>
      <c r="P1223" t="str">
        <f t="shared" si="19"/>
        <v xml:space="preserve">[^ftn1223]: </v>
      </c>
    </row>
    <row r="1224" spans="7:16" x14ac:dyDescent="0.25">
      <c r="G1224" t="s">
        <v>894</v>
      </c>
      <c r="H1224">
        <v>1224</v>
      </c>
      <c r="I1224">
        <v>1224</v>
      </c>
      <c r="N1224" t="s">
        <v>895</v>
      </c>
      <c r="O1224">
        <v>1224</v>
      </c>
      <c r="P1224" t="str">
        <f t="shared" si="19"/>
        <v xml:space="preserve">[^ftn1224]: </v>
      </c>
    </row>
    <row r="1225" spans="7:16" x14ac:dyDescent="0.25">
      <c r="G1225" t="s">
        <v>894</v>
      </c>
      <c r="H1225">
        <v>1225</v>
      </c>
      <c r="I1225">
        <v>1225</v>
      </c>
      <c r="N1225" t="s">
        <v>895</v>
      </c>
      <c r="O1225">
        <v>1225</v>
      </c>
      <c r="P1225" t="str">
        <f t="shared" si="19"/>
        <v xml:space="preserve">[^ftn1225]: </v>
      </c>
    </row>
    <row r="1226" spans="7:16" x14ac:dyDescent="0.25">
      <c r="G1226" t="s">
        <v>894</v>
      </c>
      <c r="H1226">
        <v>1226</v>
      </c>
      <c r="I1226">
        <v>1226</v>
      </c>
      <c r="N1226" t="s">
        <v>895</v>
      </c>
      <c r="O1226">
        <v>1226</v>
      </c>
      <c r="P1226" t="str">
        <f t="shared" si="19"/>
        <v xml:space="preserve">[^ftn1226]: </v>
      </c>
    </row>
    <row r="1227" spans="7:16" x14ac:dyDescent="0.25">
      <c r="G1227" t="s">
        <v>894</v>
      </c>
      <c r="H1227">
        <v>1227</v>
      </c>
      <c r="I1227">
        <v>1227</v>
      </c>
      <c r="N1227" t="s">
        <v>895</v>
      </c>
      <c r="O1227">
        <v>1227</v>
      </c>
      <c r="P1227" t="str">
        <f t="shared" si="19"/>
        <v xml:space="preserve">[^ftn1227]: </v>
      </c>
    </row>
    <row r="1228" spans="7:16" x14ac:dyDescent="0.25">
      <c r="G1228" t="s">
        <v>894</v>
      </c>
      <c r="H1228">
        <v>1228</v>
      </c>
      <c r="I1228">
        <v>1228</v>
      </c>
      <c r="N1228" t="s">
        <v>895</v>
      </c>
      <c r="O1228">
        <v>1228</v>
      </c>
      <c r="P1228" t="str">
        <f t="shared" si="19"/>
        <v xml:space="preserve">[^ftn1228]: </v>
      </c>
    </row>
    <row r="1229" spans="7:16" x14ac:dyDescent="0.25">
      <c r="G1229" t="s">
        <v>894</v>
      </c>
      <c r="H1229">
        <v>1229</v>
      </c>
      <c r="I1229">
        <v>1229</v>
      </c>
      <c r="N1229" t="s">
        <v>895</v>
      </c>
      <c r="O1229">
        <v>1229</v>
      </c>
      <c r="P1229" t="str">
        <f t="shared" si="19"/>
        <v xml:space="preserve">[^ftn1229]: </v>
      </c>
    </row>
    <row r="1230" spans="7:16" x14ac:dyDescent="0.25">
      <c r="G1230" t="s">
        <v>894</v>
      </c>
      <c r="H1230">
        <v>1230</v>
      </c>
      <c r="I1230">
        <v>1230</v>
      </c>
      <c r="N1230" t="s">
        <v>895</v>
      </c>
      <c r="O1230">
        <v>1230</v>
      </c>
      <c r="P1230" t="str">
        <f t="shared" si="19"/>
        <v xml:space="preserve">[^ftn1230]: </v>
      </c>
    </row>
    <row r="1231" spans="7:16" x14ac:dyDescent="0.25">
      <c r="G1231" t="s">
        <v>894</v>
      </c>
      <c r="H1231">
        <v>1231</v>
      </c>
      <c r="I1231">
        <v>1231</v>
      </c>
      <c r="N1231" t="s">
        <v>895</v>
      </c>
      <c r="O1231">
        <v>1231</v>
      </c>
      <c r="P1231" t="str">
        <f t="shared" si="19"/>
        <v xml:space="preserve">[^ftn1231]: </v>
      </c>
    </row>
    <row r="1232" spans="7:16" x14ac:dyDescent="0.25">
      <c r="G1232" t="s">
        <v>894</v>
      </c>
      <c r="H1232">
        <v>1232</v>
      </c>
      <c r="I1232">
        <v>1232</v>
      </c>
      <c r="N1232" t="s">
        <v>895</v>
      </c>
      <c r="O1232">
        <v>1232</v>
      </c>
      <c r="P1232" t="str">
        <f t="shared" si="19"/>
        <v xml:space="preserve">[^ftn1232]: </v>
      </c>
    </row>
    <row r="1233" spans="7:16" x14ac:dyDescent="0.25">
      <c r="G1233" t="s">
        <v>894</v>
      </c>
      <c r="H1233">
        <v>1233</v>
      </c>
      <c r="I1233">
        <v>1233</v>
      </c>
      <c r="N1233" t="s">
        <v>895</v>
      </c>
      <c r="O1233">
        <v>1233</v>
      </c>
      <c r="P1233" t="str">
        <f t="shared" si="19"/>
        <v xml:space="preserve">[^ftn1233]: </v>
      </c>
    </row>
    <row r="1234" spans="7:16" x14ac:dyDescent="0.25">
      <c r="G1234" t="s">
        <v>894</v>
      </c>
      <c r="H1234">
        <v>1234</v>
      </c>
      <c r="I1234">
        <v>1234</v>
      </c>
      <c r="N1234" t="s">
        <v>895</v>
      </c>
      <c r="O1234">
        <v>1234</v>
      </c>
      <c r="P1234" t="str">
        <f t="shared" si="19"/>
        <v xml:space="preserve">[^ftn1234]: </v>
      </c>
    </row>
    <row r="1235" spans="7:16" x14ac:dyDescent="0.25">
      <c r="G1235" t="s">
        <v>894</v>
      </c>
      <c r="H1235">
        <v>1235</v>
      </c>
      <c r="I1235">
        <v>1235</v>
      </c>
      <c r="N1235" t="s">
        <v>895</v>
      </c>
      <c r="O1235">
        <v>1235</v>
      </c>
      <c r="P1235" t="str">
        <f t="shared" si="19"/>
        <v xml:space="preserve">[^ftn1235]: </v>
      </c>
    </row>
    <row r="1236" spans="7:16" x14ac:dyDescent="0.25">
      <c r="G1236" t="s">
        <v>894</v>
      </c>
      <c r="H1236">
        <v>1236</v>
      </c>
      <c r="I1236">
        <v>1236</v>
      </c>
      <c r="N1236" t="s">
        <v>895</v>
      </c>
      <c r="O1236">
        <v>1236</v>
      </c>
      <c r="P1236" t="str">
        <f t="shared" si="19"/>
        <v xml:space="preserve">[^ftn1236]: </v>
      </c>
    </row>
    <row r="1237" spans="7:16" x14ac:dyDescent="0.25">
      <c r="G1237" t="s">
        <v>894</v>
      </c>
      <c r="H1237">
        <v>1237</v>
      </c>
      <c r="I1237">
        <v>1237</v>
      </c>
      <c r="N1237" t="s">
        <v>895</v>
      </c>
      <c r="O1237">
        <v>1237</v>
      </c>
      <c r="P1237" t="str">
        <f t="shared" si="19"/>
        <v xml:space="preserve">[^ftn1237]: </v>
      </c>
    </row>
    <row r="1238" spans="7:16" x14ac:dyDescent="0.25">
      <c r="G1238" t="s">
        <v>894</v>
      </c>
      <c r="H1238">
        <v>1238</v>
      </c>
      <c r="I1238">
        <v>1238</v>
      </c>
      <c r="N1238" t="s">
        <v>895</v>
      </c>
      <c r="O1238">
        <v>1238</v>
      </c>
      <c r="P1238" t="str">
        <f t="shared" si="19"/>
        <v xml:space="preserve">[^ftn1238]: </v>
      </c>
    </row>
    <row r="1239" spans="7:16" x14ac:dyDescent="0.25">
      <c r="G1239" t="s">
        <v>894</v>
      </c>
      <c r="H1239">
        <v>1239</v>
      </c>
      <c r="I1239">
        <v>1239</v>
      </c>
      <c r="N1239" t="s">
        <v>895</v>
      </c>
      <c r="O1239">
        <v>1239</v>
      </c>
      <c r="P1239" t="str">
        <f t="shared" si="19"/>
        <v xml:space="preserve">[^ftn1239]: </v>
      </c>
    </row>
    <row r="1240" spans="7:16" x14ac:dyDescent="0.25">
      <c r="G1240" t="s">
        <v>894</v>
      </c>
      <c r="H1240">
        <v>1240</v>
      </c>
      <c r="I1240">
        <v>1240</v>
      </c>
      <c r="N1240" t="s">
        <v>895</v>
      </c>
      <c r="O1240">
        <v>1240</v>
      </c>
      <c r="P1240" t="str">
        <f t="shared" si="19"/>
        <v xml:space="preserve">[^ftn1240]: </v>
      </c>
    </row>
    <row r="1241" spans="7:16" x14ac:dyDescent="0.25">
      <c r="G1241" t="s">
        <v>894</v>
      </c>
      <c r="H1241">
        <v>1241</v>
      </c>
      <c r="I1241">
        <v>1241</v>
      </c>
      <c r="N1241" t="s">
        <v>895</v>
      </c>
      <c r="O1241">
        <v>1241</v>
      </c>
      <c r="P1241" t="str">
        <f t="shared" si="19"/>
        <v xml:space="preserve">[^ftn1241]: </v>
      </c>
    </row>
    <row r="1242" spans="7:16" x14ac:dyDescent="0.25">
      <c r="G1242" t="s">
        <v>894</v>
      </c>
      <c r="H1242">
        <v>1242</v>
      </c>
      <c r="I1242">
        <v>1242</v>
      </c>
      <c r="N1242" t="s">
        <v>895</v>
      </c>
      <c r="O1242">
        <v>1242</v>
      </c>
      <c r="P1242" t="str">
        <f t="shared" si="19"/>
        <v xml:space="preserve">[^ftn1242]: </v>
      </c>
    </row>
    <row r="1243" spans="7:16" x14ac:dyDescent="0.25">
      <c r="G1243" t="s">
        <v>894</v>
      </c>
      <c r="H1243">
        <v>1243</v>
      </c>
      <c r="I1243">
        <v>1243</v>
      </c>
      <c r="N1243" t="s">
        <v>895</v>
      </c>
      <c r="O1243">
        <v>1243</v>
      </c>
      <c r="P1243" t="str">
        <f t="shared" si="19"/>
        <v xml:space="preserve">[^ftn1243]: </v>
      </c>
    </row>
    <row r="1244" spans="7:16" x14ac:dyDescent="0.25">
      <c r="G1244" t="s">
        <v>894</v>
      </c>
      <c r="H1244">
        <v>1244</v>
      </c>
      <c r="I1244">
        <v>1244</v>
      </c>
      <c r="N1244" t="s">
        <v>895</v>
      </c>
      <c r="O1244">
        <v>1244</v>
      </c>
      <c r="P1244" t="str">
        <f t="shared" si="19"/>
        <v xml:space="preserve">[^ftn1244]: </v>
      </c>
    </row>
    <row r="1245" spans="7:16" x14ac:dyDescent="0.25">
      <c r="G1245" t="s">
        <v>894</v>
      </c>
      <c r="H1245">
        <v>1245</v>
      </c>
      <c r="I1245">
        <v>1245</v>
      </c>
      <c r="N1245" t="s">
        <v>895</v>
      </c>
      <c r="O1245">
        <v>1245</v>
      </c>
      <c r="P1245" t="str">
        <f t="shared" si="19"/>
        <v xml:space="preserve">[^ftn1245]: </v>
      </c>
    </row>
    <row r="1246" spans="7:16" x14ac:dyDescent="0.25">
      <c r="G1246" t="s">
        <v>894</v>
      </c>
      <c r="H1246">
        <v>1246</v>
      </c>
      <c r="I1246">
        <v>1246</v>
      </c>
      <c r="N1246" t="s">
        <v>895</v>
      </c>
      <c r="O1246">
        <v>1246</v>
      </c>
      <c r="P1246" t="str">
        <f t="shared" si="19"/>
        <v xml:space="preserve">[^ftn1246]: </v>
      </c>
    </row>
    <row r="1247" spans="7:16" x14ac:dyDescent="0.25">
      <c r="G1247" t="s">
        <v>894</v>
      </c>
      <c r="H1247">
        <v>1247</v>
      </c>
      <c r="I1247">
        <v>1247</v>
      </c>
      <c r="N1247" t="s">
        <v>895</v>
      </c>
      <c r="O1247">
        <v>1247</v>
      </c>
      <c r="P1247" t="str">
        <f t="shared" si="19"/>
        <v xml:space="preserve">[^ftn1247]: </v>
      </c>
    </row>
    <row r="1248" spans="7:16" x14ac:dyDescent="0.25">
      <c r="G1248" t="s">
        <v>894</v>
      </c>
      <c r="H1248">
        <v>1248</v>
      </c>
      <c r="I1248">
        <v>1248</v>
      </c>
      <c r="N1248" t="s">
        <v>895</v>
      </c>
      <c r="O1248">
        <v>1248</v>
      </c>
      <c r="P1248" t="str">
        <f t="shared" si="19"/>
        <v xml:space="preserve">[^ftn1248]: </v>
      </c>
    </row>
    <row r="1249" spans="7:16" x14ac:dyDescent="0.25">
      <c r="G1249" t="s">
        <v>894</v>
      </c>
      <c r="H1249">
        <v>1249</v>
      </c>
      <c r="I1249">
        <v>1249</v>
      </c>
      <c r="N1249" t="s">
        <v>895</v>
      </c>
      <c r="O1249">
        <v>1249</v>
      </c>
      <c r="P1249" t="str">
        <f t="shared" si="19"/>
        <v xml:space="preserve">[^ftn1249]: </v>
      </c>
    </row>
    <row r="1250" spans="7:16" x14ac:dyDescent="0.25">
      <c r="G1250" t="s">
        <v>894</v>
      </c>
      <c r="H1250">
        <v>1250</v>
      </c>
      <c r="I1250">
        <v>1250</v>
      </c>
      <c r="N1250" t="s">
        <v>895</v>
      </c>
      <c r="O1250">
        <v>1250</v>
      </c>
      <c r="P1250" t="str">
        <f t="shared" si="19"/>
        <v xml:space="preserve">[^ftn1250]: </v>
      </c>
    </row>
    <row r="1251" spans="7:16" x14ac:dyDescent="0.25">
      <c r="G1251" t="s">
        <v>894</v>
      </c>
      <c r="H1251">
        <v>1251</v>
      </c>
      <c r="I1251">
        <v>1251</v>
      </c>
      <c r="N1251" t="s">
        <v>895</v>
      </c>
      <c r="O1251">
        <v>1251</v>
      </c>
      <c r="P1251" t="str">
        <f t="shared" si="19"/>
        <v xml:space="preserve">[^ftn1251]: </v>
      </c>
    </row>
    <row r="1252" spans="7:16" x14ac:dyDescent="0.25">
      <c r="G1252" t="s">
        <v>894</v>
      </c>
      <c r="H1252">
        <v>1252</v>
      </c>
      <c r="I1252">
        <v>1252</v>
      </c>
      <c r="N1252" t="s">
        <v>895</v>
      </c>
      <c r="O1252">
        <v>1252</v>
      </c>
      <c r="P1252" t="str">
        <f t="shared" si="19"/>
        <v xml:space="preserve">[^ftn1252]: </v>
      </c>
    </row>
    <row r="1253" spans="7:16" x14ac:dyDescent="0.25">
      <c r="G1253" t="s">
        <v>894</v>
      </c>
      <c r="H1253">
        <v>1253</v>
      </c>
      <c r="I1253">
        <v>1253</v>
      </c>
      <c r="N1253" t="s">
        <v>895</v>
      </c>
      <c r="O1253">
        <v>1253</v>
      </c>
      <c r="P1253" t="str">
        <f t="shared" si="19"/>
        <v xml:space="preserve">[^ftn1253]: </v>
      </c>
    </row>
    <row r="1254" spans="7:16" x14ac:dyDescent="0.25">
      <c r="G1254" t="s">
        <v>894</v>
      </c>
      <c r="H1254">
        <v>1254</v>
      </c>
      <c r="I1254">
        <v>1254</v>
      </c>
      <c r="N1254" t="s">
        <v>895</v>
      </c>
      <c r="O1254">
        <v>1254</v>
      </c>
      <c r="P1254" t="str">
        <f t="shared" si="19"/>
        <v xml:space="preserve">[^ftn1254]: </v>
      </c>
    </row>
    <row r="1255" spans="7:16" x14ac:dyDescent="0.25">
      <c r="G1255" t="s">
        <v>894</v>
      </c>
      <c r="H1255">
        <v>1255</v>
      </c>
      <c r="I1255">
        <v>1255</v>
      </c>
      <c r="N1255" t="s">
        <v>895</v>
      </c>
      <c r="O1255">
        <v>1255</v>
      </c>
      <c r="P1255" t="str">
        <f t="shared" si="19"/>
        <v xml:space="preserve">[^ftn1255]: </v>
      </c>
    </row>
    <row r="1256" spans="7:16" x14ac:dyDescent="0.25">
      <c r="G1256" t="s">
        <v>894</v>
      </c>
      <c r="H1256">
        <v>1256</v>
      </c>
      <c r="I1256">
        <v>1256</v>
      </c>
      <c r="N1256" t="s">
        <v>895</v>
      </c>
      <c r="O1256">
        <v>1256</v>
      </c>
      <c r="P1256" t="str">
        <f t="shared" si="19"/>
        <v xml:space="preserve">[^ftn1256]: </v>
      </c>
    </row>
    <row r="1257" spans="7:16" x14ac:dyDescent="0.25">
      <c r="G1257" t="s">
        <v>894</v>
      </c>
      <c r="H1257">
        <v>1257</v>
      </c>
      <c r="I1257">
        <v>1257</v>
      </c>
      <c r="N1257" t="s">
        <v>895</v>
      </c>
      <c r="O1257">
        <v>1257</v>
      </c>
      <c r="P1257" t="str">
        <f t="shared" si="19"/>
        <v xml:space="preserve">[^ftn1257]: </v>
      </c>
    </row>
    <row r="1258" spans="7:16" x14ac:dyDescent="0.25">
      <c r="G1258" t="s">
        <v>894</v>
      </c>
      <c r="H1258">
        <v>1258</v>
      </c>
      <c r="I1258">
        <v>1258</v>
      </c>
      <c r="N1258" t="s">
        <v>895</v>
      </c>
      <c r="O1258">
        <v>1258</v>
      </c>
      <c r="P1258" t="str">
        <f t="shared" si="19"/>
        <v xml:space="preserve">[^ftn1258]: </v>
      </c>
    </row>
    <row r="1259" spans="7:16" x14ac:dyDescent="0.25">
      <c r="G1259" t="s">
        <v>894</v>
      </c>
      <c r="H1259">
        <v>1259</v>
      </c>
      <c r="I1259">
        <v>1259</v>
      </c>
      <c r="N1259" t="s">
        <v>895</v>
      </c>
      <c r="O1259">
        <v>1259</v>
      </c>
      <c r="P1259" t="str">
        <f t="shared" si="19"/>
        <v xml:space="preserve">[^ftn1259]: </v>
      </c>
    </row>
    <row r="1260" spans="7:16" x14ac:dyDescent="0.25">
      <c r="G1260" t="s">
        <v>894</v>
      </c>
      <c r="H1260">
        <v>1260</v>
      </c>
      <c r="I1260">
        <v>1260</v>
      </c>
      <c r="N1260" t="s">
        <v>895</v>
      </c>
      <c r="O1260">
        <v>1260</v>
      </c>
      <c r="P1260" t="str">
        <f t="shared" si="19"/>
        <v xml:space="preserve">[^ftn1260]: </v>
      </c>
    </row>
    <row r="1261" spans="7:16" x14ac:dyDescent="0.25">
      <c r="G1261" t="s">
        <v>894</v>
      </c>
      <c r="H1261">
        <v>1261</v>
      </c>
      <c r="I1261">
        <v>1261</v>
      </c>
      <c r="N1261" t="s">
        <v>895</v>
      </c>
      <c r="O1261">
        <v>1261</v>
      </c>
      <c r="P1261" t="str">
        <f t="shared" si="19"/>
        <v xml:space="preserve">[^ftn1261]: </v>
      </c>
    </row>
    <row r="1262" spans="7:16" x14ac:dyDescent="0.25">
      <c r="G1262" t="s">
        <v>894</v>
      </c>
      <c r="H1262">
        <v>1262</v>
      </c>
      <c r="I1262">
        <v>1262</v>
      </c>
      <c r="N1262" t="s">
        <v>895</v>
      </c>
      <c r="O1262">
        <v>1262</v>
      </c>
      <c r="P1262" t="str">
        <f t="shared" si="19"/>
        <v xml:space="preserve">[^ftn1262]: </v>
      </c>
    </row>
    <row r="1263" spans="7:16" x14ac:dyDescent="0.25">
      <c r="G1263" t="s">
        <v>894</v>
      </c>
      <c r="H1263">
        <v>1263</v>
      </c>
      <c r="I1263">
        <v>1263</v>
      </c>
      <c r="N1263" t="s">
        <v>895</v>
      </c>
      <c r="O1263">
        <v>1263</v>
      </c>
      <c r="P1263" t="str">
        <f t="shared" si="19"/>
        <v xml:space="preserve">[^ftn1263]: </v>
      </c>
    </row>
    <row r="1264" spans="7:16" x14ac:dyDescent="0.25">
      <c r="G1264" t="s">
        <v>894</v>
      </c>
      <c r="H1264">
        <v>1264</v>
      </c>
      <c r="I1264">
        <v>1264</v>
      </c>
      <c r="N1264" t="s">
        <v>895</v>
      </c>
      <c r="O1264">
        <v>1264</v>
      </c>
      <c r="P1264" t="str">
        <f t="shared" si="19"/>
        <v xml:space="preserve">[^ftn1264]: </v>
      </c>
    </row>
    <row r="1265" spans="7:16" x14ac:dyDescent="0.25">
      <c r="G1265" t="s">
        <v>894</v>
      </c>
      <c r="H1265">
        <v>1265</v>
      </c>
      <c r="I1265">
        <v>1265</v>
      </c>
      <c r="N1265" t="s">
        <v>895</v>
      </c>
      <c r="O1265">
        <v>1265</v>
      </c>
      <c r="P1265" t="str">
        <f t="shared" si="19"/>
        <v xml:space="preserve">[^ftn1265]: </v>
      </c>
    </row>
    <row r="1266" spans="7:16" x14ac:dyDescent="0.25">
      <c r="G1266" t="s">
        <v>894</v>
      </c>
      <c r="H1266">
        <v>1266</v>
      </c>
      <c r="I1266">
        <v>1266</v>
      </c>
      <c r="N1266" t="s">
        <v>895</v>
      </c>
      <c r="O1266">
        <v>1266</v>
      </c>
      <c r="P1266" t="str">
        <f t="shared" si="19"/>
        <v xml:space="preserve">[^ftn1266]: </v>
      </c>
    </row>
    <row r="1267" spans="7:16" x14ac:dyDescent="0.25">
      <c r="G1267" t="s">
        <v>894</v>
      </c>
      <c r="H1267">
        <v>1267</v>
      </c>
      <c r="I1267">
        <v>1267</v>
      </c>
      <c r="N1267" t="s">
        <v>895</v>
      </c>
      <c r="O1267">
        <v>1267</v>
      </c>
      <c r="P1267" t="str">
        <f t="shared" si="19"/>
        <v xml:space="preserve">[^ftn1267]: </v>
      </c>
    </row>
    <row r="1268" spans="7:16" x14ac:dyDescent="0.25">
      <c r="G1268" t="s">
        <v>894</v>
      </c>
      <c r="H1268">
        <v>1268</v>
      </c>
      <c r="I1268">
        <v>1268</v>
      </c>
      <c r="N1268" t="s">
        <v>895</v>
      </c>
      <c r="O1268">
        <v>1268</v>
      </c>
      <c r="P1268" t="str">
        <f t="shared" si="19"/>
        <v xml:space="preserve">[^ftn1268]: </v>
      </c>
    </row>
    <row r="1269" spans="7:16" x14ac:dyDescent="0.25">
      <c r="G1269" t="s">
        <v>894</v>
      </c>
      <c r="H1269">
        <v>1269</v>
      </c>
      <c r="I1269">
        <v>1269</v>
      </c>
      <c r="N1269" t="s">
        <v>895</v>
      </c>
      <c r="O1269">
        <v>1269</v>
      </c>
      <c r="P1269" t="str">
        <f t="shared" si="19"/>
        <v xml:space="preserve">[^ftn1269]: </v>
      </c>
    </row>
    <row r="1270" spans="7:16" x14ac:dyDescent="0.25">
      <c r="G1270" t="s">
        <v>894</v>
      </c>
      <c r="H1270">
        <v>1270</v>
      </c>
      <c r="I1270">
        <v>1270</v>
      </c>
      <c r="N1270" t="s">
        <v>895</v>
      </c>
      <c r="O1270">
        <v>1270</v>
      </c>
      <c r="P1270" t="str">
        <f t="shared" si="19"/>
        <v xml:space="preserve">[^ftn1270]: </v>
      </c>
    </row>
    <row r="1271" spans="7:16" x14ac:dyDescent="0.25">
      <c r="G1271" t="s">
        <v>894</v>
      </c>
      <c r="H1271">
        <v>1271</v>
      </c>
      <c r="I1271">
        <v>1271</v>
      </c>
      <c r="N1271" t="s">
        <v>895</v>
      </c>
      <c r="O1271">
        <v>1271</v>
      </c>
      <c r="P1271" t="str">
        <f t="shared" si="19"/>
        <v xml:space="preserve">[^ftn1271]: </v>
      </c>
    </row>
    <row r="1272" spans="7:16" x14ac:dyDescent="0.25">
      <c r="G1272" t="s">
        <v>894</v>
      </c>
      <c r="H1272">
        <v>1272</v>
      </c>
      <c r="I1272">
        <v>1272</v>
      </c>
      <c r="N1272" t="s">
        <v>895</v>
      </c>
      <c r="O1272">
        <v>1272</v>
      </c>
      <c r="P1272" t="str">
        <f t="shared" si="19"/>
        <v xml:space="preserve">[^ftn1272]: </v>
      </c>
    </row>
    <row r="1273" spans="7:16" x14ac:dyDescent="0.25">
      <c r="G1273" t="s">
        <v>894</v>
      </c>
      <c r="H1273">
        <v>1273</v>
      </c>
      <c r="I1273">
        <v>1273</v>
      </c>
      <c r="N1273" t="s">
        <v>895</v>
      </c>
      <c r="O1273">
        <v>1273</v>
      </c>
      <c r="P1273" t="str">
        <f t="shared" si="19"/>
        <v xml:space="preserve">[^ftn1273]: </v>
      </c>
    </row>
    <row r="1274" spans="7:16" x14ac:dyDescent="0.25">
      <c r="G1274" t="s">
        <v>894</v>
      </c>
      <c r="H1274">
        <v>1274</v>
      </c>
      <c r="I1274">
        <v>1274</v>
      </c>
      <c r="N1274" t="s">
        <v>895</v>
      </c>
      <c r="O1274">
        <v>1274</v>
      </c>
      <c r="P1274" t="str">
        <f t="shared" si="19"/>
        <v xml:space="preserve">[^ftn1274]: </v>
      </c>
    </row>
    <row r="1275" spans="7:16" x14ac:dyDescent="0.25">
      <c r="G1275" t="s">
        <v>894</v>
      </c>
      <c r="H1275">
        <v>1275</v>
      </c>
      <c r="I1275">
        <v>1275</v>
      </c>
      <c r="N1275" t="s">
        <v>895</v>
      </c>
      <c r="O1275">
        <v>1275</v>
      </c>
      <c r="P1275" t="str">
        <f t="shared" si="19"/>
        <v xml:space="preserve">[^ftn1275]: </v>
      </c>
    </row>
    <row r="1276" spans="7:16" x14ac:dyDescent="0.25">
      <c r="G1276" t="s">
        <v>894</v>
      </c>
      <c r="H1276">
        <v>1276</v>
      </c>
      <c r="I1276">
        <v>1276</v>
      </c>
      <c r="N1276" t="s">
        <v>895</v>
      </c>
      <c r="O1276">
        <v>1276</v>
      </c>
      <c r="P1276" t="str">
        <f t="shared" si="19"/>
        <v xml:space="preserve">[^ftn1276]: </v>
      </c>
    </row>
    <row r="1277" spans="7:16" x14ac:dyDescent="0.25">
      <c r="G1277" t="s">
        <v>894</v>
      </c>
      <c r="H1277">
        <v>1277</v>
      </c>
      <c r="I1277">
        <v>1277</v>
      </c>
      <c r="N1277" t="s">
        <v>895</v>
      </c>
      <c r="O1277">
        <v>1277</v>
      </c>
      <c r="P1277" t="str">
        <f t="shared" si="19"/>
        <v xml:space="preserve">[^ftn1277]: </v>
      </c>
    </row>
    <row r="1278" spans="7:16" x14ac:dyDescent="0.25">
      <c r="G1278" t="s">
        <v>894</v>
      </c>
      <c r="H1278">
        <v>1278</v>
      </c>
      <c r="I1278">
        <v>1278</v>
      </c>
      <c r="N1278" t="s">
        <v>895</v>
      </c>
      <c r="O1278">
        <v>1278</v>
      </c>
      <c r="P1278" t="str">
        <f t="shared" si="19"/>
        <v xml:space="preserve">[^ftn1278]: </v>
      </c>
    </row>
    <row r="1279" spans="7:16" x14ac:dyDescent="0.25">
      <c r="G1279" t="s">
        <v>894</v>
      </c>
      <c r="H1279">
        <v>1279</v>
      </c>
      <c r="I1279">
        <v>1279</v>
      </c>
      <c r="N1279" t="s">
        <v>895</v>
      </c>
      <c r="O1279">
        <v>1279</v>
      </c>
      <c r="P1279" t="str">
        <f t="shared" si="19"/>
        <v xml:space="preserve">[^ftn1279]: </v>
      </c>
    </row>
    <row r="1280" spans="7:16" x14ac:dyDescent="0.25">
      <c r="G1280" t="s">
        <v>894</v>
      </c>
      <c r="H1280">
        <v>1280</v>
      </c>
      <c r="I1280">
        <v>1280</v>
      </c>
      <c r="N1280" t="s">
        <v>895</v>
      </c>
      <c r="O1280">
        <v>1280</v>
      </c>
      <c r="P1280" t="str">
        <f t="shared" si="19"/>
        <v xml:space="preserve">[^ftn1280]: </v>
      </c>
    </row>
    <row r="1281" spans="7:16" x14ac:dyDescent="0.25">
      <c r="G1281" t="s">
        <v>894</v>
      </c>
      <c r="H1281">
        <v>1281</v>
      </c>
      <c r="I1281">
        <v>1281</v>
      </c>
      <c r="N1281" t="s">
        <v>895</v>
      </c>
      <c r="O1281">
        <v>1281</v>
      </c>
      <c r="P1281" t="str">
        <f t="shared" si="19"/>
        <v xml:space="preserve">[^ftn1281]: </v>
      </c>
    </row>
    <row r="1282" spans="7:16" x14ac:dyDescent="0.25">
      <c r="G1282" t="s">
        <v>894</v>
      </c>
      <c r="H1282">
        <v>1282</v>
      </c>
      <c r="I1282">
        <v>1282</v>
      </c>
      <c r="N1282" t="s">
        <v>895</v>
      </c>
      <c r="O1282">
        <v>1282</v>
      </c>
      <c r="P1282" t="str">
        <f t="shared" ref="P1282:P1345" si="20">_xlfn.CONCAT("[^ftn",O1282,"]: ",)</f>
        <v xml:space="preserve">[^ftn1282]: </v>
      </c>
    </row>
    <row r="1283" spans="7:16" x14ac:dyDescent="0.25">
      <c r="G1283" t="s">
        <v>894</v>
      </c>
      <c r="H1283">
        <v>1283</v>
      </c>
      <c r="I1283">
        <v>1283</v>
      </c>
      <c r="N1283" t="s">
        <v>895</v>
      </c>
      <c r="O1283">
        <v>1283</v>
      </c>
      <c r="P1283" t="str">
        <f t="shared" si="20"/>
        <v xml:space="preserve">[^ftn1283]: </v>
      </c>
    </row>
    <row r="1284" spans="7:16" x14ac:dyDescent="0.25">
      <c r="G1284" t="s">
        <v>894</v>
      </c>
      <c r="H1284">
        <v>1284</v>
      </c>
      <c r="I1284">
        <v>1284</v>
      </c>
      <c r="N1284" t="s">
        <v>895</v>
      </c>
      <c r="O1284">
        <v>1284</v>
      </c>
      <c r="P1284" t="str">
        <f t="shared" si="20"/>
        <v xml:space="preserve">[^ftn1284]: </v>
      </c>
    </row>
    <row r="1285" spans="7:16" x14ac:dyDescent="0.25">
      <c r="G1285" t="s">
        <v>894</v>
      </c>
      <c r="H1285">
        <v>1285</v>
      </c>
      <c r="I1285">
        <v>1285</v>
      </c>
      <c r="N1285" t="s">
        <v>895</v>
      </c>
      <c r="O1285">
        <v>1285</v>
      </c>
      <c r="P1285" t="str">
        <f t="shared" si="20"/>
        <v xml:space="preserve">[^ftn1285]: </v>
      </c>
    </row>
    <row r="1286" spans="7:16" x14ac:dyDescent="0.25">
      <c r="G1286" t="s">
        <v>894</v>
      </c>
      <c r="H1286">
        <v>1286</v>
      </c>
      <c r="I1286">
        <v>1286</v>
      </c>
      <c r="N1286" t="s">
        <v>895</v>
      </c>
      <c r="O1286">
        <v>1286</v>
      </c>
      <c r="P1286" t="str">
        <f t="shared" si="20"/>
        <v xml:space="preserve">[^ftn1286]: </v>
      </c>
    </row>
    <row r="1287" spans="7:16" x14ac:dyDescent="0.25">
      <c r="G1287" t="s">
        <v>894</v>
      </c>
      <c r="H1287">
        <v>1287</v>
      </c>
      <c r="I1287">
        <v>1287</v>
      </c>
      <c r="N1287" t="s">
        <v>895</v>
      </c>
      <c r="O1287">
        <v>1287</v>
      </c>
      <c r="P1287" t="str">
        <f t="shared" si="20"/>
        <v xml:space="preserve">[^ftn1287]: </v>
      </c>
    </row>
    <row r="1288" spans="7:16" x14ac:dyDescent="0.25">
      <c r="G1288" t="s">
        <v>894</v>
      </c>
      <c r="H1288">
        <v>1288</v>
      </c>
      <c r="I1288">
        <v>1288</v>
      </c>
      <c r="N1288" t="s">
        <v>895</v>
      </c>
      <c r="O1288">
        <v>1288</v>
      </c>
      <c r="P1288" t="str">
        <f t="shared" si="20"/>
        <v xml:space="preserve">[^ftn1288]: </v>
      </c>
    </row>
    <row r="1289" spans="7:16" x14ac:dyDescent="0.25">
      <c r="G1289" t="s">
        <v>894</v>
      </c>
      <c r="H1289">
        <v>1289</v>
      </c>
      <c r="I1289">
        <v>1289</v>
      </c>
      <c r="N1289" t="s">
        <v>895</v>
      </c>
      <c r="O1289">
        <v>1289</v>
      </c>
      <c r="P1289" t="str">
        <f t="shared" si="20"/>
        <v xml:space="preserve">[^ftn1289]: </v>
      </c>
    </row>
    <row r="1290" spans="7:16" x14ac:dyDescent="0.25">
      <c r="G1290" t="s">
        <v>894</v>
      </c>
      <c r="H1290">
        <v>1290</v>
      </c>
      <c r="I1290">
        <v>1290</v>
      </c>
      <c r="N1290" t="s">
        <v>895</v>
      </c>
      <c r="O1290">
        <v>1290</v>
      </c>
      <c r="P1290" t="str">
        <f t="shared" si="20"/>
        <v xml:space="preserve">[^ftn1290]: </v>
      </c>
    </row>
    <row r="1291" spans="7:16" x14ac:dyDescent="0.25">
      <c r="G1291" t="s">
        <v>894</v>
      </c>
      <c r="H1291">
        <v>1291</v>
      </c>
      <c r="I1291">
        <v>1291</v>
      </c>
      <c r="N1291" t="s">
        <v>895</v>
      </c>
      <c r="O1291">
        <v>1291</v>
      </c>
      <c r="P1291" t="str">
        <f t="shared" si="20"/>
        <v xml:space="preserve">[^ftn1291]: </v>
      </c>
    </row>
    <row r="1292" spans="7:16" x14ac:dyDescent="0.25">
      <c r="G1292" t="s">
        <v>894</v>
      </c>
      <c r="H1292">
        <v>1292</v>
      </c>
      <c r="I1292">
        <v>1292</v>
      </c>
      <c r="N1292" t="s">
        <v>895</v>
      </c>
      <c r="O1292">
        <v>1292</v>
      </c>
      <c r="P1292" t="str">
        <f t="shared" si="20"/>
        <v xml:space="preserve">[^ftn1292]: </v>
      </c>
    </row>
    <row r="1293" spans="7:16" x14ac:dyDescent="0.25">
      <c r="G1293" t="s">
        <v>894</v>
      </c>
      <c r="H1293">
        <v>1293</v>
      </c>
      <c r="I1293">
        <v>1293</v>
      </c>
      <c r="N1293" t="s">
        <v>895</v>
      </c>
      <c r="O1293">
        <v>1293</v>
      </c>
      <c r="P1293" t="str">
        <f t="shared" si="20"/>
        <v xml:space="preserve">[^ftn1293]: </v>
      </c>
    </row>
    <row r="1294" spans="7:16" x14ac:dyDescent="0.25">
      <c r="G1294" t="s">
        <v>894</v>
      </c>
      <c r="H1294">
        <v>1294</v>
      </c>
      <c r="I1294">
        <v>1294</v>
      </c>
      <c r="N1294" t="s">
        <v>895</v>
      </c>
      <c r="O1294">
        <v>1294</v>
      </c>
      <c r="P1294" t="str">
        <f t="shared" si="20"/>
        <v xml:space="preserve">[^ftn1294]: </v>
      </c>
    </row>
    <row r="1295" spans="7:16" x14ac:dyDescent="0.25">
      <c r="G1295" t="s">
        <v>894</v>
      </c>
      <c r="H1295">
        <v>1295</v>
      </c>
      <c r="I1295">
        <v>1295</v>
      </c>
      <c r="N1295" t="s">
        <v>895</v>
      </c>
      <c r="O1295">
        <v>1295</v>
      </c>
      <c r="P1295" t="str">
        <f t="shared" si="20"/>
        <v xml:space="preserve">[^ftn1295]: </v>
      </c>
    </row>
    <row r="1296" spans="7:16" x14ac:dyDescent="0.25">
      <c r="G1296" t="s">
        <v>894</v>
      </c>
      <c r="H1296">
        <v>1296</v>
      </c>
      <c r="I1296">
        <v>1296</v>
      </c>
      <c r="N1296" t="s">
        <v>895</v>
      </c>
      <c r="O1296">
        <v>1296</v>
      </c>
      <c r="P1296" t="str">
        <f t="shared" si="20"/>
        <v xml:space="preserve">[^ftn1296]: </v>
      </c>
    </row>
    <row r="1297" spans="7:16" x14ac:dyDescent="0.25">
      <c r="G1297" t="s">
        <v>894</v>
      </c>
      <c r="H1297">
        <v>1297</v>
      </c>
      <c r="I1297">
        <v>1297</v>
      </c>
      <c r="N1297" t="s">
        <v>895</v>
      </c>
      <c r="O1297">
        <v>1297</v>
      </c>
      <c r="P1297" t="str">
        <f t="shared" si="20"/>
        <v xml:space="preserve">[^ftn1297]: </v>
      </c>
    </row>
    <row r="1298" spans="7:16" x14ac:dyDescent="0.25">
      <c r="G1298" t="s">
        <v>894</v>
      </c>
      <c r="H1298">
        <v>1298</v>
      </c>
      <c r="I1298">
        <v>1298</v>
      </c>
      <c r="N1298" t="s">
        <v>895</v>
      </c>
      <c r="O1298">
        <v>1298</v>
      </c>
      <c r="P1298" t="str">
        <f t="shared" si="20"/>
        <v xml:space="preserve">[^ftn1298]: </v>
      </c>
    </row>
    <row r="1299" spans="7:16" x14ac:dyDescent="0.25">
      <c r="G1299" t="s">
        <v>894</v>
      </c>
      <c r="H1299">
        <v>1299</v>
      </c>
      <c r="I1299">
        <v>1299</v>
      </c>
      <c r="N1299" t="s">
        <v>895</v>
      </c>
      <c r="O1299">
        <v>1299</v>
      </c>
      <c r="P1299" t="str">
        <f t="shared" si="20"/>
        <v xml:space="preserve">[^ftn1299]: </v>
      </c>
    </row>
    <row r="1300" spans="7:16" x14ac:dyDescent="0.25">
      <c r="G1300" t="s">
        <v>894</v>
      </c>
      <c r="H1300">
        <v>1300</v>
      </c>
      <c r="I1300">
        <v>1300</v>
      </c>
      <c r="N1300" t="s">
        <v>895</v>
      </c>
      <c r="O1300">
        <v>1300</v>
      </c>
      <c r="P1300" t="str">
        <f t="shared" si="20"/>
        <v xml:space="preserve">[^ftn1300]: </v>
      </c>
    </row>
    <row r="1301" spans="7:16" x14ac:dyDescent="0.25">
      <c r="G1301" t="s">
        <v>894</v>
      </c>
      <c r="H1301">
        <v>1301</v>
      </c>
      <c r="I1301">
        <v>1301</v>
      </c>
      <c r="N1301" t="s">
        <v>895</v>
      </c>
      <c r="O1301">
        <v>1301</v>
      </c>
      <c r="P1301" t="str">
        <f t="shared" si="20"/>
        <v xml:space="preserve">[^ftn1301]: </v>
      </c>
    </row>
    <row r="1302" spans="7:16" x14ac:dyDescent="0.25">
      <c r="G1302" t="s">
        <v>894</v>
      </c>
      <c r="H1302">
        <v>1302</v>
      </c>
      <c r="I1302">
        <v>1302</v>
      </c>
      <c r="N1302" t="s">
        <v>895</v>
      </c>
      <c r="O1302">
        <v>1302</v>
      </c>
      <c r="P1302" t="str">
        <f t="shared" si="20"/>
        <v xml:space="preserve">[^ftn1302]: </v>
      </c>
    </row>
    <row r="1303" spans="7:16" x14ac:dyDescent="0.25">
      <c r="G1303" t="s">
        <v>894</v>
      </c>
      <c r="H1303">
        <v>1303</v>
      </c>
      <c r="I1303">
        <v>1303</v>
      </c>
      <c r="N1303" t="s">
        <v>895</v>
      </c>
      <c r="O1303">
        <v>1303</v>
      </c>
      <c r="P1303" t="str">
        <f t="shared" si="20"/>
        <v xml:space="preserve">[^ftn1303]: </v>
      </c>
    </row>
    <row r="1304" spans="7:16" x14ac:dyDescent="0.25">
      <c r="G1304" t="s">
        <v>894</v>
      </c>
      <c r="H1304">
        <v>1304</v>
      </c>
      <c r="I1304">
        <v>1304</v>
      </c>
      <c r="N1304" t="s">
        <v>895</v>
      </c>
      <c r="O1304">
        <v>1304</v>
      </c>
      <c r="P1304" t="str">
        <f t="shared" si="20"/>
        <v xml:space="preserve">[^ftn1304]: </v>
      </c>
    </row>
    <row r="1305" spans="7:16" x14ac:dyDescent="0.25">
      <c r="G1305" t="s">
        <v>894</v>
      </c>
      <c r="H1305">
        <v>1305</v>
      </c>
      <c r="I1305">
        <v>1305</v>
      </c>
      <c r="N1305" t="s">
        <v>895</v>
      </c>
      <c r="O1305">
        <v>1305</v>
      </c>
      <c r="P1305" t="str">
        <f t="shared" si="20"/>
        <v xml:space="preserve">[^ftn1305]: </v>
      </c>
    </row>
    <row r="1306" spans="7:16" x14ac:dyDescent="0.25">
      <c r="G1306" t="s">
        <v>894</v>
      </c>
      <c r="H1306">
        <v>1306</v>
      </c>
      <c r="I1306">
        <v>1306</v>
      </c>
      <c r="N1306" t="s">
        <v>895</v>
      </c>
      <c r="O1306">
        <v>1306</v>
      </c>
      <c r="P1306" t="str">
        <f t="shared" si="20"/>
        <v xml:space="preserve">[^ftn1306]: </v>
      </c>
    </row>
    <row r="1307" spans="7:16" x14ac:dyDescent="0.25">
      <c r="G1307" t="s">
        <v>894</v>
      </c>
      <c r="H1307">
        <v>1307</v>
      </c>
      <c r="I1307">
        <v>1307</v>
      </c>
      <c r="N1307" t="s">
        <v>895</v>
      </c>
      <c r="O1307">
        <v>1307</v>
      </c>
      <c r="P1307" t="str">
        <f t="shared" si="20"/>
        <v xml:space="preserve">[^ftn1307]: </v>
      </c>
    </row>
    <row r="1308" spans="7:16" x14ac:dyDescent="0.25">
      <c r="G1308" t="s">
        <v>894</v>
      </c>
      <c r="H1308">
        <v>1308</v>
      </c>
      <c r="I1308">
        <v>1308</v>
      </c>
      <c r="N1308" t="s">
        <v>895</v>
      </c>
      <c r="O1308">
        <v>1308</v>
      </c>
      <c r="P1308" t="str">
        <f t="shared" si="20"/>
        <v xml:space="preserve">[^ftn1308]: </v>
      </c>
    </row>
    <row r="1309" spans="7:16" x14ac:dyDescent="0.25">
      <c r="G1309" t="s">
        <v>894</v>
      </c>
      <c r="H1309">
        <v>1309</v>
      </c>
      <c r="I1309">
        <v>1309</v>
      </c>
      <c r="N1309" t="s">
        <v>895</v>
      </c>
      <c r="O1309">
        <v>1309</v>
      </c>
      <c r="P1309" t="str">
        <f t="shared" si="20"/>
        <v xml:space="preserve">[^ftn1309]: </v>
      </c>
    </row>
    <row r="1310" spans="7:16" x14ac:dyDescent="0.25">
      <c r="G1310" t="s">
        <v>894</v>
      </c>
      <c r="H1310">
        <v>1310</v>
      </c>
      <c r="I1310">
        <v>1310</v>
      </c>
      <c r="N1310" t="s">
        <v>895</v>
      </c>
      <c r="O1310">
        <v>1310</v>
      </c>
      <c r="P1310" t="str">
        <f t="shared" si="20"/>
        <v xml:space="preserve">[^ftn1310]: </v>
      </c>
    </row>
    <row r="1311" spans="7:16" x14ac:dyDescent="0.25">
      <c r="G1311" t="s">
        <v>894</v>
      </c>
      <c r="H1311">
        <v>1311</v>
      </c>
      <c r="I1311">
        <v>1311</v>
      </c>
      <c r="N1311" t="s">
        <v>895</v>
      </c>
      <c r="O1311">
        <v>1311</v>
      </c>
      <c r="P1311" t="str">
        <f t="shared" si="20"/>
        <v xml:space="preserve">[^ftn1311]: </v>
      </c>
    </row>
    <row r="1312" spans="7:16" x14ac:dyDescent="0.25">
      <c r="G1312" t="s">
        <v>894</v>
      </c>
      <c r="H1312">
        <v>1312</v>
      </c>
      <c r="I1312">
        <v>1312</v>
      </c>
      <c r="N1312" t="s">
        <v>895</v>
      </c>
      <c r="O1312">
        <v>1312</v>
      </c>
      <c r="P1312" t="str">
        <f t="shared" si="20"/>
        <v xml:space="preserve">[^ftn1312]: </v>
      </c>
    </row>
    <row r="1313" spans="7:16" x14ac:dyDescent="0.25">
      <c r="G1313" t="s">
        <v>894</v>
      </c>
      <c r="H1313">
        <v>1313</v>
      </c>
      <c r="I1313">
        <v>1313</v>
      </c>
      <c r="N1313" t="s">
        <v>895</v>
      </c>
      <c r="O1313">
        <v>1313</v>
      </c>
      <c r="P1313" t="str">
        <f t="shared" si="20"/>
        <v xml:space="preserve">[^ftn1313]: </v>
      </c>
    </row>
    <row r="1314" spans="7:16" x14ac:dyDescent="0.25">
      <c r="G1314" t="s">
        <v>894</v>
      </c>
      <c r="H1314">
        <v>1314</v>
      </c>
      <c r="I1314">
        <v>1314</v>
      </c>
      <c r="N1314" t="s">
        <v>895</v>
      </c>
      <c r="O1314">
        <v>1314</v>
      </c>
      <c r="P1314" t="str">
        <f t="shared" si="20"/>
        <v xml:space="preserve">[^ftn1314]: </v>
      </c>
    </row>
    <row r="1315" spans="7:16" x14ac:dyDescent="0.25">
      <c r="G1315" t="s">
        <v>894</v>
      </c>
      <c r="H1315">
        <v>1315</v>
      </c>
      <c r="I1315">
        <v>1315</v>
      </c>
      <c r="N1315" t="s">
        <v>895</v>
      </c>
      <c r="O1315">
        <v>1315</v>
      </c>
      <c r="P1315" t="str">
        <f t="shared" si="20"/>
        <v xml:space="preserve">[^ftn1315]: </v>
      </c>
    </row>
    <row r="1316" spans="7:16" x14ac:dyDescent="0.25">
      <c r="G1316" t="s">
        <v>894</v>
      </c>
      <c r="H1316">
        <v>1316</v>
      </c>
      <c r="I1316">
        <v>1316</v>
      </c>
      <c r="N1316" t="s">
        <v>895</v>
      </c>
      <c r="O1316">
        <v>1316</v>
      </c>
      <c r="P1316" t="str">
        <f t="shared" si="20"/>
        <v xml:space="preserve">[^ftn1316]: </v>
      </c>
    </row>
    <row r="1317" spans="7:16" x14ac:dyDescent="0.25">
      <c r="G1317" t="s">
        <v>894</v>
      </c>
      <c r="H1317">
        <v>1317</v>
      </c>
      <c r="I1317">
        <v>1317</v>
      </c>
      <c r="N1317" t="s">
        <v>895</v>
      </c>
      <c r="O1317">
        <v>1317</v>
      </c>
      <c r="P1317" t="str">
        <f t="shared" si="20"/>
        <v xml:space="preserve">[^ftn1317]: </v>
      </c>
    </row>
    <row r="1318" spans="7:16" x14ac:dyDescent="0.25">
      <c r="G1318" t="s">
        <v>894</v>
      </c>
      <c r="H1318">
        <v>1318</v>
      </c>
      <c r="I1318">
        <v>1318</v>
      </c>
      <c r="N1318" t="s">
        <v>895</v>
      </c>
      <c r="O1318">
        <v>1318</v>
      </c>
      <c r="P1318" t="str">
        <f t="shared" si="20"/>
        <v xml:space="preserve">[^ftn1318]: </v>
      </c>
    </row>
    <row r="1319" spans="7:16" x14ac:dyDescent="0.25">
      <c r="G1319" t="s">
        <v>894</v>
      </c>
      <c r="H1319">
        <v>1319</v>
      </c>
      <c r="I1319">
        <v>1319</v>
      </c>
      <c r="N1319" t="s">
        <v>895</v>
      </c>
      <c r="O1319">
        <v>1319</v>
      </c>
      <c r="P1319" t="str">
        <f t="shared" si="20"/>
        <v xml:space="preserve">[^ftn1319]: </v>
      </c>
    </row>
    <row r="1320" spans="7:16" x14ac:dyDescent="0.25">
      <c r="G1320" t="s">
        <v>894</v>
      </c>
      <c r="H1320">
        <v>1320</v>
      </c>
      <c r="I1320">
        <v>1320</v>
      </c>
      <c r="N1320" t="s">
        <v>895</v>
      </c>
      <c r="O1320">
        <v>1320</v>
      </c>
      <c r="P1320" t="str">
        <f t="shared" si="20"/>
        <v xml:space="preserve">[^ftn1320]: </v>
      </c>
    </row>
    <row r="1321" spans="7:16" x14ac:dyDescent="0.25">
      <c r="G1321" t="s">
        <v>894</v>
      </c>
      <c r="H1321">
        <v>1321</v>
      </c>
      <c r="I1321">
        <v>1321</v>
      </c>
      <c r="N1321" t="s">
        <v>895</v>
      </c>
      <c r="O1321">
        <v>1321</v>
      </c>
      <c r="P1321" t="str">
        <f t="shared" si="20"/>
        <v xml:space="preserve">[^ftn1321]: </v>
      </c>
    </row>
    <row r="1322" spans="7:16" x14ac:dyDescent="0.25">
      <c r="G1322" t="s">
        <v>894</v>
      </c>
      <c r="H1322">
        <v>1322</v>
      </c>
      <c r="I1322">
        <v>1322</v>
      </c>
      <c r="N1322" t="s">
        <v>895</v>
      </c>
      <c r="O1322">
        <v>1322</v>
      </c>
      <c r="P1322" t="str">
        <f t="shared" si="20"/>
        <v xml:space="preserve">[^ftn1322]: </v>
      </c>
    </row>
    <row r="1323" spans="7:16" x14ac:dyDescent="0.25">
      <c r="G1323" t="s">
        <v>894</v>
      </c>
      <c r="H1323">
        <v>1323</v>
      </c>
      <c r="I1323">
        <v>1323</v>
      </c>
      <c r="N1323" t="s">
        <v>895</v>
      </c>
      <c r="O1323">
        <v>1323</v>
      </c>
      <c r="P1323" t="str">
        <f t="shared" si="20"/>
        <v xml:space="preserve">[^ftn1323]: </v>
      </c>
    </row>
    <row r="1324" spans="7:16" x14ac:dyDescent="0.25">
      <c r="G1324" t="s">
        <v>894</v>
      </c>
      <c r="H1324">
        <v>1324</v>
      </c>
      <c r="I1324">
        <v>1324</v>
      </c>
      <c r="N1324" t="s">
        <v>895</v>
      </c>
      <c r="O1324">
        <v>1324</v>
      </c>
      <c r="P1324" t="str">
        <f t="shared" si="20"/>
        <v xml:space="preserve">[^ftn1324]: </v>
      </c>
    </row>
    <row r="1325" spans="7:16" x14ac:dyDescent="0.25">
      <c r="G1325" t="s">
        <v>894</v>
      </c>
      <c r="H1325">
        <v>1325</v>
      </c>
      <c r="I1325">
        <v>1325</v>
      </c>
      <c r="N1325" t="s">
        <v>895</v>
      </c>
      <c r="O1325">
        <v>1325</v>
      </c>
      <c r="P1325" t="str">
        <f t="shared" si="20"/>
        <v xml:space="preserve">[^ftn1325]: </v>
      </c>
    </row>
    <row r="1326" spans="7:16" x14ac:dyDescent="0.25">
      <c r="G1326" t="s">
        <v>894</v>
      </c>
      <c r="H1326">
        <v>1326</v>
      </c>
      <c r="I1326">
        <v>1326</v>
      </c>
      <c r="N1326" t="s">
        <v>895</v>
      </c>
      <c r="O1326">
        <v>1326</v>
      </c>
      <c r="P1326" t="str">
        <f t="shared" si="20"/>
        <v xml:space="preserve">[^ftn1326]: </v>
      </c>
    </row>
    <row r="1327" spans="7:16" x14ac:dyDescent="0.25">
      <c r="G1327" t="s">
        <v>894</v>
      </c>
      <c r="H1327">
        <v>1327</v>
      </c>
      <c r="I1327">
        <v>1327</v>
      </c>
      <c r="N1327" t="s">
        <v>895</v>
      </c>
      <c r="O1327">
        <v>1327</v>
      </c>
      <c r="P1327" t="str">
        <f t="shared" si="20"/>
        <v xml:space="preserve">[^ftn1327]: </v>
      </c>
    </row>
    <row r="1328" spans="7:16" x14ac:dyDescent="0.25">
      <c r="G1328" t="s">
        <v>894</v>
      </c>
      <c r="H1328">
        <v>1328</v>
      </c>
      <c r="I1328">
        <v>1328</v>
      </c>
      <c r="N1328" t="s">
        <v>895</v>
      </c>
      <c r="O1328">
        <v>1328</v>
      </c>
      <c r="P1328" t="str">
        <f t="shared" si="20"/>
        <v xml:space="preserve">[^ftn1328]: </v>
      </c>
    </row>
    <row r="1329" spans="7:16" x14ac:dyDescent="0.25">
      <c r="G1329" t="s">
        <v>894</v>
      </c>
      <c r="H1329">
        <v>1329</v>
      </c>
      <c r="I1329">
        <v>1329</v>
      </c>
      <c r="N1329" t="s">
        <v>895</v>
      </c>
      <c r="O1329">
        <v>1329</v>
      </c>
      <c r="P1329" t="str">
        <f t="shared" si="20"/>
        <v xml:space="preserve">[^ftn1329]: </v>
      </c>
    </row>
    <row r="1330" spans="7:16" x14ac:dyDescent="0.25">
      <c r="G1330" t="s">
        <v>894</v>
      </c>
      <c r="H1330">
        <v>1330</v>
      </c>
      <c r="I1330">
        <v>1330</v>
      </c>
      <c r="N1330" t="s">
        <v>895</v>
      </c>
      <c r="O1330">
        <v>1330</v>
      </c>
      <c r="P1330" t="str">
        <f t="shared" si="20"/>
        <v xml:space="preserve">[^ftn1330]: </v>
      </c>
    </row>
    <row r="1331" spans="7:16" x14ac:dyDescent="0.25">
      <c r="G1331" t="s">
        <v>894</v>
      </c>
      <c r="H1331">
        <v>1331</v>
      </c>
      <c r="I1331">
        <v>1331</v>
      </c>
      <c r="N1331" t="s">
        <v>895</v>
      </c>
      <c r="O1331">
        <v>1331</v>
      </c>
      <c r="P1331" t="str">
        <f t="shared" si="20"/>
        <v xml:space="preserve">[^ftn1331]: </v>
      </c>
    </row>
    <row r="1332" spans="7:16" x14ac:dyDescent="0.25">
      <c r="G1332" t="s">
        <v>894</v>
      </c>
      <c r="H1332">
        <v>1332</v>
      </c>
      <c r="I1332">
        <v>1332</v>
      </c>
      <c r="N1332" t="s">
        <v>895</v>
      </c>
      <c r="O1332">
        <v>1332</v>
      </c>
      <c r="P1332" t="str">
        <f t="shared" si="20"/>
        <v xml:space="preserve">[^ftn1332]: </v>
      </c>
    </row>
    <row r="1333" spans="7:16" x14ac:dyDescent="0.25">
      <c r="G1333" t="s">
        <v>894</v>
      </c>
      <c r="H1333">
        <v>1333</v>
      </c>
      <c r="I1333">
        <v>1333</v>
      </c>
      <c r="N1333" t="s">
        <v>895</v>
      </c>
      <c r="O1333">
        <v>1333</v>
      </c>
      <c r="P1333" t="str">
        <f t="shared" si="20"/>
        <v xml:space="preserve">[^ftn1333]: </v>
      </c>
    </row>
    <row r="1334" spans="7:16" x14ac:dyDescent="0.25">
      <c r="G1334" t="s">
        <v>894</v>
      </c>
      <c r="H1334">
        <v>1334</v>
      </c>
      <c r="I1334">
        <v>1334</v>
      </c>
      <c r="N1334" t="s">
        <v>895</v>
      </c>
      <c r="O1334">
        <v>1334</v>
      </c>
      <c r="P1334" t="str">
        <f t="shared" si="20"/>
        <v xml:space="preserve">[^ftn1334]: </v>
      </c>
    </row>
    <row r="1335" spans="7:16" x14ac:dyDescent="0.25">
      <c r="G1335" t="s">
        <v>894</v>
      </c>
      <c r="H1335">
        <v>1335</v>
      </c>
      <c r="I1335">
        <v>1335</v>
      </c>
      <c r="N1335" t="s">
        <v>895</v>
      </c>
      <c r="O1335">
        <v>1335</v>
      </c>
      <c r="P1335" t="str">
        <f t="shared" si="20"/>
        <v xml:space="preserve">[^ftn1335]: </v>
      </c>
    </row>
    <row r="1336" spans="7:16" x14ac:dyDescent="0.25">
      <c r="G1336" t="s">
        <v>894</v>
      </c>
      <c r="H1336">
        <v>1336</v>
      </c>
      <c r="I1336">
        <v>1336</v>
      </c>
      <c r="N1336" t="s">
        <v>895</v>
      </c>
      <c r="O1336">
        <v>1336</v>
      </c>
      <c r="P1336" t="str">
        <f t="shared" si="20"/>
        <v xml:space="preserve">[^ftn1336]: </v>
      </c>
    </row>
    <row r="1337" spans="7:16" x14ac:dyDescent="0.25">
      <c r="G1337" t="s">
        <v>894</v>
      </c>
      <c r="H1337">
        <v>1337</v>
      </c>
      <c r="I1337">
        <v>1337</v>
      </c>
      <c r="N1337" t="s">
        <v>895</v>
      </c>
      <c r="O1337">
        <v>1337</v>
      </c>
      <c r="P1337" t="str">
        <f t="shared" si="20"/>
        <v xml:space="preserve">[^ftn1337]: </v>
      </c>
    </row>
    <row r="1338" spans="7:16" x14ac:dyDescent="0.25">
      <c r="G1338" t="s">
        <v>894</v>
      </c>
      <c r="H1338">
        <v>1338</v>
      </c>
      <c r="I1338">
        <v>1338</v>
      </c>
      <c r="N1338" t="s">
        <v>895</v>
      </c>
      <c r="O1338">
        <v>1338</v>
      </c>
      <c r="P1338" t="str">
        <f t="shared" si="20"/>
        <v xml:space="preserve">[^ftn1338]: </v>
      </c>
    </row>
    <row r="1339" spans="7:16" x14ac:dyDescent="0.25">
      <c r="G1339" t="s">
        <v>894</v>
      </c>
      <c r="H1339">
        <v>1339</v>
      </c>
      <c r="I1339">
        <v>1339</v>
      </c>
      <c r="N1339" t="s">
        <v>895</v>
      </c>
      <c r="O1339">
        <v>1339</v>
      </c>
      <c r="P1339" t="str">
        <f t="shared" si="20"/>
        <v xml:space="preserve">[^ftn1339]: </v>
      </c>
    </row>
    <row r="1340" spans="7:16" x14ac:dyDescent="0.25">
      <c r="G1340" t="s">
        <v>894</v>
      </c>
      <c r="H1340">
        <v>1340</v>
      </c>
      <c r="I1340">
        <v>1340</v>
      </c>
      <c r="N1340" t="s">
        <v>895</v>
      </c>
      <c r="O1340">
        <v>1340</v>
      </c>
      <c r="P1340" t="str">
        <f t="shared" si="20"/>
        <v xml:space="preserve">[^ftn1340]: </v>
      </c>
    </row>
    <row r="1341" spans="7:16" x14ac:dyDescent="0.25">
      <c r="G1341" t="s">
        <v>894</v>
      </c>
      <c r="H1341">
        <v>1341</v>
      </c>
      <c r="I1341">
        <v>1341</v>
      </c>
      <c r="N1341" t="s">
        <v>895</v>
      </c>
      <c r="O1341">
        <v>1341</v>
      </c>
      <c r="P1341" t="str">
        <f t="shared" si="20"/>
        <v xml:space="preserve">[^ftn1341]: </v>
      </c>
    </row>
    <row r="1342" spans="7:16" x14ac:dyDescent="0.25">
      <c r="G1342" t="s">
        <v>894</v>
      </c>
      <c r="H1342">
        <v>1342</v>
      </c>
      <c r="I1342">
        <v>1342</v>
      </c>
      <c r="N1342" t="s">
        <v>895</v>
      </c>
      <c r="O1342">
        <v>1342</v>
      </c>
      <c r="P1342" t="str">
        <f t="shared" si="20"/>
        <v xml:space="preserve">[^ftn1342]: </v>
      </c>
    </row>
    <row r="1343" spans="7:16" x14ac:dyDescent="0.25">
      <c r="G1343" t="s">
        <v>894</v>
      </c>
      <c r="H1343">
        <v>1343</v>
      </c>
      <c r="I1343">
        <v>1343</v>
      </c>
      <c r="N1343" t="s">
        <v>895</v>
      </c>
      <c r="O1343">
        <v>1343</v>
      </c>
      <c r="P1343" t="str">
        <f t="shared" si="20"/>
        <v xml:space="preserve">[^ftn1343]: </v>
      </c>
    </row>
    <row r="1344" spans="7:16" x14ac:dyDescent="0.25">
      <c r="G1344" t="s">
        <v>894</v>
      </c>
      <c r="H1344">
        <v>1344</v>
      </c>
      <c r="I1344">
        <v>1344</v>
      </c>
      <c r="N1344" t="s">
        <v>895</v>
      </c>
      <c r="O1344">
        <v>1344</v>
      </c>
      <c r="P1344" t="str">
        <f t="shared" si="20"/>
        <v xml:space="preserve">[^ftn1344]: </v>
      </c>
    </row>
    <row r="1345" spans="7:16" x14ac:dyDescent="0.25">
      <c r="G1345" t="s">
        <v>894</v>
      </c>
      <c r="H1345">
        <v>1345</v>
      </c>
      <c r="I1345">
        <v>1345</v>
      </c>
      <c r="N1345" t="s">
        <v>895</v>
      </c>
      <c r="O1345">
        <v>1345</v>
      </c>
      <c r="P1345" t="str">
        <f t="shared" si="20"/>
        <v xml:space="preserve">[^ftn1345]: </v>
      </c>
    </row>
    <row r="1346" spans="7:16" x14ac:dyDescent="0.25">
      <c r="G1346" t="s">
        <v>894</v>
      </c>
      <c r="H1346">
        <v>1346</v>
      </c>
      <c r="I1346">
        <v>1346</v>
      </c>
      <c r="N1346" t="s">
        <v>895</v>
      </c>
      <c r="O1346">
        <v>1346</v>
      </c>
      <c r="P1346" t="str">
        <f t="shared" ref="P1346:P1409" si="21">_xlfn.CONCAT("[^ftn",O1346,"]: ",)</f>
        <v xml:space="preserve">[^ftn1346]: </v>
      </c>
    </row>
    <row r="1347" spans="7:16" x14ac:dyDescent="0.25">
      <c r="G1347" t="s">
        <v>894</v>
      </c>
      <c r="H1347">
        <v>1347</v>
      </c>
      <c r="I1347">
        <v>1347</v>
      </c>
      <c r="N1347" t="s">
        <v>895</v>
      </c>
      <c r="O1347">
        <v>1347</v>
      </c>
      <c r="P1347" t="str">
        <f t="shared" si="21"/>
        <v xml:space="preserve">[^ftn1347]: </v>
      </c>
    </row>
    <row r="1348" spans="7:16" x14ac:dyDescent="0.25">
      <c r="G1348" t="s">
        <v>894</v>
      </c>
      <c r="H1348">
        <v>1348</v>
      </c>
      <c r="I1348">
        <v>1348</v>
      </c>
      <c r="N1348" t="s">
        <v>895</v>
      </c>
      <c r="O1348">
        <v>1348</v>
      </c>
      <c r="P1348" t="str">
        <f t="shared" si="21"/>
        <v xml:space="preserve">[^ftn1348]: </v>
      </c>
    </row>
    <row r="1349" spans="7:16" x14ac:dyDescent="0.25">
      <c r="G1349" t="s">
        <v>894</v>
      </c>
      <c r="H1349">
        <v>1349</v>
      </c>
      <c r="I1349">
        <v>1349</v>
      </c>
      <c r="N1349" t="s">
        <v>895</v>
      </c>
      <c r="O1349">
        <v>1349</v>
      </c>
      <c r="P1349" t="str">
        <f t="shared" si="21"/>
        <v xml:space="preserve">[^ftn1349]: </v>
      </c>
    </row>
    <row r="1350" spans="7:16" x14ac:dyDescent="0.25">
      <c r="G1350" t="s">
        <v>894</v>
      </c>
      <c r="H1350">
        <v>1350</v>
      </c>
      <c r="I1350">
        <v>1350</v>
      </c>
      <c r="N1350" t="s">
        <v>895</v>
      </c>
      <c r="O1350">
        <v>1350</v>
      </c>
      <c r="P1350" t="str">
        <f t="shared" si="21"/>
        <v xml:space="preserve">[^ftn1350]: </v>
      </c>
    </row>
    <row r="1351" spans="7:16" x14ac:dyDescent="0.25">
      <c r="G1351" t="s">
        <v>894</v>
      </c>
      <c r="H1351">
        <v>1351</v>
      </c>
      <c r="I1351">
        <v>1351</v>
      </c>
      <c r="N1351" t="s">
        <v>895</v>
      </c>
      <c r="O1351">
        <v>1351</v>
      </c>
      <c r="P1351" t="str">
        <f t="shared" si="21"/>
        <v xml:space="preserve">[^ftn1351]: </v>
      </c>
    </row>
    <row r="1352" spans="7:16" x14ac:dyDescent="0.25">
      <c r="G1352" t="s">
        <v>894</v>
      </c>
      <c r="H1352">
        <v>1352</v>
      </c>
      <c r="I1352">
        <v>1352</v>
      </c>
      <c r="N1352" t="s">
        <v>895</v>
      </c>
      <c r="O1352">
        <v>1352</v>
      </c>
      <c r="P1352" t="str">
        <f t="shared" si="21"/>
        <v xml:space="preserve">[^ftn1352]: </v>
      </c>
    </row>
    <row r="1353" spans="7:16" x14ac:dyDescent="0.25">
      <c r="G1353" t="s">
        <v>894</v>
      </c>
      <c r="H1353">
        <v>1353</v>
      </c>
      <c r="I1353">
        <v>1353</v>
      </c>
      <c r="N1353" t="s">
        <v>895</v>
      </c>
      <c r="O1353">
        <v>1353</v>
      </c>
      <c r="P1353" t="str">
        <f t="shared" si="21"/>
        <v xml:space="preserve">[^ftn1353]: </v>
      </c>
    </row>
    <row r="1354" spans="7:16" x14ac:dyDescent="0.25">
      <c r="G1354" t="s">
        <v>894</v>
      </c>
      <c r="H1354">
        <v>1354</v>
      </c>
      <c r="I1354">
        <v>1354</v>
      </c>
      <c r="N1354" t="s">
        <v>895</v>
      </c>
      <c r="O1354">
        <v>1354</v>
      </c>
      <c r="P1354" t="str">
        <f t="shared" si="21"/>
        <v xml:space="preserve">[^ftn1354]: </v>
      </c>
    </row>
    <row r="1355" spans="7:16" x14ac:dyDescent="0.25">
      <c r="G1355" t="s">
        <v>894</v>
      </c>
      <c r="H1355">
        <v>1355</v>
      </c>
      <c r="I1355">
        <v>1355</v>
      </c>
      <c r="N1355" t="s">
        <v>895</v>
      </c>
      <c r="O1355">
        <v>1355</v>
      </c>
      <c r="P1355" t="str">
        <f t="shared" si="21"/>
        <v xml:space="preserve">[^ftn1355]: </v>
      </c>
    </row>
    <row r="1356" spans="7:16" x14ac:dyDescent="0.25">
      <c r="G1356" t="s">
        <v>894</v>
      </c>
      <c r="H1356">
        <v>1356</v>
      </c>
      <c r="I1356">
        <v>1356</v>
      </c>
      <c r="N1356" t="s">
        <v>895</v>
      </c>
      <c r="O1356">
        <v>1356</v>
      </c>
      <c r="P1356" t="str">
        <f t="shared" si="21"/>
        <v xml:space="preserve">[^ftn1356]: </v>
      </c>
    </row>
    <row r="1357" spans="7:16" x14ac:dyDescent="0.25">
      <c r="G1357" t="s">
        <v>894</v>
      </c>
      <c r="H1357">
        <v>1357</v>
      </c>
      <c r="I1357">
        <v>1357</v>
      </c>
      <c r="N1357" t="s">
        <v>895</v>
      </c>
      <c r="O1357">
        <v>1357</v>
      </c>
      <c r="P1357" t="str">
        <f t="shared" si="21"/>
        <v xml:space="preserve">[^ftn1357]: </v>
      </c>
    </row>
    <row r="1358" spans="7:16" x14ac:dyDescent="0.25">
      <c r="G1358" t="s">
        <v>894</v>
      </c>
      <c r="H1358">
        <v>1358</v>
      </c>
      <c r="I1358">
        <v>1358</v>
      </c>
      <c r="N1358" t="s">
        <v>895</v>
      </c>
      <c r="O1358">
        <v>1358</v>
      </c>
      <c r="P1358" t="str">
        <f t="shared" si="21"/>
        <v xml:space="preserve">[^ftn1358]: </v>
      </c>
    </row>
    <row r="1359" spans="7:16" x14ac:dyDescent="0.25">
      <c r="G1359" t="s">
        <v>894</v>
      </c>
      <c r="H1359">
        <v>1359</v>
      </c>
      <c r="I1359">
        <v>1359</v>
      </c>
      <c r="N1359" t="s">
        <v>895</v>
      </c>
      <c r="O1359">
        <v>1359</v>
      </c>
      <c r="P1359" t="str">
        <f t="shared" si="21"/>
        <v xml:space="preserve">[^ftn1359]: </v>
      </c>
    </row>
    <row r="1360" spans="7:16" x14ac:dyDescent="0.25">
      <c r="G1360" t="s">
        <v>894</v>
      </c>
      <c r="H1360">
        <v>1360</v>
      </c>
      <c r="I1360">
        <v>1360</v>
      </c>
      <c r="N1360" t="s">
        <v>895</v>
      </c>
      <c r="O1360">
        <v>1360</v>
      </c>
      <c r="P1360" t="str">
        <f t="shared" si="21"/>
        <v xml:space="preserve">[^ftn1360]: </v>
      </c>
    </row>
    <row r="1361" spans="7:16" x14ac:dyDescent="0.25">
      <c r="G1361" t="s">
        <v>894</v>
      </c>
      <c r="H1361">
        <v>1361</v>
      </c>
      <c r="I1361">
        <v>1361</v>
      </c>
      <c r="N1361" t="s">
        <v>895</v>
      </c>
      <c r="O1361">
        <v>1361</v>
      </c>
      <c r="P1361" t="str">
        <f t="shared" si="21"/>
        <v xml:space="preserve">[^ftn1361]: </v>
      </c>
    </row>
    <row r="1362" spans="7:16" x14ac:dyDescent="0.25">
      <c r="G1362" t="s">
        <v>894</v>
      </c>
      <c r="H1362">
        <v>1362</v>
      </c>
      <c r="I1362">
        <v>1362</v>
      </c>
      <c r="N1362" t="s">
        <v>895</v>
      </c>
      <c r="O1362">
        <v>1362</v>
      </c>
      <c r="P1362" t="str">
        <f t="shared" si="21"/>
        <v xml:space="preserve">[^ftn1362]: </v>
      </c>
    </row>
    <row r="1363" spans="7:16" x14ac:dyDescent="0.25">
      <c r="G1363" t="s">
        <v>894</v>
      </c>
      <c r="H1363">
        <v>1363</v>
      </c>
      <c r="I1363">
        <v>1363</v>
      </c>
      <c r="N1363" t="s">
        <v>895</v>
      </c>
      <c r="O1363">
        <v>1363</v>
      </c>
      <c r="P1363" t="str">
        <f t="shared" si="21"/>
        <v xml:space="preserve">[^ftn1363]: </v>
      </c>
    </row>
    <row r="1364" spans="7:16" x14ac:dyDescent="0.25">
      <c r="G1364" t="s">
        <v>894</v>
      </c>
      <c r="H1364">
        <v>1364</v>
      </c>
      <c r="I1364">
        <v>1364</v>
      </c>
      <c r="N1364" t="s">
        <v>895</v>
      </c>
      <c r="O1364">
        <v>1364</v>
      </c>
      <c r="P1364" t="str">
        <f t="shared" si="21"/>
        <v xml:space="preserve">[^ftn1364]: </v>
      </c>
    </row>
    <row r="1365" spans="7:16" x14ac:dyDescent="0.25">
      <c r="G1365" t="s">
        <v>894</v>
      </c>
      <c r="H1365">
        <v>1365</v>
      </c>
      <c r="I1365">
        <v>1365</v>
      </c>
      <c r="N1365" t="s">
        <v>895</v>
      </c>
      <c r="O1365">
        <v>1365</v>
      </c>
      <c r="P1365" t="str">
        <f t="shared" si="21"/>
        <v xml:space="preserve">[^ftn1365]: </v>
      </c>
    </row>
    <row r="1366" spans="7:16" x14ac:dyDescent="0.25">
      <c r="G1366" t="s">
        <v>894</v>
      </c>
      <c r="H1366">
        <v>1366</v>
      </c>
      <c r="I1366">
        <v>1366</v>
      </c>
      <c r="N1366" t="s">
        <v>895</v>
      </c>
      <c r="O1366">
        <v>1366</v>
      </c>
      <c r="P1366" t="str">
        <f t="shared" si="21"/>
        <v xml:space="preserve">[^ftn1366]: </v>
      </c>
    </row>
    <row r="1367" spans="7:16" x14ac:dyDescent="0.25">
      <c r="G1367" t="s">
        <v>894</v>
      </c>
      <c r="H1367">
        <v>1367</v>
      </c>
      <c r="I1367">
        <v>1367</v>
      </c>
      <c r="N1367" t="s">
        <v>895</v>
      </c>
      <c r="O1367">
        <v>1367</v>
      </c>
      <c r="P1367" t="str">
        <f t="shared" si="21"/>
        <v xml:space="preserve">[^ftn1367]: </v>
      </c>
    </row>
    <row r="1368" spans="7:16" x14ac:dyDescent="0.25">
      <c r="G1368" t="s">
        <v>894</v>
      </c>
      <c r="H1368">
        <v>1368</v>
      </c>
      <c r="I1368">
        <v>1368</v>
      </c>
      <c r="N1368" t="s">
        <v>895</v>
      </c>
      <c r="O1368">
        <v>1368</v>
      </c>
      <c r="P1368" t="str">
        <f t="shared" si="21"/>
        <v xml:space="preserve">[^ftn1368]: </v>
      </c>
    </row>
    <row r="1369" spans="7:16" x14ac:dyDescent="0.25">
      <c r="G1369" t="s">
        <v>894</v>
      </c>
      <c r="H1369">
        <v>1369</v>
      </c>
      <c r="I1369">
        <v>1369</v>
      </c>
      <c r="N1369" t="s">
        <v>895</v>
      </c>
      <c r="O1369">
        <v>1369</v>
      </c>
      <c r="P1369" t="str">
        <f t="shared" si="21"/>
        <v xml:space="preserve">[^ftn1369]: </v>
      </c>
    </row>
    <row r="1370" spans="7:16" x14ac:dyDescent="0.25">
      <c r="G1370" t="s">
        <v>894</v>
      </c>
      <c r="H1370">
        <v>1370</v>
      </c>
      <c r="I1370">
        <v>1370</v>
      </c>
      <c r="N1370" t="s">
        <v>895</v>
      </c>
      <c r="O1370">
        <v>1370</v>
      </c>
      <c r="P1370" t="str">
        <f t="shared" si="21"/>
        <v xml:space="preserve">[^ftn1370]: </v>
      </c>
    </row>
    <row r="1371" spans="7:16" x14ac:dyDescent="0.25">
      <c r="G1371" t="s">
        <v>894</v>
      </c>
      <c r="H1371">
        <v>1371</v>
      </c>
      <c r="I1371">
        <v>1371</v>
      </c>
      <c r="N1371" t="s">
        <v>895</v>
      </c>
      <c r="O1371">
        <v>1371</v>
      </c>
      <c r="P1371" t="str">
        <f t="shared" si="21"/>
        <v xml:space="preserve">[^ftn1371]: </v>
      </c>
    </row>
    <row r="1372" spans="7:16" x14ac:dyDescent="0.25">
      <c r="G1372" t="s">
        <v>894</v>
      </c>
      <c r="H1372">
        <v>1372</v>
      </c>
      <c r="I1372">
        <v>1372</v>
      </c>
      <c r="N1372" t="s">
        <v>895</v>
      </c>
      <c r="O1372">
        <v>1372</v>
      </c>
      <c r="P1372" t="str">
        <f t="shared" si="21"/>
        <v xml:space="preserve">[^ftn1372]: </v>
      </c>
    </row>
    <row r="1373" spans="7:16" x14ac:dyDescent="0.25">
      <c r="G1373" t="s">
        <v>894</v>
      </c>
      <c r="H1373">
        <v>1373</v>
      </c>
      <c r="I1373">
        <v>1373</v>
      </c>
      <c r="N1373" t="s">
        <v>895</v>
      </c>
      <c r="O1373">
        <v>1373</v>
      </c>
      <c r="P1373" t="str">
        <f t="shared" si="21"/>
        <v xml:space="preserve">[^ftn1373]: </v>
      </c>
    </row>
    <row r="1374" spans="7:16" x14ac:dyDescent="0.25">
      <c r="G1374" t="s">
        <v>894</v>
      </c>
      <c r="H1374">
        <v>1374</v>
      </c>
      <c r="I1374">
        <v>1374</v>
      </c>
      <c r="N1374" t="s">
        <v>895</v>
      </c>
      <c r="O1374">
        <v>1374</v>
      </c>
      <c r="P1374" t="str">
        <f t="shared" si="21"/>
        <v xml:space="preserve">[^ftn1374]: </v>
      </c>
    </row>
    <row r="1375" spans="7:16" x14ac:dyDescent="0.25">
      <c r="G1375" t="s">
        <v>894</v>
      </c>
      <c r="H1375">
        <v>1375</v>
      </c>
      <c r="I1375">
        <v>1375</v>
      </c>
      <c r="N1375" t="s">
        <v>895</v>
      </c>
      <c r="O1375">
        <v>1375</v>
      </c>
      <c r="P1375" t="str">
        <f t="shared" si="21"/>
        <v xml:space="preserve">[^ftn1375]: </v>
      </c>
    </row>
    <row r="1376" spans="7:16" x14ac:dyDescent="0.25">
      <c r="G1376" t="s">
        <v>894</v>
      </c>
      <c r="H1376">
        <v>1376</v>
      </c>
      <c r="I1376">
        <v>1376</v>
      </c>
      <c r="N1376" t="s">
        <v>895</v>
      </c>
      <c r="O1376">
        <v>1376</v>
      </c>
      <c r="P1376" t="str">
        <f t="shared" si="21"/>
        <v xml:space="preserve">[^ftn1376]: </v>
      </c>
    </row>
    <row r="1377" spans="7:16" x14ac:dyDescent="0.25">
      <c r="G1377" t="s">
        <v>894</v>
      </c>
      <c r="H1377">
        <v>1377</v>
      </c>
      <c r="I1377">
        <v>1377</v>
      </c>
      <c r="N1377" t="s">
        <v>895</v>
      </c>
      <c r="O1377">
        <v>1377</v>
      </c>
      <c r="P1377" t="str">
        <f t="shared" si="21"/>
        <v xml:space="preserve">[^ftn1377]: </v>
      </c>
    </row>
    <row r="1378" spans="7:16" x14ac:dyDescent="0.25">
      <c r="G1378" t="s">
        <v>894</v>
      </c>
      <c r="H1378">
        <v>1378</v>
      </c>
      <c r="I1378">
        <v>1378</v>
      </c>
      <c r="N1378" t="s">
        <v>895</v>
      </c>
      <c r="O1378">
        <v>1378</v>
      </c>
      <c r="P1378" t="str">
        <f t="shared" si="21"/>
        <v xml:space="preserve">[^ftn1378]: </v>
      </c>
    </row>
    <row r="1379" spans="7:16" x14ac:dyDescent="0.25">
      <c r="G1379" t="s">
        <v>894</v>
      </c>
      <c r="H1379">
        <v>1379</v>
      </c>
      <c r="I1379">
        <v>1379</v>
      </c>
      <c r="N1379" t="s">
        <v>895</v>
      </c>
      <c r="O1379">
        <v>1379</v>
      </c>
      <c r="P1379" t="str">
        <f t="shared" si="21"/>
        <v xml:space="preserve">[^ftn1379]: </v>
      </c>
    </row>
    <row r="1380" spans="7:16" x14ac:dyDescent="0.25">
      <c r="G1380" t="s">
        <v>894</v>
      </c>
      <c r="H1380">
        <v>1380</v>
      </c>
      <c r="I1380">
        <v>1380</v>
      </c>
      <c r="N1380" t="s">
        <v>895</v>
      </c>
      <c r="O1380">
        <v>1380</v>
      </c>
      <c r="P1380" t="str">
        <f t="shared" si="21"/>
        <v xml:space="preserve">[^ftn1380]: </v>
      </c>
    </row>
    <row r="1381" spans="7:16" x14ac:dyDescent="0.25">
      <c r="G1381" t="s">
        <v>894</v>
      </c>
      <c r="H1381">
        <v>1381</v>
      </c>
      <c r="I1381">
        <v>1381</v>
      </c>
      <c r="N1381" t="s">
        <v>895</v>
      </c>
      <c r="O1381">
        <v>1381</v>
      </c>
      <c r="P1381" t="str">
        <f t="shared" si="21"/>
        <v xml:space="preserve">[^ftn1381]: </v>
      </c>
    </row>
    <row r="1382" spans="7:16" x14ac:dyDescent="0.25">
      <c r="G1382" t="s">
        <v>894</v>
      </c>
      <c r="H1382">
        <v>1382</v>
      </c>
      <c r="I1382">
        <v>1382</v>
      </c>
      <c r="N1382" t="s">
        <v>895</v>
      </c>
      <c r="O1382">
        <v>1382</v>
      </c>
      <c r="P1382" t="str">
        <f t="shared" si="21"/>
        <v xml:space="preserve">[^ftn1382]: </v>
      </c>
    </row>
    <row r="1383" spans="7:16" x14ac:dyDescent="0.25">
      <c r="G1383" t="s">
        <v>894</v>
      </c>
      <c r="H1383">
        <v>1383</v>
      </c>
      <c r="I1383">
        <v>1383</v>
      </c>
      <c r="N1383" t="s">
        <v>895</v>
      </c>
      <c r="O1383">
        <v>1383</v>
      </c>
      <c r="P1383" t="str">
        <f t="shared" si="21"/>
        <v xml:space="preserve">[^ftn1383]: </v>
      </c>
    </row>
    <row r="1384" spans="7:16" x14ac:dyDescent="0.25">
      <c r="G1384" t="s">
        <v>894</v>
      </c>
      <c r="H1384">
        <v>1384</v>
      </c>
      <c r="I1384">
        <v>1384</v>
      </c>
      <c r="N1384" t="s">
        <v>895</v>
      </c>
      <c r="O1384">
        <v>1384</v>
      </c>
      <c r="P1384" t="str">
        <f t="shared" si="21"/>
        <v xml:space="preserve">[^ftn1384]: </v>
      </c>
    </row>
    <row r="1385" spans="7:16" x14ac:dyDescent="0.25">
      <c r="G1385" t="s">
        <v>894</v>
      </c>
      <c r="H1385">
        <v>1385</v>
      </c>
      <c r="I1385">
        <v>1385</v>
      </c>
      <c r="N1385" t="s">
        <v>895</v>
      </c>
      <c r="O1385">
        <v>1385</v>
      </c>
      <c r="P1385" t="str">
        <f t="shared" si="21"/>
        <v xml:space="preserve">[^ftn1385]: </v>
      </c>
    </row>
    <row r="1386" spans="7:16" x14ac:dyDescent="0.25">
      <c r="G1386" t="s">
        <v>894</v>
      </c>
      <c r="H1386">
        <v>1386</v>
      </c>
      <c r="I1386">
        <v>1386</v>
      </c>
      <c r="N1386" t="s">
        <v>895</v>
      </c>
      <c r="O1386">
        <v>1386</v>
      </c>
      <c r="P1386" t="str">
        <f t="shared" si="21"/>
        <v xml:space="preserve">[^ftn1386]: </v>
      </c>
    </row>
    <row r="1387" spans="7:16" x14ac:dyDescent="0.25">
      <c r="G1387" t="s">
        <v>894</v>
      </c>
      <c r="H1387">
        <v>1387</v>
      </c>
      <c r="I1387">
        <v>1387</v>
      </c>
      <c r="N1387" t="s">
        <v>895</v>
      </c>
      <c r="O1387">
        <v>1387</v>
      </c>
      <c r="P1387" t="str">
        <f t="shared" si="21"/>
        <v xml:space="preserve">[^ftn1387]: </v>
      </c>
    </row>
    <row r="1388" spans="7:16" x14ac:dyDescent="0.25">
      <c r="G1388" t="s">
        <v>894</v>
      </c>
      <c r="H1388">
        <v>1388</v>
      </c>
      <c r="I1388">
        <v>1388</v>
      </c>
      <c r="N1388" t="s">
        <v>895</v>
      </c>
      <c r="O1388">
        <v>1388</v>
      </c>
      <c r="P1388" t="str">
        <f t="shared" si="21"/>
        <v xml:space="preserve">[^ftn1388]: </v>
      </c>
    </row>
    <row r="1389" spans="7:16" x14ac:dyDescent="0.25">
      <c r="G1389" t="s">
        <v>894</v>
      </c>
      <c r="H1389">
        <v>1389</v>
      </c>
      <c r="I1389">
        <v>1389</v>
      </c>
      <c r="N1389" t="s">
        <v>895</v>
      </c>
      <c r="O1389">
        <v>1389</v>
      </c>
      <c r="P1389" t="str">
        <f t="shared" si="21"/>
        <v xml:space="preserve">[^ftn1389]: </v>
      </c>
    </row>
    <row r="1390" spans="7:16" x14ac:dyDescent="0.25">
      <c r="G1390" t="s">
        <v>894</v>
      </c>
      <c r="H1390">
        <v>1390</v>
      </c>
      <c r="I1390">
        <v>1390</v>
      </c>
      <c r="N1390" t="s">
        <v>895</v>
      </c>
      <c r="O1390">
        <v>1390</v>
      </c>
      <c r="P1390" t="str">
        <f t="shared" si="21"/>
        <v xml:space="preserve">[^ftn1390]: </v>
      </c>
    </row>
    <row r="1391" spans="7:16" x14ac:dyDescent="0.25">
      <c r="G1391" t="s">
        <v>894</v>
      </c>
      <c r="H1391">
        <v>1391</v>
      </c>
      <c r="I1391">
        <v>1391</v>
      </c>
      <c r="N1391" t="s">
        <v>895</v>
      </c>
      <c r="O1391">
        <v>1391</v>
      </c>
      <c r="P1391" t="str">
        <f t="shared" si="21"/>
        <v xml:space="preserve">[^ftn1391]: </v>
      </c>
    </row>
    <row r="1392" spans="7:16" x14ac:dyDescent="0.25">
      <c r="G1392" t="s">
        <v>894</v>
      </c>
      <c r="H1392">
        <v>1392</v>
      </c>
      <c r="I1392">
        <v>1392</v>
      </c>
      <c r="N1392" t="s">
        <v>895</v>
      </c>
      <c r="O1392">
        <v>1392</v>
      </c>
      <c r="P1392" t="str">
        <f t="shared" si="21"/>
        <v xml:space="preserve">[^ftn1392]: </v>
      </c>
    </row>
    <row r="1393" spans="7:16" x14ac:dyDescent="0.25">
      <c r="G1393" t="s">
        <v>894</v>
      </c>
      <c r="H1393">
        <v>1393</v>
      </c>
      <c r="I1393">
        <v>1393</v>
      </c>
      <c r="N1393" t="s">
        <v>895</v>
      </c>
      <c r="O1393">
        <v>1393</v>
      </c>
      <c r="P1393" t="str">
        <f t="shared" si="21"/>
        <v xml:space="preserve">[^ftn1393]: </v>
      </c>
    </row>
    <row r="1394" spans="7:16" x14ac:dyDescent="0.25">
      <c r="G1394" t="s">
        <v>894</v>
      </c>
      <c r="H1394">
        <v>1394</v>
      </c>
      <c r="I1394">
        <v>1394</v>
      </c>
      <c r="N1394" t="s">
        <v>895</v>
      </c>
      <c r="O1394">
        <v>1394</v>
      </c>
      <c r="P1394" t="str">
        <f t="shared" si="21"/>
        <v xml:space="preserve">[^ftn1394]: </v>
      </c>
    </row>
    <row r="1395" spans="7:16" x14ac:dyDescent="0.25">
      <c r="G1395" t="s">
        <v>894</v>
      </c>
      <c r="H1395">
        <v>1395</v>
      </c>
      <c r="I1395">
        <v>1395</v>
      </c>
      <c r="N1395" t="s">
        <v>895</v>
      </c>
      <c r="O1395">
        <v>1395</v>
      </c>
      <c r="P1395" t="str">
        <f t="shared" si="21"/>
        <v xml:space="preserve">[^ftn1395]: </v>
      </c>
    </row>
    <row r="1396" spans="7:16" x14ac:dyDescent="0.25">
      <c r="G1396" t="s">
        <v>894</v>
      </c>
      <c r="H1396">
        <v>1396</v>
      </c>
      <c r="I1396">
        <v>1396</v>
      </c>
      <c r="N1396" t="s">
        <v>895</v>
      </c>
      <c r="O1396">
        <v>1396</v>
      </c>
      <c r="P1396" t="str">
        <f t="shared" si="21"/>
        <v xml:space="preserve">[^ftn1396]: </v>
      </c>
    </row>
    <row r="1397" spans="7:16" x14ac:dyDescent="0.25">
      <c r="G1397" t="s">
        <v>894</v>
      </c>
      <c r="H1397">
        <v>1397</v>
      </c>
      <c r="I1397">
        <v>1397</v>
      </c>
      <c r="N1397" t="s">
        <v>895</v>
      </c>
      <c r="O1397">
        <v>1397</v>
      </c>
      <c r="P1397" t="str">
        <f t="shared" si="21"/>
        <v xml:space="preserve">[^ftn1397]: </v>
      </c>
    </row>
    <row r="1398" spans="7:16" x14ac:dyDescent="0.25">
      <c r="G1398" t="s">
        <v>894</v>
      </c>
      <c r="H1398">
        <v>1398</v>
      </c>
      <c r="I1398">
        <v>1398</v>
      </c>
      <c r="N1398" t="s">
        <v>895</v>
      </c>
      <c r="O1398">
        <v>1398</v>
      </c>
      <c r="P1398" t="str">
        <f t="shared" si="21"/>
        <v xml:space="preserve">[^ftn1398]: </v>
      </c>
    </row>
    <row r="1399" spans="7:16" x14ac:dyDescent="0.25">
      <c r="G1399" t="s">
        <v>894</v>
      </c>
      <c r="H1399">
        <v>1399</v>
      </c>
      <c r="I1399">
        <v>1399</v>
      </c>
      <c r="N1399" t="s">
        <v>895</v>
      </c>
      <c r="O1399">
        <v>1399</v>
      </c>
      <c r="P1399" t="str">
        <f t="shared" si="21"/>
        <v xml:space="preserve">[^ftn1399]: </v>
      </c>
    </row>
    <row r="1400" spans="7:16" x14ac:dyDescent="0.25">
      <c r="G1400" t="s">
        <v>894</v>
      </c>
      <c r="H1400">
        <v>1400</v>
      </c>
      <c r="I1400">
        <v>1400</v>
      </c>
      <c r="N1400" t="s">
        <v>895</v>
      </c>
      <c r="O1400">
        <v>1400</v>
      </c>
      <c r="P1400" t="str">
        <f t="shared" si="21"/>
        <v xml:space="preserve">[^ftn1400]: </v>
      </c>
    </row>
    <row r="1401" spans="7:16" x14ac:dyDescent="0.25">
      <c r="G1401" t="s">
        <v>894</v>
      </c>
      <c r="H1401">
        <v>1401</v>
      </c>
      <c r="I1401">
        <v>1401</v>
      </c>
      <c r="N1401" t="s">
        <v>895</v>
      </c>
      <c r="O1401">
        <v>1401</v>
      </c>
      <c r="P1401" t="str">
        <f t="shared" si="21"/>
        <v xml:space="preserve">[^ftn1401]: </v>
      </c>
    </row>
    <row r="1402" spans="7:16" x14ac:dyDescent="0.25">
      <c r="G1402" t="s">
        <v>894</v>
      </c>
      <c r="H1402">
        <v>1402</v>
      </c>
      <c r="I1402">
        <v>1402</v>
      </c>
      <c r="N1402" t="s">
        <v>895</v>
      </c>
      <c r="O1402">
        <v>1402</v>
      </c>
      <c r="P1402" t="str">
        <f t="shared" si="21"/>
        <v xml:space="preserve">[^ftn1402]: </v>
      </c>
    </row>
    <row r="1403" spans="7:16" x14ac:dyDescent="0.25">
      <c r="G1403" t="s">
        <v>894</v>
      </c>
      <c r="H1403">
        <v>1403</v>
      </c>
      <c r="I1403">
        <v>1403</v>
      </c>
      <c r="N1403" t="s">
        <v>895</v>
      </c>
      <c r="O1403">
        <v>1403</v>
      </c>
      <c r="P1403" t="str">
        <f t="shared" si="21"/>
        <v xml:space="preserve">[^ftn1403]: </v>
      </c>
    </row>
    <row r="1404" spans="7:16" x14ac:dyDescent="0.25">
      <c r="G1404" t="s">
        <v>894</v>
      </c>
      <c r="H1404">
        <v>1404</v>
      </c>
      <c r="I1404">
        <v>1404</v>
      </c>
      <c r="N1404" t="s">
        <v>895</v>
      </c>
      <c r="O1404">
        <v>1404</v>
      </c>
      <c r="P1404" t="str">
        <f t="shared" si="21"/>
        <v xml:space="preserve">[^ftn1404]: </v>
      </c>
    </row>
    <row r="1405" spans="7:16" x14ac:dyDescent="0.25">
      <c r="G1405" t="s">
        <v>894</v>
      </c>
      <c r="H1405">
        <v>1405</v>
      </c>
      <c r="I1405">
        <v>1405</v>
      </c>
      <c r="N1405" t="s">
        <v>895</v>
      </c>
      <c r="O1405">
        <v>1405</v>
      </c>
      <c r="P1405" t="str">
        <f t="shared" si="21"/>
        <v xml:space="preserve">[^ftn1405]: </v>
      </c>
    </row>
    <row r="1406" spans="7:16" x14ac:dyDescent="0.25">
      <c r="G1406" t="s">
        <v>894</v>
      </c>
      <c r="H1406">
        <v>1406</v>
      </c>
      <c r="I1406">
        <v>1406</v>
      </c>
      <c r="N1406" t="s">
        <v>895</v>
      </c>
      <c r="O1406">
        <v>1406</v>
      </c>
      <c r="P1406" t="str">
        <f t="shared" si="21"/>
        <v xml:space="preserve">[^ftn1406]: </v>
      </c>
    </row>
    <row r="1407" spans="7:16" x14ac:dyDescent="0.25">
      <c r="G1407" t="s">
        <v>894</v>
      </c>
      <c r="H1407">
        <v>1407</v>
      </c>
      <c r="I1407">
        <v>1407</v>
      </c>
      <c r="N1407" t="s">
        <v>895</v>
      </c>
      <c r="O1407">
        <v>1407</v>
      </c>
      <c r="P1407" t="str">
        <f t="shared" si="21"/>
        <v xml:space="preserve">[^ftn1407]: </v>
      </c>
    </row>
    <row r="1408" spans="7:16" x14ac:dyDescent="0.25">
      <c r="G1408" t="s">
        <v>894</v>
      </c>
      <c r="H1408">
        <v>1408</v>
      </c>
      <c r="I1408">
        <v>1408</v>
      </c>
      <c r="N1408" t="s">
        <v>895</v>
      </c>
      <c r="O1408">
        <v>1408</v>
      </c>
      <c r="P1408" t="str">
        <f t="shared" si="21"/>
        <v xml:space="preserve">[^ftn1408]: </v>
      </c>
    </row>
    <row r="1409" spans="7:16" x14ac:dyDescent="0.25">
      <c r="G1409" t="s">
        <v>894</v>
      </c>
      <c r="H1409">
        <v>1409</v>
      </c>
      <c r="I1409">
        <v>1409</v>
      </c>
      <c r="N1409" t="s">
        <v>895</v>
      </c>
      <c r="O1409">
        <v>1409</v>
      </c>
      <c r="P1409" t="str">
        <f t="shared" si="21"/>
        <v xml:space="preserve">[^ftn1409]: </v>
      </c>
    </row>
    <row r="1410" spans="7:16" x14ac:dyDescent="0.25">
      <c r="G1410" t="s">
        <v>894</v>
      </c>
      <c r="H1410">
        <v>1410</v>
      </c>
      <c r="I1410">
        <v>1410</v>
      </c>
      <c r="N1410" t="s">
        <v>895</v>
      </c>
      <c r="O1410">
        <v>1410</v>
      </c>
      <c r="P1410" t="str">
        <f t="shared" ref="P1410:P1473" si="22">_xlfn.CONCAT("[^ftn",O1410,"]: ",)</f>
        <v xml:space="preserve">[^ftn1410]: </v>
      </c>
    </row>
    <row r="1411" spans="7:16" x14ac:dyDescent="0.25">
      <c r="G1411" t="s">
        <v>894</v>
      </c>
      <c r="H1411">
        <v>1411</v>
      </c>
      <c r="I1411">
        <v>1411</v>
      </c>
      <c r="N1411" t="s">
        <v>895</v>
      </c>
      <c r="O1411">
        <v>1411</v>
      </c>
      <c r="P1411" t="str">
        <f t="shared" si="22"/>
        <v xml:space="preserve">[^ftn1411]: </v>
      </c>
    </row>
    <row r="1412" spans="7:16" x14ac:dyDescent="0.25">
      <c r="G1412" t="s">
        <v>894</v>
      </c>
      <c r="H1412">
        <v>1412</v>
      </c>
      <c r="I1412">
        <v>1412</v>
      </c>
      <c r="N1412" t="s">
        <v>895</v>
      </c>
      <c r="O1412">
        <v>1412</v>
      </c>
      <c r="P1412" t="str">
        <f t="shared" si="22"/>
        <v xml:space="preserve">[^ftn1412]: </v>
      </c>
    </row>
    <row r="1413" spans="7:16" x14ac:dyDescent="0.25">
      <c r="G1413" t="s">
        <v>894</v>
      </c>
      <c r="H1413">
        <v>1413</v>
      </c>
      <c r="I1413">
        <v>1413</v>
      </c>
      <c r="N1413" t="s">
        <v>895</v>
      </c>
      <c r="O1413">
        <v>1413</v>
      </c>
      <c r="P1413" t="str">
        <f t="shared" si="22"/>
        <v xml:space="preserve">[^ftn1413]: </v>
      </c>
    </row>
    <row r="1414" spans="7:16" x14ac:dyDescent="0.25">
      <c r="G1414" t="s">
        <v>894</v>
      </c>
      <c r="H1414">
        <v>1414</v>
      </c>
      <c r="I1414">
        <v>1414</v>
      </c>
      <c r="N1414" t="s">
        <v>895</v>
      </c>
      <c r="O1414">
        <v>1414</v>
      </c>
      <c r="P1414" t="str">
        <f t="shared" si="22"/>
        <v xml:space="preserve">[^ftn1414]: </v>
      </c>
    </row>
    <row r="1415" spans="7:16" x14ac:dyDescent="0.25">
      <c r="G1415" t="s">
        <v>894</v>
      </c>
      <c r="H1415">
        <v>1415</v>
      </c>
      <c r="I1415">
        <v>1415</v>
      </c>
      <c r="N1415" t="s">
        <v>895</v>
      </c>
      <c r="O1415">
        <v>1415</v>
      </c>
      <c r="P1415" t="str">
        <f t="shared" si="22"/>
        <v xml:space="preserve">[^ftn1415]: </v>
      </c>
    </row>
    <row r="1416" spans="7:16" x14ac:dyDescent="0.25">
      <c r="G1416" t="s">
        <v>894</v>
      </c>
      <c r="H1416">
        <v>1416</v>
      </c>
      <c r="I1416">
        <v>1416</v>
      </c>
      <c r="N1416" t="s">
        <v>895</v>
      </c>
      <c r="O1416">
        <v>1416</v>
      </c>
      <c r="P1416" t="str">
        <f t="shared" si="22"/>
        <v xml:space="preserve">[^ftn1416]: </v>
      </c>
    </row>
    <row r="1417" spans="7:16" x14ac:dyDescent="0.25">
      <c r="G1417" t="s">
        <v>894</v>
      </c>
      <c r="H1417">
        <v>1417</v>
      </c>
      <c r="I1417">
        <v>1417</v>
      </c>
      <c r="N1417" t="s">
        <v>895</v>
      </c>
      <c r="O1417">
        <v>1417</v>
      </c>
      <c r="P1417" t="str">
        <f t="shared" si="22"/>
        <v xml:space="preserve">[^ftn1417]: </v>
      </c>
    </row>
    <row r="1418" spans="7:16" x14ac:dyDescent="0.25">
      <c r="G1418" t="s">
        <v>894</v>
      </c>
      <c r="H1418">
        <v>1418</v>
      </c>
      <c r="I1418">
        <v>1418</v>
      </c>
      <c r="N1418" t="s">
        <v>895</v>
      </c>
      <c r="O1418">
        <v>1418</v>
      </c>
      <c r="P1418" t="str">
        <f t="shared" si="22"/>
        <v xml:space="preserve">[^ftn1418]: </v>
      </c>
    </row>
    <row r="1419" spans="7:16" x14ac:dyDescent="0.25">
      <c r="G1419" t="s">
        <v>894</v>
      </c>
      <c r="H1419">
        <v>1419</v>
      </c>
      <c r="I1419">
        <v>1419</v>
      </c>
      <c r="N1419" t="s">
        <v>895</v>
      </c>
      <c r="O1419">
        <v>1419</v>
      </c>
      <c r="P1419" t="str">
        <f t="shared" si="22"/>
        <v xml:space="preserve">[^ftn1419]: </v>
      </c>
    </row>
    <row r="1420" spans="7:16" x14ac:dyDescent="0.25">
      <c r="G1420" t="s">
        <v>894</v>
      </c>
      <c r="H1420">
        <v>1420</v>
      </c>
      <c r="I1420">
        <v>1420</v>
      </c>
      <c r="N1420" t="s">
        <v>895</v>
      </c>
      <c r="O1420">
        <v>1420</v>
      </c>
      <c r="P1420" t="str">
        <f t="shared" si="22"/>
        <v xml:space="preserve">[^ftn1420]: </v>
      </c>
    </row>
    <row r="1421" spans="7:16" x14ac:dyDescent="0.25">
      <c r="G1421" t="s">
        <v>894</v>
      </c>
      <c r="H1421">
        <v>1421</v>
      </c>
      <c r="I1421">
        <v>1421</v>
      </c>
      <c r="N1421" t="s">
        <v>895</v>
      </c>
      <c r="O1421">
        <v>1421</v>
      </c>
      <c r="P1421" t="str">
        <f t="shared" si="22"/>
        <v xml:space="preserve">[^ftn1421]: </v>
      </c>
    </row>
    <row r="1422" spans="7:16" x14ac:dyDescent="0.25">
      <c r="G1422" t="s">
        <v>894</v>
      </c>
      <c r="H1422">
        <v>1422</v>
      </c>
      <c r="I1422">
        <v>1422</v>
      </c>
      <c r="N1422" t="s">
        <v>895</v>
      </c>
      <c r="O1422">
        <v>1422</v>
      </c>
      <c r="P1422" t="str">
        <f t="shared" si="22"/>
        <v xml:space="preserve">[^ftn1422]: </v>
      </c>
    </row>
    <row r="1423" spans="7:16" x14ac:dyDescent="0.25">
      <c r="G1423" t="s">
        <v>894</v>
      </c>
      <c r="H1423">
        <v>1423</v>
      </c>
      <c r="I1423">
        <v>1423</v>
      </c>
      <c r="N1423" t="s">
        <v>895</v>
      </c>
      <c r="O1423">
        <v>1423</v>
      </c>
      <c r="P1423" t="str">
        <f t="shared" si="22"/>
        <v xml:space="preserve">[^ftn1423]: </v>
      </c>
    </row>
    <row r="1424" spans="7:16" x14ac:dyDescent="0.25">
      <c r="G1424" t="s">
        <v>894</v>
      </c>
      <c r="H1424">
        <v>1424</v>
      </c>
      <c r="I1424">
        <v>1424</v>
      </c>
      <c r="N1424" t="s">
        <v>895</v>
      </c>
      <c r="O1424">
        <v>1424</v>
      </c>
      <c r="P1424" t="str">
        <f t="shared" si="22"/>
        <v xml:space="preserve">[^ftn1424]: </v>
      </c>
    </row>
    <row r="1425" spans="7:16" x14ac:dyDescent="0.25">
      <c r="G1425" t="s">
        <v>894</v>
      </c>
      <c r="H1425">
        <v>1425</v>
      </c>
      <c r="I1425">
        <v>1425</v>
      </c>
      <c r="N1425" t="s">
        <v>895</v>
      </c>
      <c r="O1425">
        <v>1425</v>
      </c>
      <c r="P1425" t="str">
        <f t="shared" si="22"/>
        <v xml:space="preserve">[^ftn1425]: </v>
      </c>
    </row>
    <row r="1426" spans="7:16" x14ac:dyDescent="0.25">
      <c r="G1426" t="s">
        <v>894</v>
      </c>
      <c r="H1426">
        <v>1426</v>
      </c>
      <c r="I1426">
        <v>1426</v>
      </c>
      <c r="N1426" t="s">
        <v>895</v>
      </c>
      <c r="O1426">
        <v>1426</v>
      </c>
      <c r="P1426" t="str">
        <f t="shared" si="22"/>
        <v xml:space="preserve">[^ftn1426]: </v>
      </c>
    </row>
    <row r="1427" spans="7:16" x14ac:dyDescent="0.25">
      <c r="G1427" t="s">
        <v>894</v>
      </c>
      <c r="H1427">
        <v>1427</v>
      </c>
      <c r="I1427">
        <v>1427</v>
      </c>
      <c r="N1427" t="s">
        <v>895</v>
      </c>
      <c r="O1427">
        <v>1427</v>
      </c>
      <c r="P1427" t="str">
        <f t="shared" si="22"/>
        <v xml:space="preserve">[^ftn1427]: </v>
      </c>
    </row>
    <row r="1428" spans="7:16" x14ac:dyDescent="0.25">
      <c r="G1428" t="s">
        <v>894</v>
      </c>
      <c r="H1428">
        <v>1428</v>
      </c>
      <c r="I1428">
        <v>1428</v>
      </c>
      <c r="N1428" t="s">
        <v>895</v>
      </c>
      <c r="O1428">
        <v>1428</v>
      </c>
      <c r="P1428" t="str">
        <f t="shared" si="22"/>
        <v xml:space="preserve">[^ftn1428]: </v>
      </c>
    </row>
    <row r="1429" spans="7:16" x14ac:dyDescent="0.25">
      <c r="G1429" t="s">
        <v>894</v>
      </c>
      <c r="H1429">
        <v>1429</v>
      </c>
      <c r="I1429">
        <v>1429</v>
      </c>
      <c r="N1429" t="s">
        <v>895</v>
      </c>
      <c r="O1429">
        <v>1429</v>
      </c>
      <c r="P1429" t="str">
        <f t="shared" si="22"/>
        <v xml:space="preserve">[^ftn1429]: </v>
      </c>
    </row>
    <row r="1430" spans="7:16" x14ac:dyDescent="0.25">
      <c r="G1430" t="s">
        <v>894</v>
      </c>
      <c r="H1430">
        <v>1430</v>
      </c>
      <c r="I1430">
        <v>1430</v>
      </c>
      <c r="N1430" t="s">
        <v>895</v>
      </c>
      <c r="O1430">
        <v>1430</v>
      </c>
      <c r="P1430" t="str">
        <f t="shared" si="22"/>
        <v xml:space="preserve">[^ftn1430]: </v>
      </c>
    </row>
    <row r="1431" spans="7:16" x14ac:dyDescent="0.25">
      <c r="G1431" t="s">
        <v>894</v>
      </c>
      <c r="H1431">
        <v>1431</v>
      </c>
      <c r="I1431">
        <v>1431</v>
      </c>
      <c r="N1431" t="s">
        <v>895</v>
      </c>
      <c r="O1431">
        <v>1431</v>
      </c>
      <c r="P1431" t="str">
        <f t="shared" si="22"/>
        <v xml:space="preserve">[^ftn1431]: </v>
      </c>
    </row>
    <row r="1432" spans="7:16" x14ac:dyDescent="0.25">
      <c r="G1432" t="s">
        <v>894</v>
      </c>
      <c r="H1432">
        <v>1432</v>
      </c>
      <c r="I1432">
        <v>1432</v>
      </c>
      <c r="N1432" t="s">
        <v>895</v>
      </c>
      <c r="O1432">
        <v>1432</v>
      </c>
      <c r="P1432" t="str">
        <f t="shared" si="22"/>
        <v xml:space="preserve">[^ftn1432]: </v>
      </c>
    </row>
    <row r="1433" spans="7:16" x14ac:dyDescent="0.25">
      <c r="G1433" t="s">
        <v>894</v>
      </c>
      <c r="H1433">
        <v>1433</v>
      </c>
      <c r="I1433">
        <v>1433</v>
      </c>
      <c r="N1433" t="s">
        <v>895</v>
      </c>
      <c r="O1433">
        <v>1433</v>
      </c>
      <c r="P1433" t="str">
        <f t="shared" si="22"/>
        <v xml:space="preserve">[^ftn1433]: </v>
      </c>
    </row>
    <row r="1434" spans="7:16" x14ac:dyDescent="0.25">
      <c r="G1434" t="s">
        <v>894</v>
      </c>
      <c r="H1434">
        <v>1434</v>
      </c>
      <c r="I1434">
        <v>1434</v>
      </c>
      <c r="N1434" t="s">
        <v>895</v>
      </c>
      <c r="O1434">
        <v>1434</v>
      </c>
      <c r="P1434" t="str">
        <f t="shared" si="22"/>
        <v xml:space="preserve">[^ftn1434]: </v>
      </c>
    </row>
    <row r="1435" spans="7:16" x14ac:dyDescent="0.25">
      <c r="G1435" t="s">
        <v>894</v>
      </c>
      <c r="H1435">
        <v>1435</v>
      </c>
      <c r="I1435">
        <v>1435</v>
      </c>
      <c r="N1435" t="s">
        <v>895</v>
      </c>
      <c r="O1435">
        <v>1435</v>
      </c>
      <c r="P1435" t="str">
        <f t="shared" si="22"/>
        <v xml:space="preserve">[^ftn1435]: </v>
      </c>
    </row>
    <row r="1436" spans="7:16" x14ac:dyDescent="0.25">
      <c r="G1436" t="s">
        <v>894</v>
      </c>
      <c r="H1436">
        <v>1436</v>
      </c>
      <c r="I1436">
        <v>1436</v>
      </c>
      <c r="N1436" t="s">
        <v>895</v>
      </c>
      <c r="O1436">
        <v>1436</v>
      </c>
      <c r="P1436" t="str">
        <f t="shared" si="22"/>
        <v xml:space="preserve">[^ftn1436]: </v>
      </c>
    </row>
    <row r="1437" spans="7:16" x14ac:dyDescent="0.25">
      <c r="G1437" t="s">
        <v>894</v>
      </c>
      <c r="H1437">
        <v>1437</v>
      </c>
      <c r="I1437">
        <v>1437</v>
      </c>
      <c r="N1437" t="s">
        <v>895</v>
      </c>
      <c r="O1437">
        <v>1437</v>
      </c>
      <c r="P1437" t="str">
        <f t="shared" si="22"/>
        <v xml:space="preserve">[^ftn1437]: </v>
      </c>
    </row>
    <row r="1438" spans="7:16" x14ac:dyDescent="0.25">
      <c r="G1438" t="s">
        <v>894</v>
      </c>
      <c r="H1438">
        <v>1438</v>
      </c>
      <c r="I1438">
        <v>1438</v>
      </c>
      <c r="N1438" t="s">
        <v>895</v>
      </c>
      <c r="O1438">
        <v>1438</v>
      </c>
      <c r="P1438" t="str">
        <f t="shared" si="22"/>
        <v xml:space="preserve">[^ftn1438]: </v>
      </c>
    </row>
    <row r="1439" spans="7:16" x14ac:dyDescent="0.25">
      <c r="G1439" t="s">
        <v>894</v>
      </c>
      <c r="H1439">
        <v>1439</v>
      </c>
      <c r="I1439">
        <v>1439</v>
      </c>
      <c r="N1439" t="s">
        <v>895</v>
      </c>
      <c r="O1439">
        <v>1439</v>
      </c>
      <c r="P1439" t="str">
        <f t="shared" si="22"/>
        <v xml:space="preserve">[^ftn1439]: </v>
      </c>
    </row>
    <row r="1440" spans="7:16" x14ac:dyDescent="0.25">
      <c r="G1440" t="s">
        <v>894</v>
      </c>
      <c r="H1440">
        <v>1440</v>
      </c>
      <c r="I1440">
        <v>1440</v>
      </c>
      <c r="N1440" t="s">
        <v>895</v>
      </c>
      <c r="O1440">
        <v>1440</v>
      </c>
      <c r="P1440" t="str">
        <f t="shared" si="22"/>
        <v xml:space="preserve">[^ftn1440]: </v>
      </c>
    </row>
    <row r="1441" spans="7:16" x14ac:dyDescent="0.25">
      <c r="G1441" t="s">
        <v>894</v>
      </c>
      <c r="H1441">
        <v>1441</v>
      </c>
      <c r="I1441">
        <v>1441</v>
      </c>
      <c r="N1441" t="s">
        <v>895</v>
      </c>
      <c r="O1441">
        <v>1441</v>
      </c>
      <c r="P1441" t="str">
        <f t="shared" si="22"/>
        <v xml:space="preserve">[^ftn1441]: </v>
      </c>
    </row>
    <row r="1442" spans="7:16" x14ac:dyDescent="0.25">
      <c r="G1442" t="s">
        <v>894</v>
      </c>
      <c r="H1442">
        <v>1442</v>
      </c>
      <c r="I1442">
        <v>1442</v>
      </c>
      <c r="N1442" t="s">
        <v>895</v>
      </c>
      <c r="O1442">
        <v>1442</v>
      </c>
      <c r="P1442" t="str">
        <f t="shared" si="22"/>
        <v xml:space="preserve">[^ftn1442]: </v>
      </c>
    </row>
    <row r="1443" spans="7:16" x14ac:dyDescent="0.25">
      <c r="G1443" t="s">
        <v>894</v>
      </c>
      <c r="H1443">
        <v>1443</v>
      </c>
      <c r="I1443">
        <v>1443</v>
      </c>
      <c r="N1443" t="s">
        <v>895</v>
      </c>
      <c r="O1443">
        <v>1443</v>
      </c>
      <c r="P1443" t="str">
        <f t="shared" si="22"/>
        <v xml:space="preserve">[^ftn1443]: </v>
      </c>
    </row>
    <row r="1444" spans="7:16" x14ac:dyDescent="0.25">
      <c r="G1444" t="s">
        <v>894</v>
      </c>
      <c r="H1444">
        <v>1444</v>
      </c>
      <c r="I1444">
        <v>1444</v>
      </c>
      <c r="N1444" t="s">
        <v>895</v>
      </c>
      <c r="O1444">
        <v>1444</v>
      </c>
      <c r="P1444" t="str">
        <f t="shared" si="22"/>
        <v xml:space="preserve">[^ftn1444]: </v>
      </c>
    </row>
    <row r="1445" spans="7:16" x14ac:dyDescent="0.25">
      <c r="G1445" t="s">
        <v>894</v>
      </c>
      <c r="H1445">
        <v>1445</v>
      </c>
      <c r="I1445">
        <v>1445</v>
      </c>
      <c r="N1445" t="s">
        <v>895</v>
      </c>
      <c r="O1445">
        <v>1445</v>
      </c>
      <c r="P1445" t="str">
        <f t="shared" si="22"/>
        <v xml:space="preserve">[^ftn1445]: </v>
      </c>
    </row>
    <row r="1446" spans="7:16" x14ac:dyDescent="0.25">
      <c r="G1446" t="s">
        <v>894</v>
      </c>
      <c r="H1446">
        <v>1446</v>
      </c>
      <c r="I1446">
        <v>1446</v>
      </c>
      <c r="N1446" t="s">
        <v>895</v>
      </c>
      <c r="O1446">
        <v>1446</v>
      </c>
      <c r="P1446" t="str">
        <f t="shared" si="22"/>
        <v xml:space="preserve">[^ftn1446]: </v>
      </c>
    </row>
    <row r="1447" spans="7:16" x14ac:dyDescent="0.25">
      <c r="G1447" t="s">
        <v>894</v>
      </c>
      <c r="H1447">
        <v>1447</v>
      </c>
      <c r="I1447">
        <v>1447</v>
      </c>
      <c r="N1447" t="s">
        <v>895</v>
      </c>
      <c r="O1447">
        <v>1447</v>
      </c>
      <c r="P1447" t="str">
        <f t="shared" si="22"/>
        <v xml:space="preserve">[^ftn1447]: </v>
      </c>
    </row>
    <row r="1448" spans="7:16" x14ac:dyDescent="0.25">
      <c r="G1448" t="s">
        <v>894</v>
      </c>
      <c r="H1448">
        <v>1448</v>
      </c>
      <c r="I1448">
        <v>1448</v>
      </c>
      <c r="N1448" t="s">
        <v>895</v>
      </c>
      <c r="O1448">
        <v>1448</v>
      </c>
      <c r="P1448" t="str">
        <f t="shared" si="22"/>
        <v xml:space="preserve">[^ftn1448]: </v>
      </c>
    </row>
    <row r="1449" spans="7:16" x14ac:dyDescent="0.25">
      <c r="G1449" t="s">
        <v>894</v>
      </c>
      <c r="H1449">
        <v>1449</v>
      </c>
      <c r="I1449">
        <v>1449</v>
      </c>
      <c r="N1449" t="s">
        <v>895</v>
      </c>
      <c r="O1449">
        <v>1449</v>
      </c>
      <c r="P1449" t="str">
        <f t="shared" si="22"/>
        <v xml:space="preserve">[^ftn1449]: </v>
      </c>
    </row>
    <row r="1450" spans="7:16" x14ac:dyDescent="0.25">
      <c r="G1450" t="s">
        <v>894</v>
      </c>
      <c r="H1450">
        <v>1450</v>
      </c>
      <c r="I1450">
        <v>1450</v>
      </c>
      <c r="N1450" t="s">
        <v>895</v>
      </c>
      <c r="O1450">
        <v>1450</v>
      </c>
      <c r="P1450" t="str">
        <f t="shared" si="22"/>
        <v xml:space="preserve">[^ftn1450]: </v>
      </c>
    </row>
    <row r="1451" spans="7:16" x14ac:dyDescent="0.25">
      <c r="G1451" t="s">
        <v>894</v>
      </c>
      <c r="H1451">
        <v>1451</v>
      </c>
      <c r="I1451">
        <v>1451</v>
      </c>
      <c r="N1451" t="s">
        <v>895</v>
      </c>
      <c r="O1451">
        <v>1451</v>
      </c>
      <c r="P1451" t="str">
        <f t="shared" si="22"/>
        <v xml:space="preserve">[^ftn1451]: </v>
      </c>
    </row>
    <row r="1452" spans="7:16" x14ac:dyDescent="0.25">
      <c r="G1452" t="s">
        <v>894</v>
      </c>
      <c r="H1452">
        <v>1452</v>
      </c>
      <c r="I1452">
        <v>1452</v>
      </c>
      <c r="N1452" t="s">
        <v>895</v>
      </c>
      <c r="O1452">
        <v>1452</v>
      </c>
      <c r="P1452" t="str">
        <f t="shared" si="22"/>
        <v xml:space="preserve">[^ftn1452]: </v>
      </c>
    </row>
    <row r="1453" spans="7:16" x14ac:dyDescent="0.25">
      <c r="G1453" t="s">
        <v>894</v>
      </c>
      <c r="H1453">
        <v>1453</v>
      </c>
      <c r="I1453">
        <v>1453</v>
      </c>
      <c r="N1453" t="s">
        <v>895</v>
      </c>
      <c r="O1453">
        <v>1453</v>
      </c>
      <c r="P1453" t="str">
        <f t="shared" si="22"/>
        <v xml:space="preserve">[^ftn1453]: </v>
      </c>
    </row>
    <row r="1454" spans="7:16" x14ac:dyDescent="0.25">
      <c r="G1454" t="s">
        <v>894</v>
      </c>
      <c r="H1454">
        <v>1454</v>
      </c>
      <c r="I1454">
        <v>1454</v>
      </c>
      <c r="N1454" t="s">
        <v>895</v>
      </c>
      <c r="O1454">
        <v>1454</v>
      </c>
      <c r="P1454" t="str">
        <f t="shared" si="22"/>
        <v xml:space="preserve">[^ftn1454]: </v>
      </c>
    </row>
    <row r="1455" spans="7:16" x14ac:dyDescent="0.25">
      <c r="G1455" t="s">
        <v>894</v>
      </c>
      <c r="H1455">
        <v>1455</v>
      </c>
      <c r="I1455">
        <v>1455</v>
      </c>
      <c r="N1455" t="s">
        <v>895</v>
      </c>
      <c r="O1455">
        <v>1455</v>
      </c>
      <c r="P1455" t="str">
        <f t="shared" si="22"/>
        <v xml:space="preserve">[^ftn1455]: </v>
      </c>
    </row>
    <row r="1456" spans="7:16" x14ac:dyDescent="0.25">
      <c r="G1456" t="s">
        <v>894</v>
      </c>
      <c r="H1456">
        <v>1456</v>
      </c>
      <c r="I1456">
        <v>1456</v>
      </c>
      <c r="N1456" t="s">
        <v>895</v>
      </c>
      <c r="O1456">
        <v>1456</v>
      </c>
      <c r="P1456" t="str">
        <f t="shared" si="22"/>
        <v xml:space="preserve">[^ftn1456]: </v>
      </c>
    </row>
    <row r="1457" spans="7:16" x14ac:dyDescent="0.25">
      <c r="G1457" t="s">
        <v>894</v>
      </c>
      <c r="H1457">
        <v>1457</v>
      </c>
      <c r="I1457">
        <v>1457</v>
      </c>
      <c r="N1457" t="s">
        <v>895</v>
      </c>
      <c r="O1457">
        <v>1457</v>
      </c>
      <c r="P1457" t="str">
        <f t="shared" si="22"/>
        <v xml:space="preserve">[^ftn1457]: </v>
      </c>
    </row>
    <row r="1458" spans="7:16" x14ac:dyDescent="0.25">
      <c r="G1458" t="s">
        <v>894</v>
      </c>
      <c r="H1458">
        <v>1458</v>
      </c>
      <c r="I1458">
        <v>1458</v>
      </c>
      <c r="N1458" t="s">
        <v>895</v>
      </c>
      <c r="O1458">
        <v>1458</v>
      </c>
      <c r="P1458" t="str">
        <f t="shared" si="22"/>
        <v xml:space="preserve">[^ftn1458]: </v>
      </c>
    </row>
    <row r="1459" spans="7:16" x14ac:dyDescent="0.25">
      <c r="G1459" t="s">
        <v>894</v>
      </c>
      <c r="H1459">
        <v>1459</v>
      </c>
      <c r="I1459">
        <v>1459</v>
      </c>
      <c r="N1459" t="s">
        <v>895</v>
      </c>
      <c r="O1459">
        <v>1459</v>
      </c>
      <c r="P1459" t="str">
        <f t="shared" si="22"/>
        <v xml:space="preserve">[^ftn1459]: </v>
      </c>
    </row>
    <row r="1460" spans="7:16" x14ac:dyDescent="0.25">
      <c r="G1460" t="s">
        <v>894</v>
      </c>
      <c r="H1460">
        <v>1460</v>
      </c>
      <c r="I1460">
        <v>1460</v>
      </c>
      <c r="N1460" t="s">
        <v>895</v>
      </c>
      <c r="O1460">
        <v>1460</v>
      </c>
      <c r="P1460" t="str">
        <f t="shared" si="22"/>
        <v xml:space="preserve">[^ftn1460]: </v>
      </c>
    </row>
    <row r="1461" spans="7:16" x14ac:dyDescent="0.25">
      <c r="G1461" t="s">
        <v>894</v>
      </c>
      <c r="H1461">
        <v>1461</v>
      </c>
      <c r="I1461">
        <v>1461</v>
      </c>
      <c r="N1461" t="s">
        <v>895</v>
      </c>
      <c r="O1461">
        <v>1461</v>
      </c>
      <c r="P1461" t="str">
        <f t="shared" si="22"/>
        <v xml:space="preserve">[^ftn1461]: </v>
      </c>
    </row>
    <row r="1462" spans="7:16" x14ac:dyDescent="0.25">
      <c r="G1462" t="s">
        <v>894</v>
      </c>
      <c r="H1462">
        <v>1462</v>
      </c>
      <c r="I1462">
        <v>1462</v>
      </c>
      <c r="N1462" t="s">
        <v>895</v>
      </c>
      <c r="O1462">
        <v>1462</v>
      </c>
      <c r="P1462" t="str">
        <f t="shared" si="22"/>
        <v xml:space="preserve">[^ftn1462]: </v>
      </c>
    </row>
    <row r="1463" spans="7:16" x14ac:dyDescent="0.25">
      <c r="G1463" t="s">
        <v>894</v>
      </c>
      <c r="H1463">
        <v>1463</v>
      </c>
      <c r="I1463">
        <v>1463</v>
      </c>
      <c r="N1463" t="s">
        <v>895</v>
      </c>
      <c r="O1463">
        <v>1463</v>
      </c>
      <c r="P1463" t="str">
        <f t="shared" si="22"/>
        <v xml:space="preserve">[^ftn1463]: </v>
      </c>
    </row>
    <row r="1464" spans="7:16" x14ac:dyDescent="0.25">
      <c r="G1464" t="s">
        <v>894</v>
      </c>
      <c r="H1464">
        <v>1464</v>
      </c>
      <c r="I1464">
        <v>1464</v>
      </c>
      <c r="N1464" t="s">
        <v>895</v>
      </c>
      <c r="O1464">
        <v>1464</v>
      </c>
      <c r="P1464" t="str">
        <f t="shared" si="22"/>
        <v xml:space="preserve">[^ftn1464]: </v>
      </c>
    </row>
    <row r="1465" spans="7:16" x14ac:dyDescent="0.25">
      <c r="G1465" t="s">
        <v>894</v>
      </c>
      <c r="H1465">
        <v>1465</v>
      </c>
      <c r="I1465">
        <v>1465</v>
      </c>
      <c r="N1465" t="s">
        <v>895</v>
      </c>
      <c r="O1465">
        <v>1465</v>
      </c>
      <c r="P1465" t="str">
        <f t="shared" si="22"/>
        <v xml:space="preserve">[^ftn1465]: </v>
      </c>
    </row>
    <row r="1466" spans="7:16" x14ac:dyDescent="0.25">
      <c r="G1466" t="s">
        <v>894</v>
      </c>
      <c r="H1466">
        <v>1466</v>
      </c>
      <c r="I1466">
        <v>1466</v>
      </c>
      <c r="N1466" t="s">
        <v>895</v>
      </c>
      <c r="O1466">
        <v>1466</v>
      </c>
      <c r="P1466" t="str">
        <f t="shared" si="22"/>
        <v xml:space="preserve">[^ftn1466]: </v>
      </c>
    </row>
    <row r="1467" spans="7:16" x14ac:dyDescent="0.25">
      <c r="G1467" t="s">
        <v>894</v>
      </c>
      <c r="H1467">
        <v>1467</v>
      </c>
      <c r="I1467">
        <v>1467</v>
      </c>
      <c r="N1467" t="s">
        <v>895</v>
      </c>
      <c r="O1467">
        <v>1467</v>
      </c>
      <c r="P1467" t="str">
        <f t="shared" si="22"/>
        <v xml:space="preserve">[^ftn1467]: </v>
      </c>
    </row>
    <row r="1468" spans="7:16" x14ac:dyDescent="0.25">
      <c r="G1468" t="s">
        <v>894</v>
      </c>
      <c r="H1468">
        <v>1468</v>
      </c>
      <c r="I1468">
        <v>1468</v>
      </c>
      <c r="N1468" t="s">
        <v>895</v>
      </c>
      <c r="O1468">
        <v>1468</v>
      </c>
      <c r="P1468" t="str">
        <f t="shared" si="22"/>
        <v xml:space="preserve">[^ftn1468]: </v>
      </c>
    </row>
    <row r="1469" spans="7:16" x14ac:dyDescent="0.25">
      <c r="G1469" t="s">
        <v>894</v>
      </c>
      <c r="H1469">
        <v>1469</v>
      </c>
      <c r="I1469">
        <v>1469</v>
      </c>
      <c r="N1469" t="s">
        <v>895</v>
      </c>
      <c r="O1469">
        <v>1469</v>
      </c>
      <c r="P1469" t="str">
        <f t="shared" si="22"/>
        <v xml:space="preserve">[^ftn1469]: </v>
      </c>
    </row>
    <row r="1470" spans="7:16" x14ac:dyDescent="0.25">
      <c r="G1470" t="s">
        <v>894</v>
      </c>
      <c r="H1470">
        <v>1470</v>
      </c>
      <c r="I1470">
        <v>1470</v>
      </c>
      <c r="N1470" t="s">
        <v>895</v>
      </c>
      <c r="O1470">
        <v>1470</v>
      </c>
      <c r="P1470" t="str">
        <f t="shared" si="22"/>
        <v xml:space="preserve">[^ftn1470]: </v>
      </c>
    </row>
    <row r="1471" spans="7:16" x14ac:dyDescent="0.25">
      <c r="G1471" t="s">
        <v>894</v>
      </c>
      <c r="H1471">
        <v>1471</v>
      </c>
      <c r="I1471">
        <v>1471</v>
      </c>
      <c r="N1471" t="s">
        <v>895</v>
      </c>
      <c r="O1471">
        <v>1471</v>
      </c>
      <c r="P1471" t="str">
        <f t="shared" si="22"/>
        <v xml:space="preserve">[^ftn1471]: </v>
      </c>
    </row>
    <row r="1472" spans="7:16" x14ac:dyDescent="0.25">
      <c r="G1472" t="s">
        <v>894</v>
      </c>
      <c r="H1472">
        <v>1472</v>
      </c>
      <c r="I1472">
        <v>1472</v>
      </c>
      <c r="N1472" t="s">
        <v>895</v>
      </c>
      <c r="O1472">
        <v>1472</v>
      </c>
      <c r="P1472" t="str">
        <f t="shared" si="22"/>
        <v xml:space="preserve">[^ftn1472]: </v>
      </c>
    </row>
    <row r="1473" spans="7:16" x14ac:dyDescent="0.25">
      <c r="G1473" t="s">
        <v>894</v>
      </c>
      <c r="H1473">
        <v>1473</v>
      </c>
      <c r="I1473">
        <v>1473</v>
      </c>
      <c r="N1473" t="s">
        <v>895</v>
      </c>
      <c r="O1473">
        <v>1473</v>
      </c>
      <c r="P1473" t="str">
        <f t="shared" si="22"/>
        <v xml:space="preserve">[^ftn1473]: </v>
      </c>
    </row>
    <row r="1474" spans="7:16" x14ac:dyDescent="0.25">
      <c r="G1474" t="s">
        <v>894</v>
      </c>
      <c r="H1474">
        <v>1474</v>
      </c>
      <c r="I1474">
        <v>1474</v>
      </c>
      <c r="N1474" t="s">
        <v>895</v>
      </c>
      <c r="O1474">
        <v>1474</v>
      </c>
      <c r="P1474" t="str">
        <f t="shared" ref="P1474:P1537" si="23">_xlfn.CONCAT("[^ftn",O1474,"]: ",)</f>
        <v xml:space="preserve">[^ftn1474]: </v>
      </c>
    </row>
    <row r="1475" spans="7:16" x14ac:dyDescent="0.25">
      <c r="G1475" t="s">
        <v>894</v>
      </c>
      <c r="H1475">
        <v>1475</v>
      </c>
      <c r="I1475">
        <v>1475</v>
      </c>
      <c r="N1475" t="s">
        <v>895</v>
      </c>
      <c r="O1475">
        <v>1475</v>
      </c>
      <c r="P1475" t="str">
        <f t="shared" si="23"/>
        <v xml:space="preserve">[^ftn1475]: </v>
      </c>
    </row>
    <row r="1476" spans="7:16" x14ac:dyDescent="0.25">
      <c r="G1476" t="s">
        <v>894</v>
      </c>
      <c r="H1476">
        <v>1476</v>
      </c>
      <c r="I1476">
        <v>1476</v>
      </c>
      <c r="N1476" t="s">
        <v>895</v>
      </c>
      <c r="O1476">
        <v>1476</v>
      </c>
      <c r="P1476" t="str">
        <f t="shared" si="23"/>
        <v xml:space="preserve">[^ftn1476]: </v>
      </c>
    </row>
    <row r="1477" spans="7:16" x14ac:dyDescent="0.25">
      <c r="G1477" t="s">
        <v>894</v>
      </c>
      <c r="H1477">
        <v>1477</v>
      </c>
      <c r="I1477">
        <v>1477</v>
      </c>
      <c r="N1477" t="s">
        <v>895</v>
      </c>
      <c r="O1477">
        <v>1477</v>
      </c>
      <c r="P1477" t="str">
        <f t="shared" si="23"/>
        <v xml:space="preserve">[^ftn1477]: </v>
      </c>
    </row>
    <row r="1478" spans="7:16" x14ac:dyDescent="0.25">
      <c r="G1478" t="s">
        <v>894</v>
      </c>
      <c r="H1478">
        <v>1478</v>
      </c>
      <c r="I1478">
        <v>1478</v>
      </c>
      <c r="N1478" t="s">
        <v>895</v>
      </c>
      <c r="O1478">
        <v>1478</v>
      </c>
      <c r="P1478" t="str">
        <f t="shared" si="23"/>
        <v xml:space="preserve">[^ftn1478]: </v>
      </c>
    </row>
    <row r="1479" spans="7:16" x14ac:dyDescent="0.25">
      <c r="G1479" t="s">
        <v>894</v>
      </c>
      <c r="H1479">
        <v>1479</v>
      </c>
      <c r="I1479">
        <v>1479</v>
      </c>
      <c r="N1479" t="s">
        <v>895</v>
      </c>
      <c r="O1479">
        <v>1479</v>
      </c>
      <c r="P1479" t="str">
        <f t="shared" si="23"/>
        <v xml:space="preserve">[^ftn1479]: </v>
      </c>
    </row>
    <row r="1480" spans="7:16" x14ac:dyDescent="0.25">
      <c r="G1480" t="s">
        <v>894</v>
      </c>
      <c r="H1480">
        <v>1480</v>
      </c>
      <c r="I1480">
        <v>1480</v>
      </c>
      <c r="N1480" t="s">
        <v>895</v>
      </c>
      <c r="O1480">
        <v>1480</v>
      </c>
      <c r="P1480" t="str">
        <f t="shared" si="23"/>
        <v xml:space="preserve">[^ftn1480]: </v>
      </c>
    </row>
    <row r="1481" spans="7:16" x14ac:dyDescent="0.25">
      <c r="G1481" t="s">
        <v>894</v>
      </c>
      <c r="H1481">
        <v>1481</v>
      </c>
      <c r="I1481">
        <v>1481</v>
      </c>
      <c r="N1481" t="s">
        <v>895</v>
      </c>
      <c r="O1481">
        <v>1481</v>
      </c>
      <c r="P1481" t="str">
        <f t="shared" si="23"/>
        <v xml:space="preserve">[^ftn1481]: </v>
      </c>
    </row>
    <row r="1482" spans="7:16" x14ac:dyDescent="0.25">
      <c r="G1482" t="s">
        <v>894</v>
      </c>
      <c r="H1482">
        <v>1482</v>
      </c>
      <c r="I1482">
        <v>1482</v>
      </c>
      <c r="N1482" t="s">
        <v>895</v>
      </c>
      <c r="O1482">
        <v>1482</v>
      </c>
      <c r="P1482" t="str">
        <f t="shared" si="23"/>
        <v xml:space="preserve">[^ftn1482]: </v>
      </c>
    </row>
    <row r="1483" spans="7:16" x14ac:dyDescent="0.25">
      <c r="G1483" t="s">
        <v>894</v>
      </c>
      <c r="H1483">
        <v>1483</v>
      </c>
      <c r="I1483">
        <v>1483</v>
      </c>
      <c r="N1483" t="s">
        <v>895</v>
      </c>
      <c r="O1483">
        <v>1483</v>
      </c>
      <c r="P1483" t="str">
        <f t="shared" si="23"/>
        <v xml:space="preserve">[^ftn1483]: </v>
      </c>
    </row>
    <row r="1484" spans="7:16" x14ac:dyDescent="0.25">
      <c r="G1484" t="s">
        <v>894</v>
      </c>
      <c r="H1484">
        <v>1484</v>
      </c>
      <c r="I1484">
        <v>1484</v>
      </c>
      <c r="N1484" t="s">
        <v>895</v>
      </c>
      <c r="O1484">
        <v>1484</v>
      </c>
      <c r="P1484" t="str">
        <f t="shared" si="23"/>
        <v xml:space="preserve">[^ftn1484]: </v>
      </c>
    </row>
    <row r="1485" spans="7:16" x14ac:dyDescent="0.25">
      <c r="G1485" t="s">
        <v>894</v>
      </c>
      <c r="H1485">
        <v>1485</v>
      </c>
      <c r="I1485">
        <v>1485</v>
      </c>
      <c r="N1485" t="s">
        <v>895</v>
      </c>
      <c r="O1485">
        <v>1485</v>
      </c>
      <c r="P1485" t="str">
        <f t="shared" si="23"/>
        <v xml:space="preserve">[^ftn1485]: </v>
      </c>
    </row>
    <row r="1486" spans="7:16" x14ac:dyDescent="0.25">
      <c r="G1486" t="s">
        <v>894</v>
      </c>
      <c r="H1486">
        <v>1486</v>
      </c>
      <c r="I1486">
        <v>1486</v>
      </c>
      <c r="N1486" t="s">
        <v>895</v>
      </c>
      <c r="O1486">
        <v>1486</v>
      </c>
      <c r="P1486" t="str">
        <f t="shared" si="23"/>
        <v xml:space="preserve">[^ftn1486]: </v>
      </c>
    </row>
    <row r="1487" spans="7:16" x14ac:dyDescent="0.25">
      <c r="G1487" t="s">
        <v>894</v>
      </c>
      <c r="H1487">
        <v>1487</v>
      </c>
      <c r="I1487">
        <v>1487</v>
      </c>
      <c r="N1487" t="s">
        <v>895</v>
      </c>
      <c r="O1487">
        <v>1487</v>
      </c>
      <c r="P1487" t="str">
        <f t="shared" si="23"/>
        <v xml:space="preserve">[^ftn1487]: </v>
      </c>
    </row>
    <row r="1488" spans="7:16" x14ac:dyDescent="0.25">
      <c r="G1488" t="s">
        <v>894</v>
      </c>
      <c r="H1488">
        <v>1488</v>
      </c>
      <c r="I1488">
        <v>1488</v>
      </c>
      <c r="N1488" t="s">
        <v>895</v>
      </c>
      <c r="O1488">
        <v>1488</v>
      </c>
      <c r="P1488" t="str">
        <f t="shared" si="23"/>
        <v xml:space="preserve">[^ftn1488]: </v>
      </c>
    </row>
    <row r="1489" spans="7:16" x14ac:dyDescent="0.25">
      <c r="G1489" t="s">
        <v>894</v>
      </c>
      <c r="H1489">
        <v>1489</v>
      </c>
      <c r="I1489">
        <v>1489</v>
      </c>
      <c r="N1489" t="s">
        <v>895</v>
      </c>
      <c r="O1489">
        <v>1489</v>
      </c>
      <c r="P1489" t="str">
        <f t="shared" si="23"/>
        <v xml:space="preserve">[^ftn1489]: </v>
      </c>
    </row>
    <row r="1490" spans="7:16" x14ac:dyDescent="0.25">
      <c r="G1490" t="s">
        <v>894</v>
      </c>
      <c r="H1490">
        <v>1490</v>
      </c>
      <c r="I1490">
        <v>1490</v>
      </c>
      <c r="N1490" t="s">
        <v>895</v>
      </c>
      <c r="O1490">
        <v>1490</v>
      </c>
      <c r="P1490" t="str">
        <f t="shared" si="23"/>
        <v xml:space="preserve">[^ftn1490]: </v>
      </c>
    </row>
    <row r="1491" spans="7:16" x14ac:dyDescent="0.25">
      <c r="G1491" t="s">
        <v>894</v>
      </c>
      <c r="H1491">
        <v>1491</v>
      </c>
      <c r="I1491">
        <v>1491</v>
      </c>
      <c r="N1491" t="s">
        <v>895</v>
      </c>
      <c r="O1491">
        <v>1491</v>
      </c>
      <c r="P1491" t="str">
        <f t="shared" si="23"/>
        <v xml:space="preserve">[^ftn1491]: </v>
      </c>
    </row>
    <row r="1492" spans="7:16" x14ac:dyDescent="0.25">
      <c r="G1492" t="s">
        <v>894</v>
      </c>
      <c r="H1492">
        <v>1492</v>
      </c>
      <c r="I1492">
        <v>1492</v>
      </c>
      <c r="N1492" t="s">
        <v>895</v>
      </c>
      <c r="O1492">
        <v>1492</v>
      </c>
      <c r="P1492" t="str">
        <f t="shared" si="23"/>
        <v xml:space="preserve">[^ftn1492]: </v>
      </c>
    </row>
    <row r="1493" spans="7:16" x14ac:dyDescent="0.25">
      <c r="G1493" t="s">
        <v>894</v>
      </c>
      <c r="H1493">
        <v>1493</v>
      </c>
      <c r="I1493">
        <v>1493</v>
      </c>
      <c r="N1493" t="s">
        <v>895</v>
      </c>
      <c r="O1493">
        <v>1493</v>
      </c>
      <c r="P1493" t="str">
        <f t="shared" si="23"/>
        <v xml:space="preserve">[^ftn1493]: </v>
      </c>
    </row>
    <row r="1494" spans="7:16" x14ac:dyDescent="0.25">
      <c r="G1494" t="s">
        <v>894</v>
      </c>
      <c r="H1494">
        <v>1494</v>
      </c>
      <c r="I1494">
        <v>1494</v>
      </c>
      <c r="N1494" t="s">
        <v>895</v>
      </c>
      <c r="O1494">
        <v>1494</v>
      </c>
      <c r="P1494" t="str">
        <f t="shared" si="23"/>
        <v xml:space="preserve">[^ftn1494]: </v>
      </c>
    </row>
    <row r="1495" spans="7:16" x14ac:dyDescent="0.25">
      <c r="G1495" t="s">
        <v>894</v>
      </c>
      <c r="H1495">
        <v>1495</v>
      </c>
      <c r="I1495">
        <v>1495</v>
      </c>
      <c r="N1495" t="s">
        <v>895</v>
      </c>
      <c r="O1495">
        <v>1495</v>
      </c>
      <c r="P1495" t="str">
        <f t="shared" si="23"/>
        <v xml:space="preserve">[^ftn1495]: </v>
      </c>
    </row>
    <row r="1496" spans="7:16" x14ac:dyDescent="0.25">
      <c r="G1496" t="s">
        <v>894</v>
      </c>
      <c r="H1496">
        <v>1496</v>
      </c>
      <c r="I1496">
        <v>1496</v>
      </c>
      <c r="N1496" t="s">
        <v>895</v>
      </c>
      <c r="O1496">
        <v>1496</v>
      </c>
      <c r="P1496" t="str">
        <f t="shared" si="23"/>
        <v xml:space="preserve">[^ftn1496]: </v>
      </c>
    </row>
    <row r="1497" spans="7:16" x14ac:dyDescent="0.25">
      <c r="G1497" t="s">
        <v>894</v>
      </c>
      <c r="H1497">
        <v>1497</v>
      </c>
      <c r="I1497">
        <v>1497</v>
      </c>
      <c r="N1497" t="s">
        <v>895</v>
      </c>
      <c r="O1497">
        <v>1497</v>
      </c>
      <c r="P1497" t="str">
        <f t="shared" si="23"/>
        <v xml:space="preserve">[^ftn1497]: </v>
      </c>
    </row>
    <row r="1498" spans="7:16" x14ac:dyDescent="0.25">
      <c r="G1498" t="s">
        <v>894</v>
      </c>
      <c r="H1498">
        <v>1498</v>
      </c>
      <c r="I1498">
        <v>1498</v>
      </c>
      <c r="N1498" t="s">
        <v>895</v>
      </c>
      <c r="O1498">
        <v>1498</v>
      </c>
      <c r="P1498" t="str">
        <f t="shared" si="23"/>
        <v xml:space="preserve">[^ftn1498]: </v>
      </c>
    </row>
    <row r="1499" spans="7:16" x14ac:dyDescent="0.25">
      <c r="G1499" t="s">
        <v>894</v>
      </c>
      <c r="H1499">
        <v>1499</v>
      </c>
      <c r="I1499">
        <v>1499</v>
      </c>
      <c r="N1499" t="s">
        <v>895</v>
      </c>
      <c r="O1499">
        <v>1499</v>
      </c>
      <c r="P1499" t="str">
        <f t="shared" si="23"/>
        <v xml:space="preserve">[^ftn1499]: </v>
      </c>
    </row>
    <row r="1500" spans="7:16" x14ac:dyDescent="0.25">
      <c r="G1500" t="s">
        <v>894</v>
      </c>
      <c r="H1500">
        <v>1500</v>
      </c>
      <c r="I1500">
        <v>1500</v>
      </c>
      <c r="N1500" t="s">
        <v>895</v>
      </c>
      <c r="O1500">
        <v>1500</v>
      </c>
      <c r="P1500" t="str">
        <f t="shared" si="23"/>
        <v xml:space="preserve">[^ftn1500]: </v>
      </c>
    </row>
    <row r="1501" spans="7:16" x14ac:dyDescent="0.25">
      <c r="G1501" t="s">
        <v>894</v>
      </c>
      <c r="H1501">
        <v>1501</v>
      </c>
      <c r="I1501">
        <v>1501</v>
      </c>
      <c r="N1501" t="s">
        <v>895</v>
      </c>
      <c r="O1501">
        <v>1501</v>
      </c>
      <c r="P1501" t="str">
        <f t="shared" si="23"/>
        <v xml:space="preserve">[^ftn1501]: </v>
      </c>
    </row>
    <row r="1502" spans="7:16" x14ac:dyDescent="0.25">
      <c r="G1502" t="s">
        <v>894</v>
      </c>
      <c r="H1502">
        <v>1502</v>
      </c>
      <c r="I1502">
        <v>1502</v>
      </c>
      <c r="N1502" t="s">
        <v>895</v>
      </c>
      <c r="O1502">
        <v>1502</v>
      </c>
      <c r="P1502" t="str">
        <f t="shared" si="23"/>
        <v xml:space="preserve">[^ftn1502]: </v>
      </c>
    </row>
    <row r="1503" spans="7:16" x14ac:dyDescent="0.25">
      <c r="G1503" t="s">
        <v>894</v>
      </c>
      <c r="H1503">
        <v>1503</v>
      </c>
      <c r="I1503">
        <v>1503</v>
      </c>
      <c r="N1503" t="s">
        <v>895</v>
      </c>
      <c r="O1503">
        <v>1503</v>
      </c>
      <c r="P1503" t="str">
        <f t="shared" si="23"/>
        <v xml:space="preserve">[^ftn1503]: </v>
      </c>
    </row>
    <row r="1504" spans="7:16" x14ac:dyDescent="0.25">
      <c r="G1504" t="s">
        <v>894</v>
      </c>
      <c r="H1504">
        <v>1504</v>
      </c>
      <c r="I1504">
        <v>1504</v>
      </c>
      <c r="N1504" t="s">
        <v>895</v>
      </c>
      <c r="O1504">
        <v>1504</v>
      </c>
      <c r="P1504" t="str">
        <f t="shared" si="23"/>
        <v xml:space="preserve">[^ftn1504]: </v>
      </c>
    </row>
    <row r="1505" spans="7:16" x14ac:dyDescent="0.25">
      <c r="G1505" t="s">
        <v>894</v>
      </c>
      <c r="H1505">
        <v>1505</v>
      </c>
      <c r="I1505">
        <v>1505</v>
      </c>
      <c r="N1505" t="s">
        <v>895</v>
      </c>
      <c r="O1505">
        <v>1505</v>
      </c>
      <c r="P1505" t="str">
        <f t="shared" si="23"/>
        <v xml:space="preserve">[^ftn1505]: </v>
      </c>
    </row>
    <row r="1506" spans="7:16" x14ac:dyDescent="0.25">
      <c r="G1506" t="s">
        <v>894</v>
      </c>
      <c r="H1506">
        <v>1506</v>
      </c>
      <c r="I1506">
        <v>1506</v>
      </c>
      <c r="N1506" t="s">
        <v>895</v>
      </c>
      <c r="O1506">
        <v>1506</v>
      </c>
      <c r="P1506" t="str">
        <f t="shared" si="23"/>
        <v xml:space="preserve">[^ftn1506]: </v>
      </c>
    </row>
    <row r="1507" spans="7:16" x14ac:dyDescent="0.25">
      <c r="G1507" t="s">
        <v>894</v>
      </c>
      <c r="H1507">
        <v>1507</v>
      </c>
      <c r="I1507">
        <v>1507</v>
      </c>
      <c r="N1507" t="s">
        <v>895</v>
      </c>
      <c r="O1507">
        <v>1507</v>
      </c>
      <c r="P1507" t="str">
        <f t="shared" si="23"/>
        <v xml:space="preserve">[^ftn1507]: </v>
      </c>
    </row>
    <row r="1508" spans="7:16" x14ac:dyDescent="0.25">
      <c r="G1508" t="s">
        <v>894</v>
      </c>
      <c r="H1508">
        <v>1508</v>
      </c>
      <c r="I1508">
        <v>1508</v>
      </c>
      <c r="N1508" t="s">
        <v>895</v>
      </c>
      <c r="O1508">
        <v>1508</v>
      </c>
      <c r="P1508" t="str">
        <f t="shared" si="23"/>
        <v xml:space="preserve">[^ftn1508]: </v>
      </c>
    </row>
    <row r="1509" spans="7:16" x14ac:dyDescent="0.25">
      <c r="G1509" t="s">
        <v>894</v>
      </c>
      <c r="H1509">
        <v>1509</v>
      </c>
      <c r="I1509">
        <v>1509</v>
      </c>
      <c r="N1509" t="s">
        <v>895</v>
      </c>
      <c r="O1509">
        <v>1509</v>
      </c>
      <c r="P1509" t="str">
        <f t="shared" si="23"/>
        <v xml:space="preserve">[^ftn1509]: </v>
      </c>
    </row>
    <row r="1510" spans="7:16" x14ac:dyDescent="0.25">
      <c r="G1510" t="s">
        <v>894</v>
      </c>
      <c r="H1510">
        <v>1510</v>
      </c>
      <c r="I1510">
        <v>1510</v>
      </c>
      <c r="N1510" t="s">
        <v>895</v>
      </c>
      <c r="O1510">
        <v>1510</v>
      </c>
      <c r="P1510" t="str">
        <f t="shared" si="23"/>
        <v xml:space="preserve">[^ftn1510]: </v>
      </c>
    </row>
    <row r="1511" spans="7:16" x14ac:dyDescent="0.25">
      <c r="G1511" t="s">
        <v>894</v>
      </c>
      <c r="H1511">
        <v>1511</v>
      </c>
      <c r="I1511">
        <v>1511</v>
      </c>
      <c r="N1511" t="s">
        <v>895</v>
      </c>
      <c r="O1511">
        <v>1511</v>
      </c>
      <c r="P1511" t="str">
        <f t="shared" si="23"/>
        <v xml:space="preserve">[^ftn1511]: </v>
      </c>
    </row>
    <row r="1512" spans="7:16" x14ac:dyDescent="0.25">
      <c r="G1512" t="s">
        <v>894</v>
      </c>
      <c r="H1512">
        <v>1512</v>
      </c>
      <c r="I1512">
        <v>1512</v>
      </c>
      <c r="N1512" t="s">
        <v>895</v>
      </c>
      <c r="O1512">
        <v>1512</v>
      </c>
      <c r="P1512" t="str">
        <f t="shared" si="23"/>
        <v xml:space="preserve">[^ftn1512]: </v>
      </c>
    </row>
    <row r="1513" spans="7:16" x14ac:dyDescent="0.25">
      <c r="G1513" t="s">
        <v>894</v>
      </c>
      <c r="H1513">
        <v>1513</v>
      </c>
      <c r="I1513">
        <v>1513</v>
      </c>
      <c r="N1513" t="s">
        <v>895</v>
      </c>
      <c r="O1513">
        <v>1513</v>
      </c>
      <c r="P1513" t="str">
        <f t="shared" si="23"/>
        <v xml:space="preserve">[^ftn1513]: </v>
      </c>
    </row>
    <row r="1514" spans="7:16" x14ac:dyDescent="0.25">
      <c r="G1514" t="s">
        <v>894</v>
      </c>
      <c r="H1514">
        <v>1514</v>
      </c>
      <c r="I1514">
        <v>1514</v>
      </c>
      <c r="N1514" t="s">
        <v>895</v>
      </c>
      <c r="O1514">
        <v>1514</v>
      </c>
      <c r="P1514" t="str">
        <f t="shared" si="23"/>
        <v xml:space="preserve">[^ftn1514]: </v>
      </c>
    </row>
    <row r="1515" spans="7:16" x14ac:dyDescent="0.25">
      <c r="G1515" t="s">
        <v>894</v>
      </c>
      <c r="H1515">
        <v>1515</v>
      </c>
      <c r="I1515">
        <v>1515</v>
      </c>
      <c r="N1515" t="s">
        <v>895</v>
      </c>
      <c r="O1515">
        <v>1515</v>
      </c>
      <c r="P1515" t="str">
        <f t="shared" si="23"/>
        <v xml:space="preserve">[^ftn1515]: </v>
      </c>
    </row>
    <row r="1516" spans="7:16" x14ac:dyDescent="0.25">
      <c r="G1516" t="s">
        <v>894</v>
      </c>
      <c r="H1516">
        <v>1516</v>
      </c>
      <c r="I1516">
        <v>1516</v>
      </c>
      <c r="N1516" t="s">
        <v>895</v>
      </c>
      <c r="O1516">
        <v>1516</v>
      </c>
      <c r="P1516" t="str">
        <f t="shared" si="23"/>
        <v xml:space="preserve">[^ftn1516]: </v>
      </c>
    </row>
    <row r="1517" spans="7:16" x14ac:dyDescent="0.25">
      <c r="G1517" t="s">
        <v>894</v>
      </c>
      <c r="H1517">
        <v>1517</v>
      </c>
      <c r="I1517">
        <v>1517</v>
      </c>
      <c r="N1517" t="s">
        <v>895</v>
      </c>
      <c r="O1517">
        <v>1517</v>
      </c>
      <c r="P1517" t="str">
        <f t="shared" si="23"/>
        <v xml:space="preserve">[^ftn1517]: </v>
      </c>
    </row>
    <row r="1518" spans="7:16" x14ac:dyDescent="0.25">
      <c r="G1518" t="s">
        <v>894</v>
      </c>
      <c r="H1518">
        <v>1518</v>
      </c>
      <c r="I1518">
        <v>1518</v>
      </c>
      <c r="N1518" t="s">
        <v>895</v>
      </c>
      <c r="O1518">
        <v>1518</v>
      </c>
      <c r="P1518" t="str">
        <f t="shared" si="23"/>
        <v xml:space="preserve">[^ftn1518]: </v>
      </c>
    </row>
    <row r="1519" spans="7:16" x14ac:dyDescent="0.25">
      <c r="G1519" t="s">
        <v>894</v>
      </c>
      <c r="H1519">
        <v>1519</v>
      </c>
      <c r="I1519">
        <v>1519</v>
      </c>
      <c r="N1519" t="s">
        <v>895</v>
      </c>
      <c r="O1519">
        <v>1519</v>
      </c>
      <c r="P1519" t="str">
        <f t="shared" si="23"/>
        <v xml:space="preserve">[^ftn1519]: </v>
      </c>
    </row>
    <row r="1520" spans="7:16" x14ac:dyDescent="0.25">
      <c r="G1520" t="s">
        <v>894</v>
      </c>
      <c r="H1520">
        <v>1520</v>
      </c>
      <c r="I1520">
        <v>1520</v>
      </c>
      <c r="N1520" t="s">
        <v>895</v>
      </c>
      <c r="O1520">
        <v>1520</v>
      </c>
      <c r="P1520" t="str">
        <f t="shared" si="23"/>
        <v xml:space="preserve">[^ftn1520]: </v>
      </c>
    </row>
    <row r="1521" spans="7:16" x14ac:dyDescent="0.25">
      <c r="G1521" t="s">
        <v>894</v>
      </c>
      <c r="H1521">
        <v>1521</v>
      </c>
      <c r="I1521">
        <v>1521</v>
      </c>
      <c r="N1521" t="s">
        <v>895</v>
      </c>
      <c r="O1521">
        <v>1521</v>
      </c>
      <c r="P1521" t="str">
        <f t="shared" si="23"/>
        <v xml:space="preserve">[^ftn1521]: </v>
      </c>
    </row>
    <row r="1522" spans="7:16" x14ac:dyDescent="0.25">
      <c r="G1522" t="s">
        <v>894</v>
      </c>
      <c r="H1522">
        <v>1522</v>
      </c>
      <c r="I1522">
        <v>1522</v>
      </c>
      <c r="N1522" t="s">
        <v>895</v>
      </c>
      <c r="O1522">
        <v>1522</v>
      </c>
      <c r="P1522" t="str">
        <f t="shared" si="23"/>
        <v xml:space="preserve">[^ftn1522]: </v>
      </c>
    </row>
    <row r="1523" spans="7:16" x14ac:dyDescent="0.25">
      <c r="G1523" t="s">
        <v>894</v>
      </c>
      <c r="H1523">
        <v>1523</v>
      </c>
      <c r="I1523">
        <v>1523</v>
      </c>
      <c r="N1523" t="s">
        <v>895</v>
      </c>
      <c r="O1523">
        <v>1523</v>
      </c>
      <c r="P1523" t="str">
        <f t="shared" si="23"/>
        <v xml:space="preserve">[^ftn1523]: </v>
      </c>
    </row>
    <row r="1524" spans="7:16" x14ac:dyDescent="0.25">
      <c r="G1524" t="s">
        <v>894</v>
      </c>
      <c r="H1524">
        <v>1524</v>
      </c>
      <c r="I1524">
        <v>1524</v>
      </c>
      <c r="N1524" t="s">
        <v>895</v>
      </c>
      <c r="O1524">
        <v>1524</v>
      </c>
      <c r="P1524" t="str">
        <f t="shared" si="23"/>
        <v xml:space="preserve">[^ftn1524]: </v>
      </c>
    </row>
    <row r="1525" spans="7:16" x14ac:dyDescent="0.25">
      <c r="G1525" t="s">
        <v>894</v>
      </c>
      <c r="H1525">
        <v>1525</v>
      </c>
      <c r="I1525">
        <v>1525</v>
      </c>
      <c r="N1525" t="s">
        <v>895</v>
      </c>
      <c r="O1525">
        <v>1525</v>
      </c>
      <c r="P1525" t="str">
        <f t="shared" si="23"/>
        <v xml:space="preserve">[^ftn1525]: </v>
      </c>
    </row>
    <row r="1526" spans="7:16" x14ac:dyDescent="0.25">
      <c r="G1526" t="s">
        <v>894</v>
      </c>
      <c r="H1526">
        <v>1526</v>
      </c>
      <c r="I1526">
        <v>1526</v>
      </c>
      <c r="N1526" t="s">
        <v>895</v>
      </c>
      <c r="O1526">
        <v>1526</v>
      </c>
      <c r="P1526" t="str">
        <f t="shared" si="23"/>
        <v xml:space="preserve">[^ftn1526]: </v>
      </c>
    </row>
    <row r="1527" spans="7:16" x14ac:dyDescent="0.25">
      <c r="G1527" t="s">
        <v>894</v>
      </c>
      <c r="H1527">
        <v>1527</v>
      </c>
      <c r="I1527">
        <v>1527</v>
      </c>
      <c r="N1527" t="s">
        <v>895</v>
      </c>
      <c r="O1527">
        <v>1527</v>
      </c>
      <c r="P1527" t="str">
        <f t="shared" si="23"/>
        <v xml:space="preserve">[^ftn1527]: </v>
      </c>
    </row>
    <row r="1528" spans="7:16" x14ac:dyDescent="0.25">
      <c r="G1528" t="s">
        <v>894</v>
      </c>
      <c r="H1528">
        <v>1528</v>
      </c>
      <c r="I1528">
        <v>1528</v>
      </c>
      <c r="N1528" t="s">
        <v>895</v>
      </c>
      <c r="O1528">
        <v>1528</v>
      </c>
      <c r="P1528" t="str">
        <f t="shared" si="23"/>
        <v xml:space="preserve">[^ftn1528]: </v>
      </c>
    </row>
    <row r="1529" spans="7:16" x14ac:dyDescent="0.25">
      <c r="G1529" t="s">
        <v>894</v>
      </c>
      <c r="H1529">
        <v>1529</v>
      </c>
      <c r="I1529">
        <v>1529</v>
      </c>
      <c r="N1529" t="s">
        <v>895</v>
      </c>
      <c r="O1529">
        <v>1529</v>
      </c>
      <c r="P1529" t="str">
        <f t="shared" si="23"/>
        <v xml:space="preserve">[^ftn1529]: </v>
      </c>
    </row>
    <row r="1530" spans="7:16" x14ac:dyDescent="0.25">
      <c r="G1530" t="s">
        <v>894</v>
      </c>
      <c r="H1530">
        <v>1530</v>
      </c>
      <c r="I1530">
        <v>1530</v>
      </c>
      <c r="N1530" t="s">
        <v>895</v>
      </c>
      <c r="O1530">
        <v>1530</v>
      </c>
      <c r="P1530" t="str">
        <f t="shared" si="23"/>
        <v xml:space="preserve">[^ftn1530]: </v>
      </c>
    </row>
    <row r="1531" spans="7:16" x14ac:dyDescent="0.25">
      <c r="G1531" t="s">
        <v>894</v>
      </c>
      <c r="H1531">
        <v>1531</v>
      </c>
      <c r="I1531">
        <v>1531</v>
      </c>
      <c r="N1531" t="s">
        <v>895</v>
      </c>
      <c r="O1531">
        <v>1531</v>
      </c>
      <c r="P1531" t="str">
        <f t="shared" si="23"/>
        <v xml:space="preserve">[^ftn1531]: </v>
      </c>
    </row>
    <row r="1532" spans="7:16" x14ac:dyDescent="0.25">
      <c r="G1532" t="s">
        <v>894</v>
      </c>
      <c r="H1532">
        <v>1532</v>
      </c>
      <c r="I1532">
        <v>1532</v>
      </c>
      <c r="N1532" t="s">
        <v>895</v>
      </c>
      <c r="O1532">
        <v>1532</v>
      </c>
      <c r="P1532" t="str">
        <f t="shared" si="23"/>
        <v xml:space="preserve">[^ftn1532]: </v>
      </c>
    </row>
    <row r="1533" spans="7:16" x14ac:dyDescent="0.25">
      <c r="G1533" t="s">
        <v>894</v>
      </c>
      <c r="H1533">
        <v>1533</v>
      </c>
      <c r="I1533">
        <v>1533</v>
      </c>
      <c r="N1533" t="s">
        <v>895</v>
      </c>
      <c r="O1533">
        <v>1533</v>
      </c>
      <c r="P1533" t="str">
        <f t="shared" si="23"/>
        <v xml:space="preserve">[^ftn1533]: </v>
      </c>
    </row>
    <row r="1534" spans="7:16" x14ac:dyDescent="0.25">
      <c r="G1534" t="s">
        <v>894</v>
      </c>
      <c r="H1534">
        <v>1534</v>
      </c>
      <c r="I1534">
        <v>1534</v>
      </c>
      <c r="N1534" t="s">
        <v>895</v>
      </c>
      <c r="O1534">
        <v>1534</v>
      </c>
      <c r="P1534" t="str">
        <f t="shared" si="23"/>
        <v xml:space="preserve">[^ftn1534]: </v>
      </c>
    </row>
    <row r="1535" spans="7:16" x14ac:dyDescent="0.25">
      <c r="G1535" t="s">
        <v>894</v>
      </c>
      <c r="H1535">
        <v>1535</v>
      </c>
      <c r="I1535">
        <v>1535</v>
      </c>
      <c r="N1535" t="s">
        <v>895</v>
      </c>
      <c r="O1535">
        <v>1535</v>
      </c>
      <c r="P1535" t="str">
        <f t="shared" si="23"/>
        <v xml:space="preserve">[^ftn1535]: </v>
      </c>
    </row>
    <row r="1536" spans="7:16" x14ac:dyDescent="0.25">
      <c r="G1536" t="s">
        <v>894</v>
      </c>
      <c r="H1536">
        <v>1536</v>
      </c>
      <c r="I1536">
        <v>1536</v>
      </c>
      <c r="N1536" t="s">
        <v>895</v>
      </c>
      <c r="O1536">
        <v>1536</v>
      </c>
      <c r="P1536" t="str">
        <f t="shared" si="23"/>
        <v xml:space="preserve">[^ftn1536]: </v>
      </c>
    </row>
    <row r="1537" spans="7:16" x14ac:dyDescent="0.25">
      <c r="G1537" t="s">
        <v>894</v>
      </c>
      <c r="H1537">
        <v>1537</v>
      </c>
      <c r="I1537">
        <v>1537</v>
      </c>
      <c r="N1537" t="s">
        <v>895</v>
      </c>
      <c r="O1537">
        <v>1537</v>
      </c>
      <c r="P1537" t="str">
        <f t="shared" si="23"/>
        <v xml:space="preserve">[^ftn1537]: </v>
      </c>
    </row>
    <row r="1538" spans="7:16" x14ac:dyDescent="0.25">
      <c r="G1538" t="s">
        <v>894</v>
      </c>
      <c r="H1538">
        <v>1538</v>
      </c>
      <c r="I1538">
        <v>1538</v>
      </c>
      <c r="N1538" t="s">
        <v>895</v>
      </c>
      <c r="O1538">
        <v>1538</v>
      </c>
      <c r="P1538" t="str">
        <f t="shared" ref="P1538:P1601" si="24">_xlfn.CONCAT("[^ftn",O1538,"]: ",)</f>
        <v xml:space="preserve">[^ftn1538]: </v>
      </c>
    </row>
    <row r="1539" spans="7:16" x14ac:dyDescent="0.25">
      <c r="G1539" t="s">
        <v>894</v>
      </c>
      <c r="H1539">
        <v>1539</v>
      </c>
      <c r="I1539">
        <v>1539</v>
      </c>
      <c r="N1539" t="s">
        <v>895</v>
      </c>
      <c r="O1539">
        <v>1539</v>
      </c>
      <c r="P1539" t="str">
        <f t="shared" si="24"/>
        <v xml:space="preserve">[^ftn1539]: </v>
      </c>
    </row>
    <row r="1540" spans="7:16" x14ac:dyDescent="0.25">
      <c r="G1540" t="s">
        <v>894</v>
      </c>
      <c r="H1540">
        <v>1540</v>
      </c>
      <c r="I1540">
        <v>1540</v>
      </c>
      <c r="N1540" t="s">
        <v>895</v>
      </c>
      <c r="O1540">
        <v>1540</v>
      </c>
      <c r="P1540" t="str">
        <f t="shared" si="24"/>
        <v xml:space="preserve">[^ftn1540]: </v>
      </c>
    </row>
    <row r="1541" spans="7:16" x14ac:dyDescent="0.25">
      <c r="G1541" t="s">
        <v>894</v>
      </c>
      <c r="H1541">
        <v>1541</v>
      </c>
      <c r="I1541">
        <v>1541</v>
      </c>
      <c r="N1541" t="s">
        <v>895</v>
      </c>
      <c r="O1541">
        <v>1541</v>
      </c>
      <c r="P1541" t="str">
        <f t="shared" si="24"/>
        <v xml:space="preserve">[^ftn1541]: </v>
      </c>
    </row>
    <row r="1542" spans="7:16" x14ac:dyDescent="0.25">
      <c r="G1542" t="s">
        <v>894</v>
      </c>
      <c r="H1542">
        <v>1542</v>
      </c>
      <c r="I1542">
        <v>1542</v>
      </c>
      <c r="N1542" t="s">
        <v>895</v>
      </c>
      <c r="O1542">
        <v>1542</v>
      </c>
      <c r="P1542" t="str">
        <f t="shared" si="24"/>
        <v xml:space="preserve">[^ftn1542]: </v>
      </c>
    </row>
    <row r="1543" spans="7:16" x14ac:dyDescent="0.25">
      <c r="G1543" t="s">
        <v>894</v>
      </c>
      <c r="H1543">
        <v>1543</v>
      </c>
      <c r="I1543">
        <v>1543</v>
      </c>
      <c r="N1543" t="s">
        <v>895</v>
      </c>
      <c r="O1543">
        <v>1543</v>
      </c>
      <c r="P1543" t="str">
        <f t="shared" si="24"/>
        <v xml:space="preserve">[^ftn1543]: </v>
      </c>
    </row>
    <row r="1544" spans="7:16" x14ac:dyDescent="0.25">
      <c r="G1544" t="s">
        <v>894</v>
      </c>
      <c r="H1544">
        <v>1544</v>
      </c>
      <c r="I1544">
        <v>1544</v>
      </c>
      <c r="N1544" t="s">
        <v>895</v>
      </c>
      <c r="O1544">
        <v>1544</v>
      </c>
      <c r="P1544" t="str">
        <f t="shared" si="24"/>
        <v xml:space="preserve">[^ftn1544]: </v>
      </c>
    </row>
    <row r="1545" spans="7:16" x14ac:dyDescent="0.25">
      <c r="G1545" t="s">
        <v>894</v>
      </c>
      <c r="H1545">
        <v>1545</v>
      </c>
      <c r="I1545">
        <v>1545</v>
      </c>
      <c r="N1545" t="s">
        <v>895</v>
      </c>
      <c r="O1545">
        <v>1545</v>
      </c>
      <c r="P1545" t="str">
        <f t="shared" si="24"/>
        <v xml:space="preserve">[^ftn1545]: </v>
      </c>
    </row>
    <row r="1546" spans="7:16" x14ac:dyDescent="0.25">
      <c r="G1546" t="s">
        <v>894</v>
      </c>
      <c r="H1546">
        <v>1546</v>
      </c>
      <c r="I1546">
        <v>1546</v>
      </c>
      <c r="N1546" t="s">
        <v>895</v>
      </c>
      <c r="O1546">
        <v>1546</v>
      </c>
      <c r="P1546" t="str">
        <f t="shared" si="24"/>
        <v xml:space="preserve">[^ftn1546]: </v>
      </c>
    </row>
    <row r="1547" spans="7:16" x14ac:dyDescent="0.25">
      <c r="G1547" t="s">
        <v>894</v>
      </c>
      <c r="H1547">
        <v>1547</v>
      </c>
      <c r="I1547">
        <v>1547</v>
      </c>
      <c r="N1547" t="s">
        <v>895</v>
      </c>
      <c r="O1547">
        <v>1547</v>
      </c>
      <c r="P1547" t="str">
        <f t="shared" si="24"/>
        <v xml:space="preserve">[^ftn1547]: </v>
      </c>
    </row>
    <row r="1548" spans="7:16" x14ac:dyDescent="0.25">
      <c r="G1548" t="s">
        <v>894</v>
      </c>
      <c r="H1548">
        <v>1548</v>
      </c>
      <c r="I1548">
        <v>1548</v>
      </c>
      <c r="N1548" t="s">
        <v>895</v>
      </c>
      <c r="O1548">
        <v>1548</v>
      </c>
      <c r="P1548" t="str">
        <f t="shared" si="24"/>
        <v xml:space="preserve">[^ftn1548]: </v>
      </c>
    </row>
    <row r="1549" spans="7:16" x14ac:dyDescent="0.25">
      <c r="G1549" t="s">
        <v>894</v>
      </c>
      <c r="H1549">
        <v>1549</v>
      </c>
      <c r="I1549">
        <v>1549</v>
      </c>
      <c r="N1549" t="s">
        <v>895</v>
      </c>
      <c r="O1549">
        <v>1549</v>
      </c>
      <c r="P1549" t="str">
        <f t="shared" si="24"/>
        <v xml:space="preserve">[^ftn1549]: </v>
      </c>
    </row>
    <row r="1550" spans="7:16" x14ac:dyDescent="0.25">
      <c r="G1550" t="s">
        <v>894</v>
      </c>
      <c r="H1550">
        <v>1550</v>
      </c>
      <c r="I1550">
        <v>1550</v>
      </c>
      <c r="N1550" t="s">
        <v>895</v>
      </c>
      <c r="O1550">
        <v>1550</v>
      </c>
      <c r="P1550" t="str">
        <f t="shared" si="24"/>
        <v xml:space="preserve">[^ftn1550]: </v>
      </c>
    </row>
    <row r="1551" spans="7:16" x14ac:dyDescent="0.25">
      <c r="G1551" t="s">
        <v>894</v>
      </c>
      <c r="H1551">
        <v>1551</v>
      </c>
      <c r="I1551">
        <v>1551</v>
      </c>
      <c r="N1551" t="s">
        <v>895</v>
      </c>
      <c r="O1551">
        <v>1551</v>
      </c>
      <c r="P1551" t="str">
        <f t="shared" si="24"/>
        <v xml:space="preserve">[^ftn1551]: </v>
      </c>
    </row>
    <row r="1552" spans="7:16" x14ac:dyDescent="0.25">
      <c r="G1552" t="s">
        <v>894</v>
      </c>
      <c r="H1552">
        <v>1552</v>
      </c>
      <c r="I1552">
        <v>1552</v>
      </c>
      <c r="N1552" t="s">
        <v>895</v>
      </c>
      <c r="O1552">
        <v>1552</v>
      </c>
      <c r="P1552" t="str">
        <f t="shared" si="24"/>
        <v xml:space="preserve">[^ftn1552]: </v>
      </c>
    </row>
    <row r="1553" spans="7:16" x14ac:dyDescent="0.25">
      <c r="G1553" t="s">
        <v>894</v>
      </c>
      <c r="H1553">
        <v>1553</v>
      </c>
      <c r="I1553">
        <v>1553</v>
      </c>
      <c r="N1553" t="s">
        <v>895</v>
      </c>
      <c r="O1553">
        <v>1553</v>
      </c>
      <c r="P1553" t="str">
        <f t="shared" si="24"/>
        <v xml:space="preserve">[^ftn1553]: </v>
      </c>
    </row>
    <row r="1554" spans="7:16" x14ac:dyDescent="0.25">
      <c r="G1554" t="s">
        <v>894</v>
      </c>
      <c r="H1554">
        <v>1554</v>
      </c>
      <c r="I1554">
        <v>1554</v>
      </c>
      <c r="N1554" t="s">
        <v>895</v>
      </c>
      <c r="O1554">
        <v>1554</v>
      </c>
      <c r="P1554" t="str">
        <f t="shared" si="24"/>
        <v xml:space="preserve">[^ftn1554]: </v>
      </c>
    </row>
    <row r="1555" spans="7:16" x14ac:dyDescent="0.25">
      <c r="G1555" t="s">
        <v>894</v>
      </c>
      <c r="H1555">
        <v>1555</v>
      </c>
      <c r="I1555">
        <v>1555</v>
      </c>
      <c r="N1555" t="s">
        <v>895</v>
      </c>
      <c r="O1555">
        <v>1555</v>
      </c>
      <c r="P1555" t="str">
        <f t="shared" si="24"/>
        <v xml:space="preserve">[^ftn1555]: </v>
      </c>
    </row>
    <row r="1556" spans="7:16" x14ac:dyDescent="0.25">
      <c r="G1556" t="s">
        <v>894</v>
      </c>
      <c r="H1556">
        <v>1556</v>
      </c>
      <c r="I1556">
        <v>1556</v>
      </c>
      <c r="N1556" t="s">
        <v>895</v>
      </c>
      <c r="O1556">
        <v>1556</v>
      </c>
      <c r="P1556" t="str">
        <f t="shared" si="24"/>
        <v xml:space="preserve">[^ftn1556]: </v>
      </c>
    </row>
    <row r="1557" spans="7:16" x14ac:dyDescent="0.25">
      <c r="G1557" t="s">
        <v>894</v>
      </c>
      <c r="H1557">
        <v>1557</v>
      </c>
      <c r="I1557">
        <v>1557</v>
      </c>
      <c r="N1557" t="s">
        <v>895</v>
      </c>
      <c r="O1557">
        <v>1557</v>
      </c>
      <c r="P1557" t="str">
        <f t="shared" si="24"/>
        <v xml:space="preserve">[^ftn1557]: </v>
      </c>
    </row>
    <row r="1558" spans="7:16" x14ac:dyDescent="0.25">
      <c r="G1558" t="s">
        <v>894</v>
      </c>
      <c r="H1558">
        <v>1558</v>
      </c>
      <c r="I1558">
        <v>1558</v>
      </c>
      <c r="N1558" t="s">
        <v>895</v>
      </c>
      <c r="O1558">
        <v>1558</v>
      </c>
      <c r="P1558" t="str">
        <f t="shared" si="24"/>
        <v xml:space="preserve">[^ftn1558]: </v>
      </c>
    </row>
    <row r="1559" spans="7:16" x14ac:dyDescent="0.25">
      <c r="G1559" t="s">
        <v>894</v>
      </c>
      <c r="H1559">
        <v>1559</v>
      </c>
      <c r="I1559">
        <v>1559</v>
      </c>
      <c r="N1559" t="s">
        <v>895</v>
      </c>
      <c r="O1559">
        <v>1559</v>
      </c>
      <c r="P1559" t="str">
        <f t="shared" si="24"/>
        <v xml:space="preserve">[^ftn1559]: </v>
      </c>
    </row>
    <row r="1560" spans="7:16" x14ac:dyDescent="0.25">
      <c r="G1560" t="s">
        <v>894</v>
      </c>
      <c r="H1560">
        <v>1560</v>
      </c>
      <c r="I1560">
        <v>1560</v>
      </c>
      <c r="N1560" t="s">
        <v>895</v>
      </c>
      <c r="O1560">
        <v>1560</v>
      </c>
      <c r="P1560" t="str">
        <f t="shared" si="24"/>
        <v xml:space="preserve">[^ftn1560]: </v>
      </c>
    </row>
    <row r="1561" spans="7:16" x14ac:dyDescent="0.25">
      <c r="G1561" t="s">
        <v>894</v>
      </c>
      <c r="H1561">
        <v>1561</v>
      </c>
      <c r="I1561">
        <v>1561</v>
      </c>
      <c r="N1561" t="s">
        <v>895</v>
      </c>
      <c r="O1561">
        <v>1561</v>
      </c>
      <c r="P1561" t="str">
        <f t="shared" si="24"/>
        <v xml:space="preserve">[^ftn1561]: </v>
      </c>
    </row>
    <row r="1562" spans="7:16" x14ac:dyDescent="0.25">
      <c r="G1562" t="s">
        <v>894</v>
      </c>
      <c r="H1562">
        <v>1562</v>
      </c>
      <c r="I1562">
        <v>1562</v>
      </c>
      <c r="N1562" t="s">
        <v>895</v>
      </c>
      <c r="O1562">
        <v>1562</v>
      </c>
      <c r="P1562" t="str">
        <f t="shared" si="24"/>
        <v xml:space="preserve">[^ftn1562]: </v>
      </c>
    </row>
    <row r="1563" spans="7:16" x14ac:dyDescent="0.25">
      <c r="G1563" t="s">
        <v>894</v>
      </c>
      <c r="H1563">
        <v>1563</v>
      </c>
      <c r="I1563">
        <v>1563</v>
      </c>
      <c r="N1563" t="s">
        <v>895</v>
      </c>
      <c r="O1563">
        <v>1563</v>
      </c>
      <c r="P1563" t="str">
        <f t="shared" si="24"/>
        <v xml:space="preserve">[^ftn1563]: </v>
      </c>
    </row>
    <row r="1564" spans="7:16" x14ac:dyDescent="0.25">
      <c r="G1564" t="s">
        <v>894</v>
      </c>
      <c r="H1564">
        <v>1564</v>
      </c>
      <c r="I1564">
        <v>1564</v>
      </c>
      <c r="N1564" t="s">
        <v>895</v>
      </c>
      <c r="O1564">
        <v>1564</v>
      </c>
      <c r="P1564" t="str">
        <f t="shared" si="24"/>
        <v xml:space="preserve">[^ftn1564]: </v>
      </c>
    </row>
    <row r="1565" spans="7:16" x14ac:dyDescent="0.25">
      <c r="G1565" t="s">
        <v>894</v>
      </c>
      <c r="H1565">
        <v>1565</v>
      </c>
      <c r="I1565">
        <v>1565</v>
      </c>
      <c r="N1565" t="s">
        <v>895</v>
      </c>
      <c r="O1565">
        <v>1565</v>
      </c>
      <c r="P1565" t="str">
        <f t="shared" si="24"/>
        <v xml:space="preserve">[^ftn1565]: </v>
      </c>
    </row>
    <row r="1566" spans="7:16" x14ac:dyDescent="0.25">
      <c r="G1566" t="s">
        <v>894</v>
      </c>
      <c r="H1566">
        <v>1566</v>
      </c>
      <c r="I1566">
        <v>1566</v>
      </c>
      <c r="N1566" t="s">
        <v>895</v>
      </c>
      <c r="O1566">
        <v>1566</v>
      </c>
      <c r="P1566" t="str">
        <f t="shared" si="24"/>
        <v xml:space="preserve">[^ftn1566]: </v>
      </c>
    </row>
    <row r="1567" spans="7:16" x14ac:dyDescent="0.25">
      <c r="G1567" t="s">
        <v>894</v>
      </c>
      <c r="H1567">
        <v>1567</v>
      </c>
      <c r="I1567">
        <v>1567</v>
      </c>
      <c r="N1567" t="s">
        <v>895</v>
      </c>
      <c r="O1567">
        <v>1567</v>
      </c>
      <c r="P1567" t="str">
        <f t="shared" si="24"/>
        <v xml:space="preserve">[^ftn1567]: </v>
      </c>
    </row>
    <row r="1568" spans="7:16" x14ac:dyDescent="0.25">
      <c r="G1568" t="s">
        <v>894</v>
      </c>
      <c r="H1568">
        <v>1568</v>
      </c>
      <c r="I1568">
        <v>1568</v>
      </c>
      <c r="N1568" t="s">
        <v>895</v>
      </c>
      <c r="O1568">
        <v>1568</v>
      </c>
      <c r="P1568" t="str">
        <f t="shared" si="24"/>
        <v xml:space="preserve">[^ftn1568]: </v>
      </c>
    </row>
    <row r="1569" spans="7:16" x14ac:dyDescent="0.25">
      <c r="G1569" t="s">
        <v>894</v>
      </c>
      <c r="H1569">
        <v>1569</v>
      </c>
      <c r="I1569">
        <v>1569</v>
      </c>
      <c r="N1569" t="s">
        <v>895</v>
      </c>
      <c r="O1569">
        <v>1569</v>
      </c>
      <c r="P1569" t="str">
        <f t="shared" si="24"/>
        <v xml:space="preserve">[^ftn1569]: </v>
      </c>
    </row>
    <row r="1570" spans="7:16" x14ac:dyDescent="0.25">
      <c r="G1570" t="s">
        <v>894</v>
      </c>
      <c r="H1570">
        <v>1570</v>
      </c>
      <c r="I1570">
        <v>1570</v>
      </c>
      <c r="N1570" t="s">
        <v>895</v>
      </c>
      <c r="O1570">
        <v>1570</v>
      </c>
      <c r="P1570" t="str">
        <f t="shared" si="24"/>
        <v xml:space="preserve">[^ftn1570]: </v>
      </c>
    </row>
    <row r="1571" spans="7:16" x14ac:dyDescent="0.25">
      <c r="G1571" t="s">
        <v>894</v>
      </c>
      <c r="H1571">
        <v>1571</v>
      </c>
      <c r="I1571">
        <v>1571</v>
      </c>
      <c r="N1571" t="s">
        <v>895</v>
      </c>
      <c r="O1571">
        <v>1571</v>
      </c>
      <c r="P1571" t="str">
        <f t="shared" si="24"/>
        <v xml:space="preserve">[^ftn1571]: </v>
      </c>
    </row>
    <row r="1572" spans="7:16" x14ac:dyDescent="0.25">
      <c r="G1572" t="s">
        <v>894</v>
      </c>
      <c r="H1572">
        <v>1572</v>
      </c>
      <c r="I1572">
        <v>1572</v>
      </c>
      <c r="N1572" t="s">
        <v>895</v>
      </c>
      <c r="O1572">
        <v>1572</v>
      </c>
      <c r="P1572" t="str">
        <f t="shared" si="24"/>
        <v xml:space="preserve">[^ftn1572]: </v>
      </c>
    </row>
    <row r="1573" spans="7:16" x14ac:dyDescent="0.25">
      <c r="G1573" t="s">
        <v>894</v>
      </c>
      <c r="H1573">
        <v>1573</v>
      </c>
      <c r="I1573">
        <v>1573</v>
      </c>
      <c r="N1573" t="s">
        <v>895</v>
      </c>
      <c r="O1573">
        <v>1573</v>
      </c>
      <c r="P1573" t="str">
        <f t="shared" si="24"/>
        <v xml:space="preserve">[^ftn1573]: </v>
      </c>
    </row>
    <row r="1574" spans="7:16" x14ac:dyDescent="0.25">
      <c r="G1574" t="s">
        <v>894</v>
      </c>
      <c r="H1574">
        <v>1574</v>
      </c>
      <c r="I1574">
        <v>1574</v>
      </c>
      <c r="N1574" t="s">
        <v>895</v>
      </c>
      <c r="O1574">
        <v>1574</v>
      </c>
      <c r="P1574" t="str">
        <f t="shared" si="24"/>
        <v xml:space="preserve">[^ftn1574]: </v>
      </c>
    </row>
    <row r="1575" spans="7:16" x14ac:dyDescent="0.25">
      <c r="G1575" t="s">
        <v>894</v>
      </c>
      <c r="H1575">
        <v>1575</v>
      </c>
      <c r="I1575">
        <v>1575</v>
      </c>
      <c r="N1575" t="s">
        <v>895</v>
      </c>
      <c r="O1575">
        <v>1575</v>
      </c>
      <c r="P1575" t="str">
        <f t="shared" si="24"/>
        <v xml:space="preserve">[^ftn1575]: </v>
      </c>
    </row>
    <row r="1576" spans="7:16" x14ac:dyDescent="0.25">
      <c r="G1576" t="s">
        <v>894</v>
      </c>
      <c r="H1576">
        <v>1576</v>
      </c>
      <c r="I1576">
        <v>1576</v>
      </c>
      <c r="N1576" t="s">
        <v>895</v>
      </c>
      <c r="O1576">
        <v>1576</v>
      </c>
      <c r="P1576" t="str">
        <f t="shared" si="24"/>
        <v xml:space="preserve">[^ftn1576]: </v>
      </c>
    </row>
    <row r="1577" spans="7:16" x14ac:dyDescent="0.25">
      <c r="G1577" t="s">
        <v>894</v>
      </c>
      <c r="H1577">
        <v>1577</v>
      </c>
      <c r="I1577">
        <v>1577</v>
      </c>
      <c r="N1577" t="s">
        <v>895</v>
      </c>
      <c r="O1577">
        <v>1577</v>
      </c>
      <c r="P1577" t="str">
        <f t="shared" si="24"/>
        <v xml:space="preserve">[^ftn1577]: </v>
      </c>
    </row>
    <row r="1578" spans="7:16" x14ac:dyDescent="0.25">
      <c r="G1578" t="s">
        <v>894</v>
      </c>
      <c r="H1578">
        <v>1578</v>
      </c>
      <c r="I1578">
        <v>1578</v>
      </c>
      <c r="N1578" t="s">
        <v>895</v>
      </c>
      <c r="O1578">
        <v>1578</v>
      </c>
      <c r="P1578" t="str">
        <f t="shared" si="24"/>
        <v xml:space="preserve">[^ftn1578]: </v>
      </c>
    </row>
    <row r="1579" spans="7:16" x14ac:dyDescent="0.25">
      <c r="G1579" t="s">
        <v>894</v>
      </c>
      <c r="H1579">
        <v>1579</v>
      </c>
      <c r="I1579">
        <v>1579</v>
      </c>
      <c r="N1579" t="s">
        <v>895</v>
      </c>
      <c r="O1579">
        <v>1579</v>
      </c>
      <c r="P1579" t="str">
        <f t="shared" si="24"/>
        <v xml:space="preserve">[^ftn1579]: </v>
      </c>
    </row>
    <row r="1580" spans="7:16" x14ac:dyDescent="0.25">
      <c r="G1580" t="s">
        <v>894</v>
      </c>
      <c r="H1580">
        <v>1580</v>
      </c>
      <c r="I1580">
        <v>1580</v>
      </c>
      <c r="N1580" t="s">
        <v>895</v>
      </c>
      <c r="O1580">
        <v>1580</v>
      </c>
      <c r="P1580" t="str">
        <f t="shared" si="24"/>
        <v xml:space="preserve">[^ftn1580]: </v>
      </c>
    </row>
    <row r="1581" spans="7:16" x14ac:dyDescent="0.25">
      <c r="G1581" t="s">
        <v>894</v>
      </c>
      <c r="H1581">
        <v>1581</v>
      </c>
      <c r="I1581">
        <v>1581</v>
      </c>
      <c r="N1581" t="s">
        <v>895</v>
      </c>
      <c r="O1581">
        <v>1581</v>
      </c>
      <c r="P1581" t="str">
        <f t="shared" si="24"/>
        <v xml:space="preserve">[^ftn1581]: </v>
      </c>
    </row>
    <row r="1582" spans="7:16" x14ac:dyDescent="0.25">
      <c r="G1582" t="s">
        <v>894</v>
      </c>
      <c r="H1582">
        <v>1582</v>
      </c>
      <c r="I1582">
        <v>1582</v>
      </c>
      <c r="N1582" t="s">
        <v>895</v>
      </c>
      <c r="O1582">
        <v>1582</v>
      </c>
      <c r="P1582" t="str">
        <f t="shared" si="24"/>
        <v xml:space="preserve">[^ftn1582]: </v>
      </c>
    </row>
    <row r="1583" spans="7:16" x14ac:dyDescent="0.25">
      <c r="G1583" t="s">
        <v>894</v>
      </c>
      <c r="H1583">
        <v>1583</v>
      </c>
      <c r="I1583">
        <v>1583</v>
      </c>
      <c r="N1583" t="s">
        <v>895</v>
      </c>
      <c r="O1583">
        <v>1583</v>
      </c>
      <c r="P1583" t="str">
        <f t="shared" si="24"/>
        <v xml:space="preserve">[^ftn1583]: </v>
      </c>
    </row>
    <row r="1584" spans="7:16" x14ac:dyDescent="0.25">
      <c r="G1584" t="s">
        <v>894</v>
      </c>
      <c r="H1584">
        <v>1584</v>
      </c>
      <c r="I1584">
        <v>1584</v>
      </c>
      <c r="N1584" t="s">
        <v>895</v>
      </c>
      <c r="O1584">
        <v>1584</v>
      </c>
      <c r="P1584" t="str">
        <f t="shared" si="24"/>
        <v xml:space="preserve">[^ftn1584]: </v>
      </c>
    </row>
    <row r="1585" spans="7:16" x14ac:dyDescent="0.25">
      <c r="G1585" t="s">
        <v>894</v>
      </c>
      <c r="H1585">
        <v>1585</v>
      </c>
      <c r="I1585">
        <v>1585</v>
      </c>
      <c r="N1585" t="s">
        <v>895</v>
      </c>
      <c r="O1585">
        <v>1585</v>
      </c>
      <c r="P1585" t="str">
        <f t="shared" si="24"/>
        <v xml:space="preserve">[^ftn1585]: </v>
      </c>
    </row>
    <row r="1586" spans="7:16" x14ac:dyDescent="0.25">
      <c r="G1586" t="s">
        <v>894</v>
      </c>
      <c r="H1586">
        <v>1586</v>
      </c>
      <c r="I1586">
        <v>1586</v>
      </c>
      <c r="N1586" t="s">
        <v>895</v>
      </c>
      <c r="O1586">
        <v>1586</v>
      </c>
      <c r="P1586" t="str">
        <f t="shared" si="24"/>
        <v xml:space="preserve">[^ftn1586]: </v>
      </c>
    </row>
    <row r="1587" spans="7:16" x14ac:dyDescent="0.25">
      <c r="G1587" t="s">
        <v>894</v>
      </c>
      <c r="H1587">
        <v>1587</v>
      </c>
      <c r="I1587">
        <v>1587</v>
      </c>
      <c r="N1587" t="s">
        <v>895</v>
      </c>
      <c r="O1587">
        <v>1587</v>
      </c>
      <c r="P1587" t="str">
        <f t="shared" si="24"/>
        <v xml:space="preserve">[^ftn1587]: </v>
      </c>
    </row>
    <row r="1588" spans="7:16" x14ac:dyDescent="0.25">
      <c r="G1588" t="s">
        <v>894</v>
      </c>
      <c r="H1588">
        <v>1588</v>
      </c>
      <c r="I1588">
        <v>1588</v>
      </c>
      <c r="N1588" t="s">
        <v>895</v>
      </c>
      <c r="O1588">
        <v>1588</v>
      </c>
      <c r="P1588" t="str">
        <f t="shared" si="24"/>
        <v xml:space="preserve">[^ftn1588]: </v>
      </c>
    </row>
    <row r="1589" spans="7:16" x14ac:dyDescent="0.25">
      <c r="G1589" t="s">
        <v>894</v>
      </c>
      <c r="H1589">
        <v>1589</v>
      </c>
      <c r="I1589">
        <v>1589</v>
      </c>
      <c r="N1589" t="s">
        <v>895</v>
      </c>
      <c r="O1589">
        <v>1589</v>
      </c>
      <c r="P1589" t="str">
        <f t="shared" si="24"/>
        <v xml:space="preserve">[^ftn1589]: </v>
      </c>
    </row>
    <row r="1590" spans="7:16" x14ac:dyDescent="0.25">
      <c r="G1590" t="s">
        <v>894</v>
      </c>
      <c r="H1590">
        <v>1590</v>
      </c>
      <c r="I1590">
        <v>1590</v>
      </c>
      <c r="N1590" t="s">
        <v>895</v>
      </c>
      <c r="O1590">
        <v>1590</v>
      </c>
      <c r="P1590" t="str">
        <f t="shared" si="24"/>
        <v xml:space="preserve">[^ftn1590]: </v>
      </c>
    </row>
    <row r="1591" spans="7:16" x14ac:dyDescent="0.25">
      <c r="G1591" t="s">
        <v>894</v>
      </c>
      <c r="H1591">
        <v>1591</v>
      </c>
      <c r="I1591">
        <v>1591</v>
      </c>
      <c r="N1591" t="s">
        <v>895</v>
      </c>
      <c r="O1591">
        <v>1591</v>
      </c>
      <c r="P1591" t="str">
        <f t="shared" si="24"/>
        <v xml:space="preserve">[^ftn1591]: </v>
      </c>
    </row>
    <row r="1592" spans="7:16" x14ac:dyDescent="0.25">
      <c r="G1592" t="s">
        <v>894</v>
      </c>
      <c r="H1592">
        <v>1592</v>
      </c>
      <c r="I1592">
        <v>1592</v>
      </c>
      <c r="N1592" t="s">
        <v>895</v>
      </c>
      <c r="O1592">
        <v>1592</v>
      </c>
      <c r="P1592" t="str">
        <f t="shared" si="24"/>
        <v xml:space="preserve">[^ftn1592]: </v>
      </c>
    </row>
    <row r="1593" spans="7:16" x14ac:dyDescent="0.25">
      <c r="G1593" t="s">
        <v>894</v>
      </c>
      <c r="H1593">
        <v>1593</v>
      </c>
      <c r="I1593">
        <v>1593</v>
      </c>
      <c r="N1593" t="s">
        <v>895</v>
      </c>
      <c r="O1593">
        <v>1593</v>
      </c>
      <c r="P1593" t="str">
        <f t="shared" si="24"/>
        <v xml:space="preserve">[^ftn1593]: </v>
      </c>
    </row>
    <row r="1594" spans="7:16" x14ac:dyDescent="0.25">
      <c r="G1594" t="s">
        <v>894</v>
      </c>
      <c r="H1594">
        <v>1594</v>
      </c>
      <c r="I1594">
        <v>1594</v>
      </c>
      <c r="N1594" t="s">
        <v>895</v>
      </c>
      <c r="O1594">
        <v>1594</v>
      </c>
      <c r="P1594" t="str">
        <f t="shared" si="24"/>
        <v xml:space="preserve">[^ftn1594]: </v>
      </c>
    </row>
    <row r="1595" spans="7:16" x14ac:dyDescent="0.25">
      <c r="G1595" t="s">
        <v>894</v>
      </c>
      <c r="H1595">
        <v>1595</v>
      </c>
      <c r="I1595">
        <v>1595</v>
      </c>
      <c r="N1595" t="s">
        <v>895</v>
      </c>
      <c r="O1595">
        <v>1595</v>
      </c>
      <c r="P1595" t="str">
        <f t="shared" si="24"/>
        <v xml:space="preserve">[^ftn1595]: </v>
      </c>
    </row>
    <row r="1596" spans="7:16" x14ac:dyDescent="0.25">
      <c r="G1596" t="s">
        <v>894</v>
      </c>
      <c r="H1596">
        <v>1596</v>
      </c>
      <c r="I1596">
        <v>1596</v>
      </c>
      <c r="N1596" t="s">
        <v>895</v>
      </c>
      <c r="O1596">
        <v>1596</v>
      </c>
      <c r="P1596" t="str">
        <f t="shared" si="24"/>
        <v xml:space="preserve">[^ftn1596]: </v>
      </c>
    </row>
    <row r="1597" spans="7:16" x14ac:dyDescent="0.25">
      <c r="G1597" t="s">
        <v>894</v>
      </c>
      <c r="H1597">
        <v>1597</v>
      </c>
      <c r="I1597">
        <v>1597</v>
      </c>
      <c r="N1597" t="s">
        <v>895</v>
      </c>
      <c r="O1597">
        <v>1597</v>
      </c>
      <c r="P1597" t="str">
        <f t="shared" si="24"/>
        <v xml:space="preserve">[^ftn1597]: </v>
      </c>
    </row>
    <row r="1598" spans="7:16" x14ac:dyDescent="0.25">
      <c r="G1598" t="s">
        <v>894</v>
      </c>
      <c r="H1598">
        <v>1598</v>
      </c>
      <c r="I1598">
        <v>1598</v>
      </c>
      <c r="N1598" t="s">
        <v>895</v>
      </c>
      <c r="O1598">
        <v>1598</v>
      </c>
      <c r="P1598" t="str">
        <f t="shared" si="24"/>
        <v xml:space="preserve">[^ftn1598]: </v>
      </c>
    </row>
    <row r="1599" spans="7:16" x14ac:dyDescent="0.25">
      <c r="G1599" t="s">
        <v>894</v>
      </c>
      <c r="H1599">
        <v>1599</v>
      </c>
      <c r="I1599">
        <v>1599</v>
      </c>
      <c r="N1599" t="s">
        <v>895</v>
      </c>
      <c r="O1599">
        <v>1599</v>
      </c>
      <c r="P1599" t="str">
        <f t="shared" si="24"/>
        <v xml:space="preserve">[^ftn1599]: </v>
      </c>
    </row>
    <row r="1600" spans="7:16" x14ac:dyDescent="0.25">
      <c r="G1600" t="s">
        <v>894</v>
      </c>
      <c r="H1600">
        <v>1600</v>
      </c>
      <c r="I1600">
        <v>1600</v>
      </c>
      <c r="N1600" t="s">
        <v>895</v>
      </c>
      <c r="O1600">
        <v>1600</v>
      </c>
      <c r="P1600" t="str">
        <f t="shared" si="24"/>
        <v xml:space="preserve">[^ftn1600]: </v>
      </c>
    </row>
    <row r="1601" spans="7:16" x14ac:dyDescent="0.25">
      <c r="G1601" t="s">
        <v>894</v>
      </c>
      <c r="H1601">
        <v>1601</v>
      </c>
      <c r="I1601">
        <v>1601</v>
      </c>
      <c r="N1601" t="s">
        <v>895</v>
      </c>
      <c r="O1601">
        <v>1601</v>
      </c>
      <c r="P1601" t="str">
        <f t="shared" si="24"/>
        <v xml:space="preserve">[^ftn1601]: </v>
      </c>
    </row>
    <row r="1602" spans="7:16" x14ac:dyDescent="0.25">
      <c r="G1602" t="s">
        <v>894</v>
      </c>
      <c r="H1602">
        <v>1602</v>
      </c>
      <c r="I1602">
        <v>1602</v>
      </c>
      <c r="N1602" t="s">
        <v>895</v>
      </c>
      <c r="O1602">
        <v>1602</v>
      </c>
      <c r="P1602" t="str">
        <f t="shared" ref="P1602:P1665" si="25">_xlfn.CONCAT("[^ftn",O1602,"]: ",)</f>
        <v xml:space="preserve">[^ftn1602]: </v>
      </c>
    </row>
    <row r="1603" spans="7:16" x14ac:dyDescent="0.25">
      <c r="G1603" t="s">
        <v>894</v>
      </c>
      <c r="H1603">
        <v>1603</v>
      </c>
      <c r="I1603">
        <v>1603</v>
      </c>
      <c r="N1603" t="s">
        <v>895</v>
      </c>
      <c r="O1603">
        <v>1603</v>
      </c>
      <c r="P1603" t="str">
        <f t="shared" si="25"/>
        <v xml:space="preserve">[^ftn1603]: </v>
      </c>
    </row>
    <row r="1604" spans="7:16" x14ac:dyDescent="0.25">
      <c r="G1604" t="s">
        <v>894</v>
      </c>
      <c r="H1604">
        <v>1604</v>
      </c>
      <c r="I1604">
        <v>1604</v>
      </c>
      <c r="N1604" t="s">
        <v>895</v>
      </c>
      <c r="O1604">
        <v>1604</v>
      </c>
      <c r="P1604" t="str">
        <f t="shared" si="25"/>
        <v xml:space="preserve">[^ftn1604]: </v>
      </c>
    </row>
    <row r="1605" spans="7:16" x14ac:dyDescent="0.25">
      <c r="G1605" t="s">
        <v>894</v>
      </c>
      <c r="H1605">
        <v>1605</v>
      </c>
      <c r="I1605">
        <v>1605</v>
      </c>
      <c r="N1605" t="s">
        <v>895</v>
      </c>
      <c r="O1605">
        <v>1605</v>
      </c>
      <c r="P1605" t="str">
        <f t="shared" si="25"/>
        <v xml:space="preserve">[^ftn1605]: </v>
      </c>
    </row>
    <row r="1606" spans="7:16" x14ac:dyDescent="0.25">
      <c r="G1606" t="s">
        <v>894</v>
      </c>
      <c r="H1606">
        <v>1606</v>
      </c>
      <c r="I1606">
        <v>1606</v>
      </c>
      <c r="N1606" t="s">
        <v>895</v>
      </c>
      <c r="O1606">
        <v>1606</v>
      </c>
      <c r="P1606" t="str">
        <f t="shared" si="25"/>
        <v xml:space="preserve">[^ftn1606]: </v>
      </c>
    </row>
    <row r="1607" spans="7:16" x14ac:dyDescent="0.25">
      <c r="G1607" t="s">
        <v>894</v>
      </c>
      <c r="H1607">
        <v>1607</v>
      </c>
      <c r="I1607">
        <v>1607</v>
      </c>
      <c r="N1607" t="s">
        <v>895</v>
      </c>
      <c r="O1607">
        <v>1607</v>
      </c>
      <c r="P1607" t="str">
        <f t="shared" si="25"/>
        <v xml:space="preserve">[^ftn1607]: </v>
      </c>
    </row>
    <row r="1608" spans="7:16" x14ac:dyDescent="0.25">
      <c r="G1608" t="s">
        <v>894</v>
      </c>
      <c r="H1608">
        <v>1608</v>
      </c>
      <c r="I1608">
        <v>1608</v>
      </c>
      <c r="N1608" t="s">
        <v>895</v>
      </c>
      <c r="O1608">
        <v>1608</v>
      </c>
      <c r="P1608" t="str">
        <f t="shared" si="25"/>
        <v xml:space="preserve">[^ftn1608]: </v>
      </c>
    </row>
    <row r="1609" spans="7:16" x14ac:dyDescent="0.25">
      <c r="G1609" t="s">
        <v>894</v>
      </c>
      <c r="H1609">
        <v>1609</v>
      </c>
      <c r="I1609">
        <v>1609</v>
      </c>
      <c r="N1609" t="s">
        <v>895</v>
      </c>
      <c r="O1609">
        <v>1609</v>
      </c>
      <c r="P1609" t="str">
        <f t="shared" si="25"/>
        <v xml:space="preserve">[^ftn1609]: </v>
      </c>
    </row>
    <row r="1610" spans="7:16" x14ac:dyDescent="0.25">
      <c r="G1610" t="s">
        <v>894</v>
      </c>
      <c r="H1610">
        <v>1610</v>
      </c>
      <c r="I1610">
        <v>1610</v>
      </c>
      <c r="N1610" t="s">
        <v>895</v>
      </c>
      <c r="O1610">
        <v>1610</v>
      </c>
      <c r="P1610" t="str">
        <f t="shared" si="25"/>
        <v xml:space="preserve">[^ftn1610]: </v>
      </c>
    </row>
    <row r="1611" spans="7:16" x14ac:dyDescent="0.25">
      <c r="G1611" t="s">
        <v>894</v>
      </c>
      <c r="H1611">
        <v>1611</v>
      </c>
      <c r="I1611">
        <v>1611</v>
      </c>
      <c r="N1611" t="s">
        <v>895</v>
      </c>
      <c r="O1611">
        <v>1611</v>
      </c>
      <c r="P1611" t="str">
        <f t="shared" si="25"/>
        <v xml:space="preserve">[^ftn1611]: </v>
      </c>
    </row>
    <row r="1612" spans="7:16" x14ac:dyDescent="0.25">
      <c r="G1612" t="s">
        <v>894</v>
      </c>
      <c r="H1612">
        <v>1612</v>
      </c>
      <c r="I1612">
        <v>1612</v>
      </c>
      <c r="N1612" t="s">
        <v>895</v>
      </c>
      <c r="O1612">
        <v>1612</v>
      </c>
      <c r="P1612" t="str">
        <f t="shared" si="25"/>
        <v xml:space="preserve">[^ftn1612]: </v>
      </c>
    </row>
    <row r="1613" spans="7:16" x14ac:dyDescent="0.25">
      <c r="G1613" t="s">
        <v>894</v>
      </c>
      <c r="H1613">
        <v>1613</v>
      </c>
      <c r="I1613">
        <v>1613</v>
      </c>
      <c r="N1613" t="s">
        <v>895</v>
      </c>
      <c r="O1613">
        <v>1613</v>
      </c>
      <c r="P1613" t="str">
        <f t="shared" si="25"/>
        <v xml:space="preserve">[^ftn1613]: </v>
      </c>
    </row>
    <row r="1614" spans="7:16" x14ac:dyDescent="0.25">
      <c r="G1614" t="s">
        <v>894</v>
      </c>
      <c r="H1614">
        <v>1614</v>
      </c>
      <c r="I1614">
        <v>1614</v>
      </c>
      <c r="N1614" t="s">
        <v>895</v>
      </c>
      <c r="O1614">
        <v>1614</v>
      </c>
      <c r="P1614" t="str">
        <f t="shared" si="25"/>
        <v xml:space="preserve">[^ftn1614]: </v>
      </c>
    </row>
    <row r="1615" spans="7:16" x14ac:dyDescent="0.25">
      <c r="G1615" t="s">
        <v>894</v>
      </c>
      <c r="H1615">
        <v>1615</v>
      </c>
      <c r="I1615">
        <v>1615</v>
      </c>
      <c r="N1615" t="s">
        <v>895</v>
      </c>
      <c r="O1615">
        <v>1615</v>
      </c>
      <c r="P1615" t="str">
        <f t="shared" si="25"/>
        <v xml:space="preserve">[^ftn1615]: </v>
      </c>
    </row>
    <row r="1616" spans="7:16" x14ac:dyDescent="0.25">
      <c r="G1616" t="s">
        <v>894</v>
      </c>
      <c r="H1616">
        <v>1616</v>
      </c>
      <c r="I1616">
        <v>1616</v>
      </c>
      <c r="N1616" t="s">
        <v>895</v>
      </c>
      <c r="O1616">
        <v>1616</v>
      </c>
      <c r="P1616" t="str">
        <f t="shared" si="25"/>
        <v xml:space="preserve">[^ftn1616]: </v>
      </c>
    </row>
    <row r="1617" spans="7:16" x14ac:dyDescent="0.25">
      <c r="G1617" t="s">
        <v>894</v>
      </c>
      <c r="H1617">
        <v>1617</v>
      </c>
      <c r="I1617">
        <v>1617</v>
      </c>
      <c r="N1617" t="s">
        <v>895</v>
      </c>
      <c r="O1617">
        <v>1617</v>
      </c>
      <c r="P1617" t="str">
        <f t="shared" si="25"/>
        <v xml:space="preserve">[^ftn1617]: </v>
      </c>
    </row>
    <row r="1618" spans="7:16" x14ac:dyDescent="0.25">
      <c r="G1618" t="s">
        <v>894</v>
      </c>
      <c r="H1618">
        <v>1618</v>
      </c>
      <c r="I1618">
        <v>1618</v>
      </c>
      <c r="N1618" t="s">
        <v>895</v>
      </c>
      <c r="O1618">
        <v>1618</v>
      </c>
      <c r="P1618" t="str">
        <f t="shared" si="25"/>
        <v xml:space="preserve">[^ftn1618]: </v>
      </c>
    </row>
    <row r="1619" spans="7:16" x14ac:dyDescent="0.25">
      <c r="G1619" t="s">
        <v>894</v>
      </c>
      <c r="H1619">
        <v>1619</v>
      </c>
      <c r="I1619">
        <v>1619</v>
      </c>
      <c r="N1619" t="s">
        <v>895</v>
      </c>
      <c r="O1619">
        <v>1619</v>
      </c>
      <c r="P1619" t="str">
        <f t="shared" si="25"/>
        <v xml:space="preserve">[^ftn1619]: </v>
      </c>
    </row>
    <row r="1620" spans="7:16" x14ac:dyDescent="0.25">
      <c r="G1620" t="s">
        <v>894</v>
      </c>
      <c r="H1620">
        <v>1620</v>
      </c>
      <c r="I1620">
        <v>1620</v>
      </c>
      <c r="N1620" t="s">
        <v>895</v>
      </c>
      <c r="O1620">
        <v>1620</v>
      </c>
      <c r="P1620" t="str">
        <f t="shared" si="25"/>
        <v xml:space="preserve">[^ftn1620]: </v>
      </c>
    </row>
    <row r="1621" spans="7:16" x14ac:dyDescent="0.25">
      <c r="G1621" t="s">
        <v>894</v>
      </c>
      <c r="H1621">
        <v>1621</v>
      </c>
      <c r="I1621">
        <v>1621</v>
      </c>
      <c r="N1621" t="s">
        <v>895</v>
      </c>
      <c r="O1621">
        <v>1621</v>
      </c>
      <c r="P1621" t="str">
        <f t="shared" si="25"/>
        <v xml:space="preserve">[^ftn1621]: </v>
      </c>
    </row>
    <row r="1622" spans="7:16" x14ac:dyDescent="0.25">
      <c r="G1622" t="s">
        <v>894</v>
      </c>
      <c r="H1622">
        <v>1622</v>
      </c>
      <c r="I1622">
        <v>1622</v>
      </c>
      <c r="N1622" t="s">
        <v>895</v>
      </c>
      <c r="O1622">
        <v>1622</v>
      </c>
      <c r="P1622" t="str">
        <f t="shared" si="25"/>
        <v xml:space="preserve">[^ftn1622]: </v>
      </c>
    </row>
    <row r="1623" spans="7:16" x14ac:dyDescent="0.25">
      <c r="G1623" t="s">
        <v>894</v>
      </c>
      <c r="H1623">
        <v>1623</v>
      </c>
      <c r="I1623">
        <v>1623</v>
      </c>
      <c r="N1623" t="s">
        <v>895</v>
      </c>
      <c r="O1623">
        <v>1623</v>
      </c>
      <c r="P1623" t="str">
        <f t="shared" si="25"/>
        <v xml:space="preserve">[^ftn1623]: </v>
      </c>
    </row>
    <row r="1624" spans="7:16" x14ac:dyDescent="0.25">
      <c r="G1624" t="s">
        <v>894</v>
      </c>
      <c r="H1624">
        <v>1624</v>
      </c>
      <c r="I1624">
        <v>1624</v>
      </c>
      <c r="N1624" t="s">
        <v>895</v>
      </c>
      <c r="O1624">
        <v>1624</v>
      </c>
      <c r="P1624" t="str">
        <f t="shared" si="25"/>
        <v xml:space="preserve">[^ftn1624]: </v>
      </c>
    </row>
    <row r="1625" spans="7:16" x14ac:dyDescent="0.25">
      <c r="G1625" t="s">
        <v>894</v>
      </c>
      <c r="H1625">
        <v>1625</v>
      </c>
      <c r="I1625">
        <v>1625</v>
      </c>
      <c r="N1625" t="s">
        <v>895</v>
      </c>
      <c r="O1625">
        <v>1625</v>
      </c>
      <c r="P1625" t="str">
        <f t="shared" si="25"/>
        <v xml:space="preserve">[^ftn1625]: </v>
      </c>
    </row>
    <row r="1626" spans="7:16" x14ac:dyDescent="0.25">
      <c r="G1626" t="s">
        <v>894</v>
      </c>
      <c r="H1626">
        <v>1626</v>
      </c>
      <c r="I1626">
        <v>1626</v>
      </c>
      <c r="N1626" t="s">
        <v>895</v>
      </c>
      <c r="O1626">
        <v>1626</v>
      </c>
      <c r="P1626" t="str">
        <f t="shared" si="25"/>
        <v xml:space="preserve">[^ftn1626]: </v>
      </c>
    </row>
    <row r="1627" spans="7:16" x14ac:dyDescent="0.25">
      <c r="G1627" t="s">
        <v>894</v>
      </c>
      <c r="H1627">
        <v>1627</v>
      </c>
      <c r="I1627">
        <v>1627</v>
      </c>
      <c r="N1627" t="s">
        <v>895</v>
      </c>
      <c r="O1627">
        <v>1627</v>
      </c>
      <c r="P1627" t="str">
        <f t="shared" si="25"/>
        <v xml:space="preserve">[^ftn1627]: </v>
      </c>
    </row>
    <row r="1628" spans="7:16" x14ac:dyDescent="0.25">
      <c r="G1628" t="s">
        <v>894</v>
      </c>
      <c r="H1628">
        <v>1628</v>
      </c>
      <c r="I1628">
        <v>1628</v>
      </c>
      <c r="N1628" t="s">
        <v>895</v>
      </c>
      <c r="O1628">
        <v>1628</v>
      </c>
      <c r="P1628" t="str">
        <f t="shared" si="25"/>
        <v xml:space="preserve">[^ftn1628]: </v>
      </c>
    </row>
    <row r="1629" spans="7:16" x14ac:dyDescent="0.25">
      <c r="G1629" t="s">
        <v>894</v>
      </c>
      <c r="H1629">
        <v>1629</v>
      </c>
      <c r="I1629">
        <v>1629</v>
      </c>
      <c r="N1629" t="s">
        <v>895</v>
      </c>
      <c r="O1629">
        <v>1629</v>
      </c>
      <c r="P1629" t="str">
        <f t="shared" si="25"/>
        <v xml:space="preserve">[^ftn1629]: </v>
      </c>
    </row>
    <row r="1630" spans="7:16" x14ac:dyDescent="0.25">
      <c r="G1630" t="s">
        <v>894</v>
      </c>
      <c r="H1630">
        <v>1630</v>
      </c>
      <c r="I1630">
        <v>1630</v>
      </c>
      <c r="N1630" t="s">
        <v>895</v>
      </c>
      <c r="O1630">
        <v>1630</v>
      </c>
      <c r="P1630" t="str">
        <f t="shared" si="25"/>
        <v xml:space="preserve">[^ftn1630]: </v>
      </c>
    </row>
    <row r="1631" spans="7:16" x14ac:dyDescent="0.25">
      <c r="G1631" t="s">
        <v>894</v>
      </c>
      <c r="H1631">
        <v>1631</v>
      </c>
      <c r="I1631">
        <v>1631</v>
      </c>
      <c r="N1631" t="s">
        <v>895</v>
      </c>
      <c r="O1631">
        <v>1631</v>
      </c>
      <c r="P1631" t="str">
        <f t="shared" si="25"/>
        <v xml:space="preserve">[^ftn1631]: </v>
      </c>
    </row>
    <row r="1632" spans="7:16" x14ac:dyDescent="0.25">
      <c r="G1632" t="s">
        <v>894</v>
      </c>
      <c r="H1632">
        <v>1632</v>
      </c>
      <c r="I1632">
        <v>1632</v>
      </c>
      <c r="N1632" t="s">
        <v>895</v>
      </c>
      <c r="O1632">
        <v>1632</v>
      </c>
      <c r="P1632" t="str">
        <f t="shared" si="25"/>
        <v xml:space="preserve">[^ftn1632]: </v>
      </c>
    </row>
    <row r="1633" spans="7:16" x14ac:dyDescent="0.25">
      <c r="G1633" t="s">
        <v>894</v>
      </c>
      <c r="H1633">
        <v>1633</v>
      </c>
      <c r="I1633">
        <v>1633</v>
      </c>
      <c r="N1633" t="s">
        <v>895</v>
      </c>
      <c r="O1633">
        <v>1633</v>
      </c>
      <c r="P1633" t="str">
        <f t="shared" si="25"/>
        <v xml:space="preserve">[^ftn1633]: </v>
      </c>
    </row>
    <row r="1634" spans="7:16" x14ac:dyDescent="0.25">
      <c r="G1634" t="s">
        <v>894</v>
      </c>
      <c r="H1634">
        <v>1634</v>
      </c>
      <c r="I1634">
        <v>1634</v>
      </c>
      <c r="N1634" t="s">
        <v>895</v>
      </c>
      <c r="O1634">
        <v>1634</v>
      </c>
      <c r="P1634" t="str">
        <f t="shared" si="25"/>
        <v xml:space="preserve">[^ftn1634]: </v>
      </c>
    </row>
    <row r="1635" spans="7:16" x14ac:dyDescent="0.25">
      <c r="G1635" t="s">
        <v>894</v>
      </c>
      <c r="H1635">
        <v>1635</v>
      </c>
      <c r="I1635">
        <v>1635</v>
      </c>
      <c r="N1635" t="s">
        <v>895</v>
      </c>
      <c r="O1635">
        <v>1635</v>
      </c>
      <c r="P1635" t="str">
        <f t="shared" si="25"/>
        <v xml:space="preserve">[^ftn1635]: </v>
      </c>
    </row>
    <row r="1636" spans="7:16" x14ac:dyDescent="0.25">
      <c r="G1636" t="s">
        <v>894</v>
      </c>
      <c r="H1636">
        <v>1636</v>
      </c>
      <c r="I1636">
        <v>1636</v>
      </c>
      <c r="N1636" t="s">
        <v>895</v>
      </c>
      <c r="O1636">
        <v>1636</v>
      </c>
      <c r="P1636" t="str">
        <f t="shared" si="25"/>
        <v xml:space="preserve">[^ftn1636]: </v>
      </c>
    </row>
    <row r="1637" spans="7:16" x14ac:dyDescent="0.25">
      <c r="G1637" t="s">
        <v>894</v>
      </c>
      <c r="H1637">
        <v>1637</v>
      </c>
      <c r="I1637">
        <v>1637</v>
      </c>
      <c r="N1637" t="s">
        <v>895</v>
      </c>
      <c r="O1637">
        <v>1637</v>
      </c>
      <c r="P1637" t="str">
        <f t="shared" si="25"/>
        <v xml:space="preserve">[^ftn1637]: </v>
      </c>
    </row>
    <row r="1638" spans="7:16" x14ac:dyDescent="0.25">
      <c r="G1638" t="s">
        <v>894</v>
      </c>
      <c r="H1638">
        <v>1638</v>
      </c>
      <c r="I1638">
        <v>1638</v>
      </c>
      <c r="N1638" t="s">
        <v>895</v>
      </c>
      <c r="O1638">
        <v>1638</v>
      </c>
      <c r="P1638" t="str">
        <f t="shared" si="25"/>
        <v xml:space="preserve">[^ftn1638]: </v>
      </c>
    </row>
    <row r="1639" spans="7:16" x14ac:dyDescent="0.25">
      <c r="G1639" t="s">
        <v>894</v>
      </c>
      <c r="H1639">
        <v>1639</v>
      </c>
      <c r="I1639">
        <v>1639</v>
      </c>
      <c r="N1639" t="s">
        <v>895</v>
      </c>
      <c r="O1639">
        <v>1639</v>
      </c>
      <c r="P1639" t="str">
        <f t="shared" si="25"/>
        <v xml:space="preserve">[^ftn1639]: </v>
      </c>
    </row>
    <row r="1640" spans="7:16" x14ac:dyDescent="0.25">
      <c r="G1640" t="s">
        <v>894</v>
      </c>
      <c r="H1640">
        <v>1640</v>
      </c>
      <c r="I1640">
        <v>1640</v>
      </c>
      <c r="N1640" t="s">
        <v>895</v>
      </c>
      <c r="O1640">
        <v>1640</v>
      </c>
      <c r="P1640" t="str">
        <f t="shared" si="25"/>
        <v xml:space="preserve">[^ftn1640]: </v>
      </c>
    </row>
    <row r="1641" spans="7:16" x14ac:dyDescent="0.25">
      <c r="G1641" t="s">
        <v>894</v>
      </c>
      <c r="H1641">
        <v>1641</v>
      </c>
      <c r="I1641">
        <v>1641</v>
      </c>
      <c r="N1641" t="s">
        <v>895</v>
      </c>
      <c r="O1641">
        <v>1641</v>
      </c>
      <c r="P1641" t="str">
        <f t="shared" si="25"/>
        <v xml:space="preserve">[^ftn1641]: </v>
      </c>
    </row>
    <row r="1642" spans="7:16" x14ac:dyDescent="0.25">
      <c r="G1642" t="s">
        <v>894</v>
      </c>
      <c r="H1642">
        <v>1642</v>
      </c>
      <c r="I1642">
        <v>1642</v>
      </c>
      <c r="N1642" t="s">
        <v>895</v>
      </c>
      <c r="O1642">
        <v>1642</v>
      </c>
      <c r="P1642" t="str">
        <f t="shared" si="25"/>
        <v xml:space="preserve">[^ftn1642]: </v>
      </c>
    </row>
    <row r="1643" spans="7:16" x14ac:dyDescent="0.25">
      <c r="G1643" t="s">
        <v>894</v>
      </c>
      <c r="H1643">
        <v>1643</v>
      </c>
      <c r="I1643">
        <v>1643</v>
      </c>
      <c r="N1643" t="s">
        <v>895</v>
      </c>
      <c r="O1643">
        <v>1643</v>
      </c>
      <c r="P1643" t="str">
        <f t="shared" si="25"/>
        <v xml:space="preserve">[^ftn1643]: </v>
      </c>
    </row>
    <row r="1644" spans="7:16" x14ac:dyDescent="0.25">
      <c r="G1644" t="s">
        <v>894</v>
      </c>
      <c r="H1644">
        <v>1644</v>
      </c>
      <c r="I1644">
        <v>1644</v>
      </c>
      <c r="N1644" t="s">
        <v>895</v>
      </c>
      <c r="O1644">
        <v>1644</v>
      </c>
      <c r="P1644" t="str">
        <f t="shared" si="25"/>
        <v xml:space="preserve">[^ftn1644]: </v>
      </c>
    </row>
    <row r="1645" spans="7:16" x14ac:dyDescent="0.25">
      <c r="G1645" t="s">
        <v>894</v>
      </c>
      <c r="H1645">
        <v>1645</v>
      </c>
      <c r="I1645">
        <v>1645</v>
      </c>
      <c r="N1645" t="s">
        <v>895</v>
      </c>
      <c r="O1645">
        <v>1645</v>
      </c>
      <c r="P1645" t="str">
        <f t="shared" si="25"/>
        <v xml:space="preserve">[^ftn1645]: </v>
      </c>
    </row>
    <row r="1646" spans="7:16" x14ac:dyDescent="0.25">
      <c r="G1646" t="s">
        <v>894</v>
      </c>
      <c r="H1646">
        <v>1646</v>
      </c>
      <c r="I1646">
        <v>1646</v>
      </c>
      <c r="N1646" t="s">
        <v>895</v>
      </c>
      <c r="O1646">
        <v>1646</v>
      </c>
      <c r="P1646" t="str">
        <f t="shared" si="25"/>
        <v xml:space="preserve">[^ftn1646]: </v>
      </c>
    </row>
    <row r="1647" spans="7:16" x14ac:dyDescent="0.25">
      <c r="G1647" t="s">
        <v>894</v>
      </c>
      <c r="H1647">
        <v>1647</v>
      </c>
      <c r="I1647">
        <v>1647</v>
      </c>
      <c r="N1647" t="s">
        <v>895</v>
      </c>
      <c r="O1647">
        <v>1647</v>
      </c>
      <c r="P1647" t="str">
        <f t="shared" si="25"/>
        <v xml:space="preserve">[^ftn1647]: </v>
      </c>
    </row>
    <row r="1648" spans="7:16" x14ac:dyDescent="0.25">
      <c r="G1648" t="s">
        <v>894</v>
      </c>
      <c r="H1648">
        <v>1648</v>
      </c>
      <c r="I1648">
        <v>1648</v>
      </c>
      <c r="N1648" t="s">
        <v>895</v>
      </c>
      <c r="O1648">
        <v>1648</v>
      </c>
      <c r="P1648" t="str">
        <f t="shared" si="25"/>
        <v xml:space="preserve">[^ftn1648]: </v>
      </c>
    </row>
    <row r="1649" spans="7:16" x14ac:dyDescent="0.25">
      <c r="G1649" t="s">
        <v>894</v>
      </c>
      <c r="H1649">
        <v>1649</v>
      </c>
      <c r="I1649">
        <v>1649</v>
      </c>
      <c r="N1649" t="s">
        <v>895</v>
      </c>
      <c r="O1649">
        <v>1649</v>
      </c>
      <c r="P1649" t="str">
        <f t="shared" si="25"/>
        <v xml:space="preserve">[^ftn1649]: </v>
      </c>
    </row>
    <row r="1650" spans="7:16" x14ac:dyDescent="0.25">
      <c r="G1650" t="s">
        <v>894</v>
      </c>
      <c r="H1650">
        <v>1650</v>
      </c>
      <c r="I1650">
        <v>1650</v>
      </c>
      <c r="N1650" t="s">
        <v>895</v>
      </c>
      <c r="O1650">
        <v>1650</v>
      </c>
      <c r="P1650" t="str">
        <f t="shared" si="25"/>
        <v xml:space="preserve">[^ftn1650]: </v>
      </c>
    </row>
    <row r="1651" spans="7:16" x14ac:dyDescent="0.25">
      <c r="G1651" t="s">
        <v>894</v>
      </c>
      <c r="H1651">
        <v>1651</v>
      </c>
      <c r="I1651">
        <v>1651</v>
      </c>
      <c r="N1651" t="s">
        <v>895</v>
      </c>
      <c r="O1651">
        <v>1651</v>
      </c>
      <c r="P1651" t="str">
        <f t="shared" si="25"/>
        <v xml:space="preserve">[^ftn1651]: </v>
      </c>
    </row>
    <row r="1652" spans="7:16" x14ac:dyDescent="0.25">
      <c r="G1652" t="s">
        <v>894</v>
      </c>
      <c r="H1652">
        <v>1652</v>
      </c>
      <c r="I1652">
        <v>1652</v>
      </c>
      <c r="N1652" t="s">
        <v>895</v>
      </c>
      <c r="O1652">
        <v>1652</v>
      </c>
      <c r="P1652" t="str">
        <f t="shared" si="25"/>
        <v xml:space="preserve">[^ftn1652]: </v>
      </c>
    </row>
    <row r="1653" spans="7:16" x14ac:dyDescent="0.25">
      <c r="G1653" t="s">
        <v>894</v>
      </c>
      <c r="H1653">
        <v>1653</v>
      </c>
      <c r="I1653">
        <v>1653</v>
      </c>
      <c r="N1653" t="s">
        <v>895</v>
      </c>
      <c r="O1653">
        <v>1653</v>
      </c>
      <c r="P1653" t="str">
        <f t="shared" si="25"/>
        <v xml:space="preserve">[^ftn1653]: </v>
      </c>
    </row>
    <row r="1654" spans="7:16" x14ac:dyDescent="0.25">
      <c r="G1654" t="s">
        <v>894</v>
      </c>
      <c r="H1654">
        <v>1654</v>
      </c>
      <c r="I1654">
        <v>1654</v>
      </c>
      <c r="N1654" t="s">
        <v>895</v>
      </c>
      <c r="O1654">
        <v>1654</v>
      </c>
      <c r="P1654" t="str">
        <f t="shared" si="25"/>
        <v xml:space="preserve">[^ftn1654]: </v>
      </c>
    </row>
    <row r="1655" spans="7:16" x14ac:dyDescent="0.25">
      <c r="G1655" t="s">
        <v>894</v>
      </c>
      <c r="H1655">
        <v>1655</v>
      </c>
      <c r="I1655">
        <v>1655</v>
      </c>
      <c r="N1655" t="s">
        <v>895</v>
      </c>
      <c r="O1655">
        <v>1655</v>
      </c>
      <c r="P1655" t="str">
        <f t="shared" si="25"/>
        <v xml:space="preserve">[^ftn1655]: </v>
      </c>
    </row>
    <row r="1656" spans="7:16" x14ac:dyDescent="0.25">
      <c r="G1656" t="s">
        <v>894</v>
      </c>
      <c r="H1656">
        <v>1656</v>
      </c>
      <c r="I1656">
        <v>1656</v>
      </c>
      <c r="N1656" t="s">
        <v>895</v>
      </c>
      <c r="O1656">
        <v>1656</v>
      </c>
      <c r="P1656" t="str">
        <f t="shared" si="25"/>
        <v xml:space="preserve">[^ftn1656]: </v>
      </c>
    </row>
    <row r="1657" spans="7:16" x14ac:dyDescent="0.25">
      <c r="G1657" t="s">
        <v>894</v>
      </c>
      <c r="H1657">
        <v>1657</v>
      </c>
      <c r="I1657">
        <v>1657</v>
      </c>
      <c r="N1657" t="s">
        <v>895</v>
      </c>
      <c r="O1657">
        <v>1657</v>
      </c>
      <c r="P1657" t="str">
        <f t="shared" si="25"/>
        <v xml:space="preserve">[^ftn1657]: </v>
      </c>
    </row>
    <row r="1658" spans="7:16" x14ac:dyDescent="0.25">
      <c r="G1658" t="s">
        <v>894</v>
      </c>
      <c r="H1658">
        <v>1658</v>
      </c>
      <c r="I1658">
        <v>1658</v>
      </c>
      <c r="N1658" t="s">
        <v>895</v>
      </c>
      <c r="O1658">
        <v>1658</v>
      </c>
      <c r="P1658" t="str">
        <f t="shared" si="25"/>
        <v xml:space="preserve">[^ftn1658]: </v>
      </c>
    </row>
    <row r="1659" spans="7:16" x14ac:dyDescent="0.25">
      <c r="G1659" t="s">
        <v>894</v>
      </c>
      <c r="H1659">
        <v>1659</v>
      </c>
      <c r="I1659">
        <v>1659</v>
      </c>
      <c r="N1659" t="s">
        <v>895</v>
      </c>
      <c r="O1659">
        <v>1659</v>
      </c>
      <c r="P1659" t="str">
        <f t="shared" si="25"/>
        <v xml:space="preserve">[^ftn1659]: </v>
      </c>
    </row>
    <row r="1660" spans="7:16" x14ac:dyDescent="0.25">
      <c r="G1660" t="s">
        <v>894</v>
      </c>
      <c r="H1660">
        <v>1660</v>
      </c>
      <c r="I1660">
        <v>1660</v>
      </c>
      <c r="N1660" t="s">
        <v>895</v>
      </c>
      <c r="O1660">
        <v>1660</v>
      </c>
      <c r="P1660" t="str">
        <f t="shared" si="25"/>
        <v xml:space="preserve">[^ftn1660]: </v>
      </c>
    </row>
    <row r="1661" spans="7:16" x14ac:dyDescent="0.25">
      <c r="G1661" t="s">
        <v>894</v>
      </c>
      <c r="H1661">
        <v>1661</v>
      </c>
      <c r="I1661">
        <v>1661</v>
      </c>
      <c r="N1661" t="s">
        <v>895</v>
      </c>
      <c r="O1661">
        <v>1661</v>
      </c>
      <c r="P1661" t="str">
        <f t="shared" si="25"/>
        <v xml:space="preserve">[^ftn1661]: </v>
      </c>
    </row>
    <row r="1662" spans="7:16" x14ac:dyDescent="0.25">
      <c r="G1662" t="s">
        <v>894</v>
      </c>
      <c r="H1662">
        <v>1662</v>
      </c>
      <c r="I1662">
        <v>1662</v>
      </c>
      <c r="N1662" t="s">
        <v>895</v>
      </c>
      <c r="O1662">
        <v>1662</v>
      </c>
      <c r="P1662" t="str">
        <f t="shared" si="25"/>
        <v xml:space="preserve">[^ftn1662]: </v>
      </c>
    </row>
    <row r="1663" spans="7:16" x14ac:dyDescent="0.25">
      <c r="G1663" t="s">
        <v>894</v>
      </c>
      <c r="H1663">
        <v>1663</v>
      </c>
      <c r="I1663">
        <v>1663</v>
      </c>
      <c r="N1663" t="s">
        <v>895</v>
      </c>
      <c r="O1663">
        <v>1663</v>
      </c>
      <c r="P1663" t="str">
        <f t="shared" si="25"/>
        <v xml:space="preserve">[^ftn1663]: </v>
      </c>
    </row>
    <row r="1664" spans="7:16" x14ac:dyDescent="0.25">
      <c r="G1664" t="s">
        <v>894</v>
      </c>
      <c r="H1664">
        <v>1664</v>
      </c>
      <c r="I1664">
        <v>1664</v>
      </c>
      <c r="N1664" t="s">
        <v>895</v>
      </c>
      <c r="O1664">
        <v>1664</v>
      </c>
      <c r="P1664" t="str">
        <f t="shared" si="25"/>
        <v xml:space="preserve">[^ftn1664]: </v>
      </c>
    </row>
    <row r="1665" spans="7:16" x14ac:dyDescent="0.25">
      <c r="G1665" t="s">
        <v>894</v>
      </c>
      <c r="H1665">
        <v>1665</v>
      </c>
      <c r="I1665">
        <v>1665</v>
      </c>
      <c r="N1665" t="s">
        <v>895</v>
      </c>
      <c r="O1665">
        <v>1665</v>
      </c>
      <c r="P1665" t="str">
        <f t="shared" si="25"/>
        <v xml:space="preserve">[^ftn1665]: </v>
      </c>
    </row>
    <row r="1666" spans="7:16" x14ac:dyDescent="0.25">
      <c r="G1666" t="s">
        <v>894</v>
      </c>
      <c r="H1666">
        <v>1666</v>
      </c>
      <c r="I1666">
        <v>1666</v>
      </c>
      <c r="N1666" t="s">
        <v>895</v>
      </c>
      <c r="O1666">
        <v>1666</v>
      </c>
      <c r="P1666" t="str">
        <f t="shared" ref="P1666:P1729" si="26">_xlfn.CONCAT("[^ftn",O1666,"]: ",)</f>
        <v xml:space="preserve">[^ftn1666]: </v>
      </c>
    </row>
    <row r="1667" spans="7:16" x14ac:dyDescent="0.25">
      <c r="G1667" t="s">
        <v>894</v>
      </c>
      <c r="H1667">
        <v>1667</v>
      </c>
      <c r="I1667">
        <v>1667</v>
      </c>
      <c r="N1667" t="s">
        <v>895</v>
      </c>
      <c r="O1667">
        <v>1667</v>
      </c>
      <c r="P1667" t="str">
        <f t="shared" si="26"/>
        <v xml:space="preserve">[^ftn1667]: </v>
      </c>
    </row>
    <row r="1668" spans="7:16" x14ac:dyDescent="0.25">
      <c r="G1668" t="s">
        <v>894</v>
      </c>
      <c r="H1668">
        <v>1668</v>
      </c>
      <c r="I1668">
        <v>1668</v>
      </c>
      <c r="N1668" t="s">
        <v>895</v>
      </c>
      <c r="O1668">
        <v>1668</v>
      </c>
      <c r="P1668" t="str">
        <f t="shared" si="26"/>
        <v xml:space="preserve">[^ftn1668]: </v>
      </c>
    </row>
    <row r="1669" spans="7:16" x14ac:dyDescent="0.25">
      <c r="G1669" t="s">
        <v>894</v>
      </c>
      <c r="H1669">
        <v>1669</v>
      </c>
      <c r="I1669">
        <v>1669</v>
      </c>
      <c r="N1669" t="s">
        <v>895</v>
      </c>
      <c r="O1669">
        <v>1669</v>
      </c>
      <c r="P1669" t="str">
        <f t="shared" si="26"/>
        <v xml:space="preserve">[^ftn1669]: </v>
      </c>
    </row>
    <row r="1670" spans="7:16" x14ac:dyDescent="0.25">
      <c r="G1670" t="s">
        <v>894</v>
      </c>
      <c r="H1670">
        <v>1670</v>
      </c>
      <c r="I1670">
        <v>1670</v>
      </c>
      <c r="N1670" t="s">
        <v>895</v>
      </c>
      <c r="O1670">
        <v>1670</v>
      </c>
      <c r="P1670" t="str">
        <f t="shared" si="26"/>
        <v xml:space="preserve">[^ftn1670]: </v>
      </c>
    </row>
    <row r="1671" spans="7:16" x14ac:dyDescent="0.25">
      <c r="G1671" t="s">
        <v>894</v>
      </c>
      <c r="H1671">
        <v>1671</v>
      </c>
      <c r="I1671">
        <v>1671</v>
      </c>
      <c r="N1671" t="s">
        <v>895</v>
      </c>
      <c r="O1671">
        <v>1671</v>
      </c>
      <c r="P1671" t="str">
        <f t="shared" si="26"/>
        <v xml:space="preserve">[^ftn1671]: </v>
      </c>
    </row>
    <row r="1672" spans="7:16" x14ac:dyDescent="0.25">
      <c r="G1672" t="s">
        <v>894</v>
      </c>
      <c r="H1672">
        <v>1672</v>
      </c>
      <c r="I1672">
        <v>1672</v>
      </c>
      <c r="N1672" t="s">
        <v>895</v>
      </c>
      <c r="O1672">
        <v>1672</v>
      </c>
      <c r="P1672" t="str">
        <f t="shared" si="26"/>
        <v xml:space="preserve">[^ftn1672]: </v>
      </c>
    </row>
    <row r="1673" spans="7:16" x14ac:dyDescent="0.25">
      <c r="G1673" t="s">
        <v>894</v>
      </c>
      <c r="H1673">
        <v>1673</v>
      </c>
      <c r="I1673">
        <v>1673</v>
      </c>
      <c r="N1673" t="s">
        <v>895</v>
      </c>
      <c r="O1673">
        <v>1673</v>
      </c>
      <c r="P1673" t="str">
        <f t="shared" si="26"/>
        <v xml:space="preserve">[^ftn1673]: </v>
      </c>
    </row>
    <row r="1674" spans="7:16" x14ac:dyDescent="0.25">
      <c r="G1674" t="s">
        <v>894</v>
      </c>
      <c r="H1674">
        <v>1674</v>
      </c>
      <c r="I1674">
        <v>1674</v>
      </c>
      <c r="N1674" t="s">
        <v>895</v>
      </c>
      <c r="O1674">
        <v>1674</v>
      </c>
      <c r="P1674" t="str">
        <f t="shared" si="26"/>
        <v xml:space="preserve">[^ftn1674]: </v>
      </c>
    </row>
    <row r="1675" spans="7:16" x14ac:dyDescent="0.25">
      <c r="G1675" t="s">
        <v>894</v>
      </c>
      <c r="H1675">
        <v>1675</v>
      </c>
      <c r="I1675">
        <v>1675</v>
      </c>
      <c r="N1675" t="s">
        <v>895</v>
      </c>
      <c r="O1675">
        <v>1675</v>
      </c>
      <c r="P1675" t="str">
        <f t="shared" si="26"/>
        <v xml:space="preserve">[^ftn1675]: </v>
      </c>
    </row>
    <row r="1676" spans="7:16" x14ac:dyDescent="0.25">
      <c r="G1676" t="s">
        <v>894</v>
      </c>
      <c r="H1676">
        <v>1676</v>
      </c>
      <c r="I1676">
        <v>1676</v>
      </c>
      <c r="N1676" t="s">
        <v>895</v>
      </c>
      <c r="O1676">
        <v>1676</v>
      </c>
      <c r="P1676" t="str">
        <f t="shared" si="26"/>
        <v xml:space="preserve">[^ftn1676]: </v>
      </c>
    </row>
    <row r="1677" spans="7:16" x14ac:dyDescent="0.25">
      <c r="G1677" t="s">
        <v>894</v>
      </c>
      <c r="H1677">
        <v>1677</v>
      </c>
      <c r="I1677">
        <v>1677</v>
      </c>
      <c r="N1677" t="s">
        <v>895</v>
      </c>
      <c r="O1677">
        <v>1677</v>
      </c>
      <c r="P1677" t="str">
        <f t="shared" si="26"/>
        <v xml:space="preserve">[^ftn1677]: </v>
      </c>
    </row>
    <row r="1678" spans="7:16" x14ac:dyDescent="0.25">
      <c r="G1678" t="s">
        <v>894</v>
      </c>
      <c r="H1678">
        <v>1678</v>
      </c>
      <c r="I1678">
        <v>1678</v>
      </c>
      <c r="N1678" t="s">
        <v>895</v>
      </c>
      <c r="O1678">
        <v>1678</v>
      </c>
      <c r="P1678" t="str">
        <f t="shared" si="26"/>
        <v xml:space="preserve">[^ftn1678]: </v>
      </c>
    </row>
    <row r="1679" spans="7:16" x14ac:dyDescent="0.25">
      <c r="G1679" t="s">
        <v>894</v>
      </c>
      <c r="H1679">
        <v>1679</v>
      </c>
      <c r="I1679">
        <v>1679</v>
      </c>
      <c r="N1679" t="s">
        <v>895</v>
      </c>
      <c r="O1679">
        <v>1679</v>
      </c>
      <c r="P1679" t="str">
        <f t="shared" si="26"/>
        <v xml:space="preserve">[^ftn1679]: </v>
      </c>
    </row>
    <row r="1680" spans="7:16" x14ac:dyDescent="0.25">
      <c r="G1680" t="s">
        <v>894</v>
      </c>
      <c r="H1680">
        <v>1680</v>
      </c>
      <c r="I1680">
        <v>1680</v>
      </c>
      <c r="N1680" t="s">
        <v>895</v>
      </c>
      <c r="O1680">
        <v>1680</v>
      </c>
      <c r="P1680" t="str">
        <f t="shared" si="26"/>
        <v xml:space="preserve">[^ftn1680]: </v>
      </c>
    </row>
    <row r="1681" spans="7:16" x14ac:dyDescent="0.25">
      <c r="G1681" t="s">
        <v>894</v>
      </c>
      <c r="H1681">
        <v>1681</v>
      </c>
      <c r="I1681">
        <v>1681</v>
      </c>
      <c r="N1681" t="s">
        <v>895</v>
      </c>
      <c r="O1681">
        <v>1681</v>
      </c>
      <c r="P1681" t="str">
        <f t="shared" si="26"/>
        <v xml:space="preserve">[^ftn1681]: </v>
      </c>
    </row>
    <row r="1682" spans="7:16" x14ac:dyDescent="0.25">
      <c r="G1682" t="s">
        <v>894</v>
      </c>
      <c r="H1682">
        <v>1682</v>
      </c>
      <c r="I1682">
        <v>1682</v>
      </c>
      <c r="N1682" t="s">
        <v>895</v>
      </c>
      <c r="O1682">
        <v>1682</v>
      </c>
      <c r="P1682" t="str">
        <f t="shared" si="26"/>
        <v xml:space="preserve">[^ftn1682]: </v>
      </c>
    </row>
    <row r="1683" spans="7:16" x14ac:dyDescent="0.25">
      <c r="G1683" t="s">
        <v>894</v>
      </c>
      <c r="H1683">
        <v>1683</v>
      </c>
      <c r="I1683">
        <v>1683</v>
      </c>
      <c r="N1683" t="s">
        <v>895</v>
      </c>
      <c r="O1683">
        <v>1683</v>
      </c>
      <c r="P1683" t="str">
        <f t="shared" si="26"/>
        <v xml:space="preserve">[^ftn1683]: </v>
      </c>
    </row>
    <row r="1684" spans="7:16" x14ac:dyDescent="0.25">
      <c r="G1684" t="s">
        <v>894</v>
      </c>
      <c r="H1684">
        <v>1684</v>
      </c>
      <c r="I1684">
        <v>1684</v>
      </c>
      <c r="N1684" t="s">
        <v>895</v>
      </c>
      <c r="O1684">
        <v>1684</v>
      </c>
      <c r="P1684" t="str">
        <f t="shared" si="26"/>
        <v xml:space="preserve">[^ftn1684]: </v>
      </c>
    </row>
    <row r="1685" spans="7:16" x14ac:dyDescent="0.25">
      <c r="G1685" t="s">
        <v>894</v>
      </c>
      <c r="H1685">
        <v>1685</v>
      </c>
      <c r="I1685">
        <v>1685</v>
      </c>
      <c r="N1685" t="s">
        <v>895</v>
      </c>
      <c r="O1685">
        <v>1685</v>
      </c>
      <c r="P1685" t="str">
        <f t="shared" si="26"/>
        <v xml:space="preserve">[^ftn1685]: </v>
      </c>
    </row>
    <row r="1686" spans="7:16" x14ac:dyDescent="0.25">
      <c r="G1686" t="s">
        <v>894</v>
      </c>
      <c r="H1686">
        <v>1686</v>
      </c>
      <c r="I1686">
        <v>1686</v>
      </c>
      <c r="N1686" t="s">
        <v>895</v>
      </c>
      <c r="O1686">
        <v>1686</v>
      </c>
      <c r="P1686" t="str">
        <f t="shared" si="26"/>
        <v xml:space="preserve">[^ftn1686]: </v>
      </c>
    </row>
    <row r="1687" spans="7:16" x14ac:dyDescent="0.25">
      <c r="G1687" t="s">
        <v>894</v>
      </c>
      <c r="H1687">
        <v>1687</v>
      </c>
      <c r="I1687">
        <v>1687</v>
      </c>
      <c r="N1687" t="s">
        <v>895</v>
      </c>
      <c r="O1687">
        <v>1687</v>
      </c>
      <c r="P1687" t="str">
        <f t="shared" si="26"/>
        <v xml:space="preserve">[^ftn1687]: </v>
      </c>
    </row>
    <row r="1688" spans="7:16" x14ac:dyDescent="0.25">
      <c r="G1688" t="s">
        <v>894</v>
      </c>
      <c r="H1688">
        <v>1688</v>
      </c>
      <c r="I1688">
        <v>1688</v>
      </c>
      <c r="N1688" t="s">
        <v>895</v>
      </c>
      <c r="O1688">
        <v>1688</v>
      </c>
      <c r="P1688" t="str">
        <f t="shared" si="26"/>
        <v xml:space="preserve">[^ftn1688]: </v>
      </c>
    </row>
    <row r="1689" spans="7:16" x14ac:dyDescent="0.25">
      <c r="G1689" t="s">
        <v>894</v>
      </c>
      <c r="H1689">
        <v>1689</v>
      </c>
      <c r="I1689">
        <v>1689</v>
      </c>
      <c r="N1689" t="s">
        <v>895</v>
      </c>
      <c r="O1689">
        <v>1689</v>
      </c>
      <c r="P1689" t="str">
        <f t="shared" si="26"/>
        <v xml:space="preserve">[^ftn1689]: </v>
      </c>
    </row>
    <row r="1690" spans="7:16" x14ac:dyDescent="0.25">
      <c r="G1690" t="s">
        <v>894</v>
      </c>
      <c r="H1690">
        <v>1690</v>
      </c>
      <c r="I1690">
        <v>1690</v>
      </c>
      <c r="N1690" t="s">
        <v>895</v>
      </c>
      <c r="O1690">
        <v>1690</v>
      </c>
      <c r="P1690" t="str">
        <f t="shared" si="26"/>
        <v xml:space="preserve">[^ftn1690]: </v>
      </c>
    </row>
    <row r="1691" spans="7:16" x14ac:dyDescent="0.25">
      <c r="G1691" t="s">
        <v>894</v>
      </c>
      <c r="H1691">
        <v>1691</v>
      </c>
      <c r="I1691">
        <v>1691</v>
      </c>
      <c r="N1691" t="s">
        <v>895</v>
      </c>
      <c r="O1691">
        <v>1691</v>
      </c>
      <c r="P1691" t="str">
        <f t="shared" si="26"/>
        <v xml:space="preserve">[^ftn1691]: </v>
      </c>
    </row>
    <row r="1692" spans="7:16" x14ac:dyDescent="0.25">
      <c r="G1692" t="s">
        <v>894</v>
      </c>
      <c r="H1692">
        <v>1692</v>
      </c>
      <c r="I1692">
        <v>1692</v>
      </c>
      <c r="N1692" t="s">
        <v>895</v>
      </c>
      <c r="O1692">
        <v>1692</v>
      </c>
      <c r="P1692" t="str">
        <f t="shared" si="26"/>
        <v xml:space="preserve">[^ftn1692]: </v>
      </c>
    </row>
    <row r="1693" spans="7:16" x14ac:dyDescent="0.25">
      <c r="G1693" t="s">
        <v>894</v>
      </c>
      <c r="H1693">
        <v>1693</v>
      </c>
      <c r="I1693">
        <v>1693</v>
      </c>
      <c r="N1693" t="s">
        <v>895</v>
      </c>
      <c r="O1693">
        <v>1693</v>
      </c>
      <c r="P1693" t="str">
        <f t="shared" si="26"/>
        <v xml:space="preserve">[^ftn1693]: </v>
      </c>
    </row>
    <row r="1694" spans="7:16" x14ac:dyDescent="0.25">
      <c r="G1694" t="s">
        <v>894</v>
      </c>
      <c r="H1694">
        <v>1694</v>
      </c>
      <c r="I1694">
        <v>1694</v>
      </c>
      <c r="N1694" t="s">
        <v>895</v>
      </c>
      <c r="O1694">
        <v>1694</v>
      </c>
      <c r="P1694" t="str">
        <f t="shared" si="26"/>
        <v xml:space="preserve">[^ftn1694]: </v>
      </c>
    </row>
    <row r="1695" spans="7:16" x14ac:dyDescent="0.25">
      <c r="G1695" t="s">
        <v>894</v>
      </c>
      <c r="H1695">
        <v>1695</v>
      </c>
      <c r="I1695">
        <v>1695</v>
      </c>
      <c r="N1695" t="s">
        <v>895</v>
      </c>
      <c r="O1695">
        <v>1695</v>
      </c>
      <c r="P1695" t="str">
        <f t="shared" si="26"/>
        <v xml:space="preserve">[^ftn1695]: </v>
      </c>
    </row>
    <row r="1696" spans="7:16" x14ac:dyDescent="0.25">
      <c r="G1696" t="s">
        <v>894</v>
      </c>
      <c r="H1696">
        <v>1696</v>
      </c>
      <c r="I1696">
        <v>1696</v>
      </c>
      <c r="N1696" t="s">
        <v>895</v>
      </c>
      <c r="O1696">
        <v>1696</v>
      </c>
      <c r="P1696" t="str">
        <f t="shared" si="26"/>
        <v xml:space="preserve">[^ftn1696]: </v>
      </c>
    </row>
    <row r="1697" spans="7:16" x14ac:dyDescent="0.25">
      <c r="G1697" t="s">
        <v>894</v>
      </c>
      <c r="H1697">
        <v>1697</v>
      </c>
      <c r="I1697">
        <v>1697</v>
      </c>
      <c r="N1697" t="s">
        <v>895</v>
      </c>
      <c r="O1697">
        <v>1697</v>
      </c>
      <c r="P1697" t="str">
        <f t="shared" si="26"/>
        <v xml:space="preserve">[^ftn1697]: </v>
      </c>
    </row>
    <row r="1698" spans="7:16" x14ac:dyDescent="0.25">
      <c r="G1698" t="s">
        <v>894</v>
      </c>
      <c r="H1698">
        <v>1698</v>
      </c>
      <c r="I1698">
        <v>1698</v>
      </c>
      <c r="N1698" t="s">
        <v>895</v>
      </c>
      <c r="O1698">
        <v>1698</v>
      </c>
      <c r="P1698" t="str">
        <f t="shared" si="26"/>
        <v xml:space="preserve">[^ftn1698]: </v>
      </c>
    </row>
    <row r="1699" spans="7:16" x14ac:dyDescent="0.25">
      <c r="G1699" t="s">
        <v>894</v>
      </c>
      <c r="H1699">
        <v>1699</v>
      </c>
      <c r="I1699">
        <v>1699</v>
      </c>
      <c r="N1699" t="s">
        <v>895</v>
      </c>
      <c r="O1699">
        <v>1699</v>
      </c>
      <c r="P1699" t="str">
        <f t="shared" si="26"/>
        <v xml:space="preserve">[^ftn1699]: </v>
      </c>
    </row>
    <row r="1700" spans="7:16" x14ac:dyDescent="0.25">
      <c r="G1700" t="s">
        <v>894</v>
      </c>
      <c r="H1700">
        <v>1700</v>
      </c>
      <c r="I1700">
        <v>1700</v>
      </c>
      <c r="N1700" t="s">
        <v>895</v>
      </c>
      <c r="O1700">
        <v>1700</v>
      </c>
      <c r="P1700" t="str">
        <f t="shared" si="26"/>
        <v xml:space="preserve">[^ftn1700]: </v>
      </c>
    </row>
    <row r="1701" spans="7:16" x14ac:dyDescent="0.25">
      <c r="G1701" t="s">
        <v>894</v>
      </c>
      <c r="H1701">
        <v>1701</v>
      </c>
      <c r="I1701">
        <v>1701</v>
      </c>
      <c r="N1701" t="s">
        <v>895</v>
      </c>
      <c r="O1701">
        <v>1701</v>
      </c>
      <c r="P1701" t="str">
        <f t="shared" si="26"/>
        <v xml:space="preserve">[^ftn1701]: </v>
      </c>
    </row>
    <row r="1702" spans="7:16" x14ac:dyDescent="0.25">
      <c r="G1702" t="s">
        <v>894</v>
      </c>
      <c r="H1702">
        <v>1702</v>
      </c>
      <c r="I1702">
        <v>1702</v>
      </c>
      <c r="N1702" t="s">
        <v>895</v>
      </c>
      <c r="O1702">
        <v>1702</v>
      </c>
      <c r="P1702" t="str">
        <f t="shared" si="26"/>
        <v xml:space="preserve">[^ftn1702]: </v>
      </c>
    </row>
    <row r="1703" spans="7:16" x14ac:dyDescent="0.25">
      <c r="G1703" t="s">
        <v>894</v>
      </c>
      <c r="H1703">
        <v>1703</v>
      </c>
      <c r="I1703">
        <v>1703</v>
      </c>
      <c r="N1703" t="s">
        <v>895</v>
      </c>
      <c r="O1703">
        <v>1703</v>
      </c>
      <c r="P1703" t="str">
        <f t="shared" si="26"/>
        <v xml:space="preserve">[^ftn1703]: </v>
      </c>
    </row>
    <row r="1704" spans="7:16" x14ac:dyDescent="0.25">
      <c r="G1704" t="s">
        <v>894</v>
      </c>
      <c r="H1704">
        <v>1704</v>
      </c>
      <c r="I1704">
        <v>1704</v>
      </c>
      <c r="N1704" t="s">
        <v>895</v>
      </c>
      <c r="O1704">
        <v>1704</v>
      </c>
      <c r="P1704" t="str">
        <f t="shared" si="26"/>
        <v xml:space="preserve">[^ftn1704]: </v>
      </c>
    </row>
    <row r="1705" spans="7:16" x14ac:dyDescent="0.25">
      <c r="G1705" t="s">
        <v>894</v>
      </c>
      <c r="H1705">
        <v>1705</v>
      </c>
      <c r="I1705">
        <v>1705</v>
      </c>
      <c r="N1705" t="s">
        <v>895</v>
      </c>
      <c r="O1705">
        <v>1705</v>
      </c>
      <c r="P1705" t="str">
        <f t="shared" si="26"/>
        <v xml:space="preserve">[^ftn1705]: </v>
      </c>
    </row>
    <row r="1706" spans="7:16" x14ac:dyDescent="0.25">
      <c r="G1706" t="s">
        <v>894</v>
      </c>
      <c r="H1706">
        <v>1706</v>
      </c>
      <c r="I1706">
        <v>1706</v>
      </c>
      <c r="N1706" t="s">
        <v>895</v>
      </c>
      <c r="O1706">
        <v>1706</v>
      </c>
      <c r="P1706" t="str">
        <f t="shared" si="26"/>
        <v xml:space="preserve">[^ftn1706]: </v>
      </c>
    </row>
    <row r="1707" spans="7:16" x14ac:dyDescent="0.25">
      <c r="G1707" t="s">
        <v>894</v>
      </c>
      <c r="H1707">
        <v>1707</v>
      </c>
      <c r="I1707">
        <v>1707</v>
      </c>
      <c r="N1707" t="s">
        <v>895</v>
      </c>
      <c r="O1707">
        <v>1707</v>
      </c>
      <c r="P1707" t="str">
        <f t="shared" si="26"/>
        <v xml:space="preserve">[^ftn1707]: </v>
      </c>
    </row>
    <row r="1708" spans="7:16" x14ac:dyDescent="0.25">
      <c r="G1708" t="s">
        <v>894</v>
      </c>
      <c r="H1708">
        <v>1708</v>
      </c>
      <c r="I1708">
        <v>1708</v>
      </c>
      <c r="N1708" t="s">
        <v>895</v>
      </c>
      <c r="O1708">
        <v>1708</v>
      </c>
      <c r="P1708" t="str">
        <f t="shared" si="26"/>
        <v xml:space="preserve">[^ftn1708]: </v>
      </c>
    </row>
    <row r="1709" spans="7:16" x14ac:dyDescent="0.25">
      <c r="G1709" t="s">
        <v>894</v>
      </c>
      <c r="H1709">
        <v>1709</v>
      </c>
      <c r="I1709">
        <v>1709</v>
      </c>
      <c r="N1709" t="s">
        <v>895</v>
      </c>
      <c r="O1709">
        <v>1709</v>
      </c>
      <c r="P1709" t="str">
        <f t="shared" si="26"/>
        <v xml:space="preserve">[^ftn1709]: </v>
      </c>
    </row>
    <row r="1710" spans="7:16" x14ac:dyDescent="0.25">
      <c r="G1710" t="s">
        <v>894</v>
      </c>
      <c r="H1710">
        <v>1710</v>
      </c>
      <c r="I1710">
        <v>1710</v>
      </c>
      <c r="N1710" t="s">
        <v>895</v>
      </c>
      <c r="O1710">
        <v>1710</v>
      </c>
      <c r="P1710" t="str">
        <f t="shared" si="26"/>
        <v xml:space="preserve">[^ftn1710]: </v>
      </c>
    </row>
    <row r="1711" spans="7:16" x14ac:dyDescent="0.25">
      <c r="G1711" t="s">
        <v>894</v>
      </c>
      <c r="H1711">
        <v>1711</v>
      </c>
      <c r="I1711">
        <v>1711</v>
      </c>
      <c r="N1711" t="s">
        <v>895</v>
      </c>
      <c r="O1711">
        <v>1711</v>
      </c>
      <c r="P1711" t="str">
        <f t="shared" si="26"/>
        <v xml:space="preserve">[^ftn1711]: </v>
      </c>
    </row>
    <row r="1712" spans="7:16" x14ac:dyDescent="0.25">
      <c r="G1712" t="s">
        <v>894</v>
      </c>
      <c r="H1712">
        <v>1712</v>
      </c>
      <c r="I1712">
        <v>1712</v>
      </c>
      <c r="N1712" t="s">
        <v>895</v>
      </c>
      <c r="O1712">
        <v>1712</v>
      </c>
      <c r="P1712" t="str">
        <f t="shared" si="26"/>
        <v xml:space="preserve">[^ftn1712]: </v>
      </c>
    </row>
    <row r="1713" spans="7:16" x14ac:dyDescent="0.25">
      <c r="G1713" t="s">
        <v>894</v>
      </c>
      <c r="H1713">
        <v>1713</v>
      </c>
      <c r="I1713">
        <v>1713</v>
      </c>
      <c r="N1713" t="s">
        <v>895</v>
      </c>
      <c r="O1713">
        <v>1713</v>
      </c>
      <c r="P1713" t="str">
        <f t="shared" si="26"/>
        <v xml:space="preserve">[^ftn1713]: </v>
      </c>
    </row>
    <row r="1714" spans="7:16" x14ac:dyDescent="0.25">
      <c r="G1714" t="s">
        <v>894</v>
      </c>
      <c r="H1714">
        <v>1714</v>
      </c>
      <c r="I1714">
        <v>1714</v>
      </c>
      <c r="N1714" t="s">
        <v>895</v>
      </c>
      <c r="O1714">
        <v>1714</v>
      </c>
      <c r="P1714" t="str">
        <f t="shared" si="26"/>
        <v xml:space="preserve">[^ftn1714]: </v>
      </c>
    </row>
    <row r="1715" spans="7:16" x14ac:dyDescent="0.25">
      <c r="G1715" t="s">
        <v>894</v>
      </c>
      <c r="H1715">
        <v>1715</v>
      </c>
      <c r="I1715">
        <v>1715</v>
      </c>
      <c r="N1715" t="s">
        <v>895</v>
      </c>
      <c r="O1715">
        <v>1715</v>
      </c>
      <c r="P1715" t="str">
        <f t="shared" si="26"/>
        <v xml:space="preserve">[^ftn1715]: </v>
      </c>
    </row>
    <row r="1716" spans="7:16" x14ac:dyDescent="0.25">
      <c r="G1716" t="s">
        <v>894</v>
      </c>
      <c r="H1716">
        <v>1716</v>
      </c>
      <c r="I1716">
        <v>1716</v>
      </c>
      <c r="N1716" t="s">
        <v>895</v>
      </c>
      <c r="O1716">
        <v>1716</v>
      </c>
      <c r="P1716" t="str">
        <f t="shared" si="26"/>
        <v xml:space="preserve">[^ftn1716]: </v>
      </c>
    </row>
    <row r="1717" spans="7:16" x14ac:dyDescent="0.25">
      <c r="G1717" t="s">
        <v>894</v>
      </c>
      <c r="H1717">
        <v>1717</v>
      </c>
      <c r="I1717">
        <v>1717</v>
      </c>
      <c r="N1717" t="s">
        <v>895</v>
      </c>
      <c r="O1717">
        <v>1717</v>
      </c>
      <c r="P1717" t="str">
        <f t="shared" si="26"/>
        <v xml:space="preserve">[^ftn1717]: </v>
      </c>
    </row>
    <row r="1718" spans="7:16" x14ac:dyDescent="0.25">
      <c r="G1718" t="s">
        <v>894</v>
      </c>
      <c r="H1718">
        <v>1718</v>
      </c>
      <c r="I1718">
        <v>1718</v>
      </c>
      <c r="N1718" t="s">
        <v>895</v>
      </c>
      <c r="O1718">
        <v>1718</v>
      </c>
      <c r="P1718" t="str">
        <f t="shared" si="26"/>
        <v xml:space="preserve">[^ftn1718]: </v>
      </c>
    </row>
    <row r="1719" spans="7:16" x14ac:dyDescent="0.25">
      <c r="G1719" t="s">
        <v>894</v>
      </c>
      <c r="H1719">
        <v>1719</v>
      </c>
      <c r="I1719">
        <v>1719</v>
      </c>
      <c r="N1719" t="s">
        <v>895</v>
      </c>
      <c r="O1719">
        <v>1719</v>
      </c>
      <c r="P1719" t="str">
        <f t="shared" si="26"/>
        <v xml:space="preserve">[^ftn1719]: </v>
      </c>
    </row>
    <row r="1720" spans="7:16" x14ac:dyDescent="0.25">
      <c r="G1720" t="s">
        <v>894</v>
      </c>
      <c r="H1720">
        <v>1720</v>
      </c>
      <c r="I1720">
        <v>1720</v>
      </c>
      <c r="N1720" t="s">
        <v>895</v>
      </c>
      <c r="O1720">
        <v>1720</v>
      </c>
      <c r="P1720" t="str">
        <f t="shared" si="26"/>
        <v xml:space="preserve">[^ftn1720]: </v>
      </c>
    </row>
    <row r="1721" spans="7:16" x14ac:dyDescent="0.25">
      <c r="G1721" t="s">
        <v>894</v>
      </c>
      <c r="H1721">
        <v>1721</v>
      </c>
      <c r="I1721">
        <v>1721</v>
      </c>
      <c r="N1721" t="s">
        <v>895</v>
      </c>
      <c r="O1721">
        <v>1721</v>
      </c>
      <c r="P1721" t="str">
        <f t="shared" si="26"/>
        <v xml:space="preserve">[^ftn1721]: </v>
      </c>
    </row>
    <row r="1722" spans="7:16" x14ac:dyDescent="0.25">
      <c r="G1722" t="s">
        <v>894</v>
      </c>
      <c r="H1722">
        <v>1722</v>
      </c>
      <c r="I1722">
        <v>1722</v>
      </c>
      <c r="N1722" t="s">
        <v>895</v>
      </c>
      <c r="O1722">
        <v>1722</v>
      </c>
      <c r="P1722" t="str">
        <f t="shared" si="26"/>
        <v xml:space="preserve">[^ftn1722]: </v>
      </c>
    </row>
    <row r="1723" spans="7:16" x14ac:dyDescent="0.25">
      <c r="G1723" t="s">
        <v>894</v>
      </c>
      <c r="H1723">
        <v>1723</v>
      </c>
      <c r="I1723">
        <v>1723</v>
      </c>
      <c r="N1723" t="s">
        <v>895</v>
      </c>
      <c r="O1723">
        <v>1723</v>
      </c>
      <c r="P1723" t="str">
        <f t="shared" si="26"/>
        <v xml:space="preserve">[^ftn1723]: </v>
      </c>
    </row>
    <row r="1724" spans="7:16" x14ac:dyDescent="0.25">
      <c r="G1724" t="s">
        <v>894</v>
      </c>
      <c r="H1724">
        <v>1724</v>
      </c>
      <c r="I1724">
        <v>1724</v>
      </c>
      <c r="N1724" t="s">
        <v>895</v>
      </c>
      <c r="O1724">
        <v>1724</v>
      </c>
      <c r="P1724" t="str">
        <f t="shared" si="26"/>
        <v xml:space="preserve">[^ftn1724]: </v>
      </c>
    </row>
    <row r="1725" spans="7:16" x14ac:dyDescent="0.25">
      <c r="G1725" t="s">
        <v>894</v>
      </c>
      <c r="H1725">
        <v>1725</v>
      </c>
      <c r="I1725">
        <v>1725</v>
      </c>
      <c r="N1725" t="s">
        <v>895</v>
      </c>
      <c r="O1725">
        <v>1725</v>
      </c>
      <c r="P1725" t="str">
        <f t="shared" si="26"/>
        <v xml:space="preserve">[^ftn1725]: </v>
      </c>
    </row>
    <row r="1726" spans="7:16" x14ac:dyDescent="0.25">
      <c r="G1726" t="s">
        <v>894</v>
      </c>
      <c r="H1726">
        <v>1726</v>
      </c>
      <c r="I1726">
        <v>1726</v>
      </c>
      <c r="N1726" t="s">
        <v>895</v>
      </c>
      <c r="O1726">
        <v>1726</v>
      </c>
      <c r="P1726" t="str">
        <f t="shared" si="26"/>
        <v xml:space="preserve">[^ftn1726]: </v>
      </c>
    </row>
    <row r="1727" spans="7:16" x14ac:dyDescent="0.25">
      <c r="G1727" t="s">
        <v>894</v>
      </c>
      <c r="H1727">
        <v>1727</v>
      </c>
      <c r="I1727">
        <v>1727</v>
      </c>
      <c r="N1727" t="s">
        <v>895</v>
      </c>
      <c r="O1727">
        <v>1727</v>
      </c>
      <c r="P1727" t="str">
        <f t="shared" si="26"/>
        <v xml:space="preserve">[^ftn1727]: </v>
      </c>
    </row>
    <row r="1728" spans="7:16" x14ac:dyDescent="0.25">
      <c r="G1728" t="s">
        <v>894</v>
      </c>
      <c r="H1728">
        <v>1728</v>
      </c>
      <c r="I1728">
        <v>1728</v>
      </c>
      <c r="N1728" t="s">
        <v>895</v>
      </c>
      <c r="O1728">
        <v>1728</v>
      </c>
      <c r="P1728" t="str">
        <f t="shared" si="26"/>
        <v xml:space="preserve">[^ftn1728]: </v>
      </c>
    </row>
    <row r="1729" spans="7:16" x14ac:dyDescent="0.25">
      <c r="G1729" t="s">
        <v>894</v>
      </c>
      <c r="H1729">
        <v>1729</v>
      </c>
      <c r="I1729">
        <v>1729</v>
      </c>
      <c r="N1729" t="s">
        <v>895</v>
      </c>
      <c r="O1729">
        <v>1729</v>
      </c>
      <c r="P1729" t="str">
        <f t="shared" si="26"/>
        <v xml:space="preserve">[^ftn1729]: </v>
      </c>
    </row>
    <row r="1730" spans="7:16" x14ac:dyDescent="0.25">
      <c r="G1730" t="s">
        <v>894</v>
      </c>
      <c r="H1730">
        <v>1730</v>
      </c>
      <c r="I1730">
        <v>1730</v>
      </c>
      <c r="N1730" t="s">
        <v>895</v>
      </c>
      <c r="O1730">
        <v>1730</v>
      </c>
      <c r="P1730" t="str">
        <f t="shared" ref="P1730:P1793" si="27">_xlfn.CONCAT("[^ftn",O1730,"]: ",)</f>
        <v xml:space="preserve">[^ftn1730]: </v>
      </c>
    </row>
    <row r="1731" spans="7:16" x14ac:dyDescent="0.25">
      <c r="G1731" t="s">
        <v>894</v>
      </c>
      <c r="H1731">
        <v>1731</v>
      </c>
      <c r="I1731">
        <v>1731</v>
      </c>
      <c r="N1731" t="s">
        <v>895</v>
      </c>
      <c r="O1731">
        <v>1731</v>
      </c>
      <c r="P1731" t="str">
        <f t="shared" si="27"/>
        <v xml:space="preserve">[^ftn1731]: </v>
      </c>
    </row>
    <row r="1732" spans="7:16" x14ac:dyDescent="0.25">
      <c r="G1732" t="s">
        <v>894</v>
      </c>
      <c r="H1732">
        <v>1732</v>
      </c>
      <c r="I1732">
        <v>1732</v>
      </c>
      <c r="N1732" t="s">
        <v>895</v>
      </c>
      <c r="O1732">
        <v>1732</v>
      </c>
      <c r="P1732" t="str">
        <f t="shared" si="27"/>
        <v xml:space="preserve">[^ftn1732]: </v>
      </c>
    </row>
    <row r="1733" spans="7:16" x14ac:dyDescent="0.25">
      <c r="G1733" t="s">
        <v>894</v>
      </c>
      <c r="H1733">
        <v>1733</v>
      </c>
      <c r="I1733">
        <v>1733</v>
      </c>
      <c r="N1733" t="s">
        <v>895</v>
      </c>
      <c r="O1733">
        <v>1733</v>
      </c>
      <c r="P1733" t="str">
        <f t="shared" si="27"/>
        <v xml:space="preserve">[^ftn1733]: </v>
      </c>
    </row>
    <row r="1734" spans="7:16" x14ac:dyDescent="0.25">
      <c r="G1734" t="s">
        <v>894</v>
      </c>
      <c r="H1734">
        <v>1734</v>
      </c>
      <c r="I1734">
        <v>1734</v>
      </c>
      <c r="N1734" t="s">
        <v>895</v>
      </c>
      <c r="O1734">
        <v>1734</v>
      </c>
      <c r="P1734" t="str">
        <f t="shared" si="27"/>
        <v xml:space="preserve">[^ftn1734]: </v>
      </c>
    </row>
    <row r="1735" spans="7:16" x14ac:dyDescent="0.25">
      <c r="G1735" t="s">
        <v>894</v>
      </c>
      <c r="H1735">
        <v>1735</v>
      </c>
      <c r="I1735">
        <v>1735</v>
      </c>
      <c r="N1735" t="s">
        <v>895</v>
      </c>
      <c r="O1735">
        <v>1735</v>
      </c>
      <c r="P1735" t="str">
        <f t="shared" si="27"/>
        <v xml:space="preserve">[^ftn1735]: </v>
      </c>
    </row>
    <row r="1736" spans="7:16" x14ac:dyDescent="0.25">
      <c r="G1736" t="s">
        <v>894</v>
      </c>
      <c r="H1736">
        <v>1736</v>
      </c>
      <c r="I1736">
        <v>1736</v>
      </c>
      <c r="N1736" t="s">
        <v>895</v>
      </c>
      <c r="O1736">
        <v>1736</v>
      </c>
      <c r="P1736" t="str">
        <f t="shared" si="27"/>
        <v xml:space="preserve">[^ftn1736]: </v>
      </c>
    </row>
    <row r="1737" spans="7:16" x14ac:dyDescent="0.25">
      <c r="G1737" t="s">
        <v>894</v>
      </c>
      <c r="H1737">
        <v>1737</v>
      </c>
      <c r="I1737">
        <v>1737</v>
      </c>
      <c r="N1737" t="s">
        <v>895</v>
      </c>
      <c r="O1737">
        <v>1737</v>
      </c>
      <c r="P1737" t="str">
        <f t="shared" si="27"/>
        <v xml:space="preserve">[^ftn1737]: </v>
      </c>
    </row>
    <row r="1738" spans="7:16" x14ac:dyDescent="0.25">
      <c r="G1738" t="s">
        <v>894</v>
      </c>
      <c r="H1738">
        <v>1738</v>
      </c>
      <c r="I1738">
        <v>1738</v>
      </c>
      <c r="N1738" t="s">
        <v>895</v>
      </c>
      <c r="O1738">
        <v>1738</v>
      </c>
      <c r="P1738" t="str">
        <f t="shared" si="27"/>
        <v xml:space="preserve">[^ftn1738]: </v>
      </c>
    </row>
    <row r="1739" spans="7:16" x14ac:dyDescent="0.25">
      <c r="G1739" t="s">
        <v>894</v>
      </c>
      <c r="H1739">
        <v>1739</v>
      </c>
      <c r="I1739">
        <v>1739</v>
      </c>
      <c r="N1739" t="s">
        <v>895</v>
      </c>
      <c r="O1739">
        <v>1739</v>
      </c>
      <c r="P1739" t="str">
        <f t="shared" si="27"/>
        <v xml:space="preserve">[^ftn1739]: </v>
      </c>
    </row>
    <row r="1740" spans="7:16" x14ac:dyDescent="0.25">
      <c r="G1740" t="s">
        <v>894</v>
      </c>
      <c r="H1740">
        <v>1740</v>
      </c>
      <c r="I1740">
        <v>1740</v>
      </c>
      <c r="N1740" t="s">
        <v>895</v>
      </c>
      <c r="O1740">
        <v>1740</v>
      </c>
      <c r="P1740" t="str">
        <f t="shared" si="27"/>
        <v xml:space="preserve">[^ftn1740]: </v>
      </c>
    </row>
    <row r="1741" spans="7:16" x14ac:dyDescent="0.25">
      <c r="G1741" t="s">
        <v>894</v>
      </c>
      <c r="H1741">
        <v>1741</v>
      </c>
      <c r="I1741">
        <v>1741</v>
      </c>
      <c r="N1741" t="s">
        <v>895</v>
      </c>
      <c r="O1741">
        <v>1741</v>
      </c>
      <c r="P1741" t="str">
        <f t="shared" si="27"/>
        <v xml:space="preserve">[^ftn1741]: </v>
      </c>
    </row>
    <row r="1742" spans="7:16" x14ac:dyDescent="0.25">
      <c r="G1742" t="s">
        <v>894</v>
      </c>
      <c r="H1742">
        <v>1742</v>
      </c>
      <c r="I1742">
        <v>1742</v>
      </c>
      <c r="N1742" t="s">
        <v>895</v>
      </c>
      <c r="O1742">
        <v>1742</v>
      </c>
      <c r="P1742" t="str">
        <f t="shared" si="27"/>
        <v xml:space="preserve">[^ftn1742]: </v>
      </c>
    </row>
    <row r="1743" spans="7:16" x14ac:dyDescent="0.25">
      <c r="G1743" t="s">
        <v>894</v>
      </c>
      <c r="H1743">
        <v>1743</v>
      </c>
      <c r="I1743">
        <v>1743</v>
      </c>
      <c r="N1743" t="s">
        <v>895</v>
      </c>
      <c r="O1743">
        <v>1743</v>
      </c>
      <c r="P1743" t="str">
        <f t="shared" si="27"/>
        <v xml:space="preserve">[^ftn1743]: </v>
      </c>
    </row>
    <row r="1744" spans="7:16" x14ac:dyDescent="0.25">
      <c r="G1744" t="s">
        <v>894</v>
      </c>
      <c r="H1744">
        <v>1744</v>
      </c>
      <c r="I1744">
        <v>1744</v>
      </c>
      <c r="N1744" t="s">
        <v>895</v>
      </c>
      <c r="O1744">
        <v>1744</v>
      </c>
      <c r="P1744" t="str">
        <f t="shared" si="27"/>
        <v xml:space="preserve">[^ftn1744]: </v>
      </c>
    </row>
    <row r="1745" spans="7:16" x14ac:dyDescent="0.25">
      <c r="G1745" t="s">
        <v>894</v>
      </c>
      <c r="H1745">
        <v>1745</v>
      </c>
      <c r="I1745">
        <v>1745</v>
      </c>
      <c r="N1745" t="s">
        <v>895</v>
      </c>
      <c r="O1745">
        <v>1745</v>
      </c>
      <c r="P1745" t="str">
        <f t="shared" si="27"/>
        <v xml:space="preserve">[^ftn1745]: </v>
      </c>
    </row>
    <row r="1746" spans="7:16" x14ac:dyDescent="0.25">
      <c r="G1746" t="s">
        <v>894</v>
      </c>
      <c r="H1746">
        <v>1746</v>
      </c>
      <c r="I1746">
        <v>1746</v>
      </c>
      <c r="N1746" t="s">
        <v>895</v>
      </c>
      <c r="O1746">
        <v>1746</v>
      </c>
      <c r="P1746" t="str">
        <f t="shared" si="27"/>
        <v xml:space="preserve">[^ftn1746]: </v>
      </c>
    </row>
    <row r="1747" spans="7:16" x14ac:dyDescent="0.25">
      <c r="G1747" t="s">
        <v>894</v>
      </c>
      <c r="H1747">
        <v>1747</v>
      </c>
      <c r="I1747">
        <v>1747</v>
      </c>
      <c r="N1747" t="s">
        <v>895</v>
      </c>
      <c r="O1747">
        <v>1747</v>
      </c>
      <c r="P1747" t="str">
        <f t="shared" si="27"/>
        <v xml:space="preserve">[^ftn1747]: </v>
      </c>
    </row>
    <row r="1748" spans="7:16" x14ac:dyDescent="0.25">
      <c r="G1748" t="s">
        <v>894</v>
      </c>
      <c r="H1748">
        <v>1748</v>
      </c>
      <c r="I1748">
        <v>1748</v>
      </c>
      <c r="N1748" t="s">
        <v>895</v>
      </c>
      <c r="O1748">
        <v>1748</v>
      </c>
      <c r="P1748" t="str">
        <f t="shared" si="27"/>
        <v xml:space="preserve">[^ftn1748]: </v>
      </c>
    </row>
    <row r="1749" spans="7:16" x14ac:dyDescent="0.25">
      <c r="G1749" t="s">
        <v>894</v>
      </c>
      <c r="H1749">
        <v>1749</v>
      </c>
      <c r="I1749">
        <v>1749</v>
      </c>
      <c r="N1749" t="s">
        <v>895</v>
      </c>
      <c r="O1749">
        <v>1749</v>
      </c>
      <c r="P1749" t="str">
        <f t="shared" si="27"/>
        <v xml:space="preserve">[^ftn1749]: </v>
      </c>
    </row>
    <row r="1750" spans="7:16" x14ac:dyDescent="0.25">
      <c r="G1750" t="s">
        <v>894</v>
      </c>
      <c r="H1750">
        <v>1750</v>
      </c>
      <c r="I1750">
        <v>1750</v>
      </c>
      <c r="N1750" t="s">
        <v>895</v>
      </c>
      <c r="O1750">
        <v>1750</v>
      </c>
      <c r="P1750" t="str">
        <f t="shared" si="27"/>
        <v xml:space="preserve">[^ftn1750]: </v>
      </c>
    </row>
    <row r="1751" spans="7:16" x14ac:dyDescent="0.25">
      <c r="G1751" t="s">
        <v>894</v>
      </c>
      <c r="H1751">
        <v>1751</v>
      </c>
      <c r="I1751">
        <v>1751</v>
      </c>
      <c r="N1751" t="s">
        <v>895</v>
      </c>
      <c r="O1751">
        <v>1751</v>
      </c>
      <c r="P1751" t="str">
        <f t="shared" si="27"/>
        <v xml:space="preserve">[^ftn1751]: </v>
      </c>
    </row>
    <row r="1752" spans="7:16" x14ac:dyDescent="0.25">
      <c r="G1752" t="s">
        <v>894</v>
      </c>
      <c r="H1752">
        <v>1752</v>
      </c>
      <c r="I1752">
        <v>1752</v>
      </c>
      <c r="N1752" t="s">
        <v>895</v>
      </c>
      <c r="O1752">
        <v>1752</v>
      </c>
      <c r="P1752" t="str">
        <f t="shared" si="27"/>
        <v xml:space="preserve">[^ftn1752]: </v>
      </c>
    </row>
    <row r="1753" spans="7:16" x14ac:dyDescent="0.25">
      <c r="G1753" t="s">
        <v>894</v>
      </c>
      <c r="H1753">
        <v>1753</v>
      </c>
      <c r="I1753">
        <v>1753</v>
      </c>
      <c r="N1753" t="s">
        <v>895</v>
      </c>
      <c r="O1753">
        <v>1753</v>
      </c>
      <c r="P1753" t="str">
        <f t="shared" si="27"/>
        <v xml:space="preserve">[^ftn1753]: </v>
      </c>
    </row>
    <row r="1754" spans="7:16" x14ac:dyDescent="0.25">
      <c r="G1754" t="s">
        <v>894</v>
      </c>
      <c r="H1754">
        <v>1754</v>
      </c>
      <c r="I1754">
        <v>1754</v>
      </c>
      <c r="N1754" t="s">
        <v>895</v>
      </c>
      <c r="O1754">
        <v>1754</v>
      </c>
      <c r="P1754" t="str">
        <f t="shared" si="27"/>
        <v xml:space="preserve">[^ftn1754]: </v>
      </c>
    </row>
    <row r="1755" spans="7:16" x14ac:dyDescent="0.25">
      <c r="G1755" t="s">
        <v>894</v>
      </c>
      <c r="H1755">
        <v>1755</v>
      </c>
      <c r="I1755">
        <v>1755</v>
      </c>
      <c r="N1755" t="s">
        <v>895</v>
      </c>
      <c r="O1755">
        <v>1755</v>
      </c>
      <c r="P1755" t="str">
        <f t="shared" si="27"/>
        <v xml:space="preserve">[^ftn1755]: </v>
      </c>
    </row>
    <row r="1756" spans="7:16" x14ac:dyDescent="0.25">
      <c r="G1756" t="s">
        <v>894</v>
      </c>
      <c r="H1756">
        <v>1756</v>
      </c>
      <c r="I1756">
        <v>1756</v>
      </c>
      <c r="N1756" t="s">
        <v>895</v>
      </c>
      <c r="O1756">
        <v>1756</v>
      </c>
      <c r="P1756" t="str">
        <f t="shared" si="27"/>
        <v xml:space="preserve">[^ftn1756]: </v>
      </c>
    </row>
    <row r="1757" spans="7:16" x14ac:dyDescent="0.25">
      <c r="G1757" t="s">
        <v>894</v>
      </c>
      <c r="H1757">
        <v>1757</v>
      </c>
      <c r="I1757">
        <v>1757</v>
      </c>
      <c r="N1757" t="s">
        <v>895</v>
      </c>
      <c r="O1757">
        <v>1757</v>
      </c>
      <c r="P1757" t="str">
        <f t="shared" si="27"/>
        <v xml:space="preserve">[^ftn1757]: </v>
      </c>
    </row>
    <row r="1758" spans="7:16" x14ac:dyDescent="0.25">
      <c r="G1758" t="s">
        <v>894</v>
      </c>
      <c r="H1758">
        <v>1758</v>
      </c>
      <c r="I1758">
        <v>1758</v>
      </c>
      <c r="N1758" t="s">
        <v>895</v>
      </c>
      <c r="O1758">
        <v>1758</v>
      </c>
      <c r="P1758" t="str">
        <f t="shared" si="27"/>
        <v xml:space="preserve">[^ftn1758]: </v>
      </c>
    </row>
    <row r="1759" spans="7:16" x14ac:dyDescent="0.25">
      <c r="G1759" t="s">
        <v>894</v>
      </c>
      <c r="H1759">
        <v>1759</v>
      </c>
      <c r="I1759">
        <v>1759</v>
      </c>
      <c r="N1759" t="s">
        <v>895</v>
      </c>
      <c r="O1759">
        <v>1759</v>
      </c>
      <c r="P1759" t="str">
        <f t="shared" si="27"/>
        <v xml:space="preserve">[^ftn1759]: </v>
      </c>
    </row>
    <row r="1760" spans="7:16" x14ac:dyDescent="0.25">
      <c r="G1760" t="s">
        <v>894</v>
      </c>
      <c r="H1760">
        <v>1760</v>
      </c>
      <c r="I1760">
        <v>1760</v>
      </c>
      <c r="N1760" t="s">
        <v>895</v>
      </c>
      <c r="O1760">
        <v>1760</v>
      </c>
      <c r="P1760" t="str">
        <f t="shared" si="27"/>
        <v xml:space="preserve">[^ftn1760]: </v>
      </c>
    </row>
    <row r="1761" spans="7:16" x14ac:dyDescent="0.25">
      <c r="G1761" t="s">
        <v>894</v>
      </c>
      <c r="H1761">
        <v>1761</v>
      </c>
      <c r="I1761">
        <v>1761</v>
      </c>
      <c r="N1761" t="s">
        <v>895</v>
      </c>
      <c r="O1761">
        <v>1761</v>
      </c>
      <c r="P1761" t="str">
        <f t="shared" si="27"/>
        <v xml:space="preserve">[^ftn1761]: </v>
      </c>
    </row>
    <row r="1762" spans="7:16" x14ac:dyDescent="0.25">
      <c r="G1762" t="s">
        <v>894</v>
      </c>
      <c r="H1762">
        <v>1762</v>
      </c>
      <c r="I1762">
        <v>1762</v>
      </c>
      <c r="N1762" t="s">
        <v>895</v>
      </c>
      <c r="O1762">
        <v>1762</v>
      </c>
      <c r="P1762" t="str">
        <f t="shared" si="27"/>
        <v xml:space="preserve">[^ftn1762]: </v>
      </c>
    </row>
    <row r="1763" spans="7:16" x14ac:dyDescent="0.25">
      <c r="G1763" t="s">
        <v>894</v>
      </c>
      <c r="H1763">
        <v>1763</v>
      </c>
      <c r="I1763">
        <v>1763</v>
      </c>
      <c r="N1763" t="s">
        <v>895</v>
      </c>
      <c r="O1763">
        <v>1763</v>
      </c>
      <c r="P1763" t="str">
        <f t="shared" si="27"/>
        <v xml:space="preserve">[^ftn1763]: </v>
      </c>
    </row>
    <row r="1764" spans="7:16" x14ac:dyDescent="0.25">
      <c r="G1764" t="s">
        <v>894</v>
      </c>
      <c r="H1764">
        <v>1764</v>
      </c>
      <c r="I1764">
        <v>1764</v>
      </c>
      <c r="N1764" t="s">
        <v>895</v>
      </c>
      <c r="O1764">
        <v>1764</v>
      </c>
      <c r="P1764" t="str">
        <f t="shared" si="27"/>
        <v xml:space="preserve">[^ftn1764]: </v>
      </c>
    </row>
    <row r="1765" spans="7:16" x14ac:dyDescent="0.25">
      <c r="G1765" t="s">
        <v>894</v>
      </c>
      <c r="H1765">
        <v>1765</v>
      </c>
      <c r="I1765">
        <v>1765</v>
      </c>
      <c r="N1765" t="s">
        <v>895</v>
      </c>
      <c r="O1765">
        <v>1765</v>
      </c>
      <c r="P1765" t="str">
        <f t="shared" si="27"/>
        <v xml:space="preserve">[^ftn1765]: </v>
      </c>
    </row>
    <row r="1766" spans="7:16" x14ac:dyDescent="0.25">
      <c r="G1766" t="s">
        <v>894</v>
      </c>
      <c r="H1766">
        <v>1766</v>
      </c>
      <c r="I1766">
        <v>1766</v>
      </c>
      <c r="N1766" t="s">
        <v>895</v>
      </c>
      <c r="O1766">
        <v>1766</v>
      </c>
      <c r="P1766" t="str">
        <f t="shared" si="27"/>
        <v xml:space="preserve">[^ftn1766]: </v>
      </c>
    </row>
    <row r="1767" spans="7:16" x14ac:dyDescent="0.25">
      <c r="G1767" t="s">
        <v>894</v>
      </c>
      <c r="H1767">
        <v>1767</v>
      </c>
      <c r="I1767">
        <v>1767</v>
      </c>
      <c r="N1767" t="s">
        <v>895</v>
      </c>
      <c r="O1767">
        <v>1767</v>
      </c>
      <c r="P1767" t="str">
        <f t="shared" si="27"/>
        <v xml:space="preserve">[^ftn1767]: </v>
      </c>
    </row>
    <row r="1768" spans="7:16" x14ac:dyDescent="0.25">
      <c r="G1768" t="s">
        <v>894</v>
      </c>
      <c r="H1768">
        <v>1768</v>
      </c>
      <c r="I1768">
        <v>1768</v>
      </c>
      <c r="N1768" t="s">
        <v>895</v>
      </c>
      <c r="O1768">
        <v>1768</v>
      </c>
      <c r="P1768" t="str">
        <f t="shared" si="27"/>
        <v xml:space="preserve">[^ftn1768]: </v>
      </c>
    </row>
    <row r="1769" spans="7:16" x14ac:dyDescent="0.25">
      <c r="G1769" t="s">
        <v>894</v>
      </c>
      <c r="H1769">
        <v>1769</v>
      </c>
      <c r="I1769">
        <v>1769</v>
      </c>
      <c r="N1769" t="s">
        <v>895</v>
      </c>
      <c r="O1769">
        <v>1769</v>
      </c>
      <c r="P1769" t="str">
        <f t="shared" si="27"/>
        <v xml:space="preserve">[^ftn1769]: </v>
      </c>
    </row>
    <row r="1770" spans="7:16" x14ac:dyDescent="0.25">
      <c r="G1770" t="s">
        <v>894</v>
      </c>
      <c r="H1770">
        <v>1770</v>
      </c>
      <c r="I1770">
        <v>1770</v>
      </c>
      <c r="N1770" t="s">
        <v>895</v>
      </c>
      <c r="O1770">
        <v>1770</v>
      </c>
      <c r="P1770" t="str">
        <f t="shared" si="27"/>
        <v xml:space="preserve">[^ftn1770]: </v>
      </c>
    </row>
    <row r="1771" spans="7:16" x14ac:dyDescent="0.25">
      <c r="G1771" t="s">
        <v>894</v>
      </c>
      <c r="H1771">
        <v>1771</v>
      </c>
      <c r="I1771">
        <v>1771</v>
      </c>
      <c r="N1771" t="s">
        <v>895</v>
      </c>
      <c r="O1771">
        <v>1771</v>
      </c>
      <c r="P1771" t="str">
        <f t="shared" si="27"/>
        <v xml:space="preserve">[^ftn1771]: </v>
      </c>
    </row>
    <row r="1772" spans="7:16" x14ac:dyDescent="0.25">
      <c r="G1772" t="s">
        <v>894</v>
      </c>
      <c r="H1772">
        <v>1772</v>
      </c>
      <c r="I1772">
        <v>1772</v>
      </c>
      <c r="N1772" t="s">
        <v>895</v>
      </c>
      <c r="O1772">
        <v>1772</v>
      </c>
      <c r="P1772" t="str">
        <f t="shared" si="27"/>
        <v xml:space="preserve">[^ftn1772]: </v>
      </c>
    </row>
    <row r="1773" spans="7:16" x14ac:dyDescent="0.25">
      <c r="G1773" t="s">
        <v>894</v>
      </c>
      <c r="H1773">
        <v>1773</v>
      </c>
      <c r="I1773">
        <v>1773</v>
      </c>
      <c r="N1773" t="s">
        <v>895</v>
      </c>
      <c r="O1773">
        <v>1773</v>
      </c>
      <c r="P1773" t="str">
        <f t="shared" si="27"/>
        <v xml:space="preserve">[^ftn1773]: </v>
      </c>
    </row>
    <row r="1774" spans="7:16" x14ac:dyDescent="0.25">
      <c r="G1774" t="s">
        <v>894</v>
      </c>
      <c r="H1774">
        <v>1774</v>
      </c>
      <c r="I1774">
        <v>1774</v>
      </c>
      <c r="N1774" t="s">
        <v>895</v>
      </c>
      <c r="O1774">
        <v>1774</v>
      </c>
      <c r="P1774" t="str">
        <f t="shared" si="27"/>
        <v xml:space="preserve">[^ftn1774]: </v>
      </c>
    </row>
    <row r="1775" spans="7:16" x14ac:dyDescent="0.25">
      <c r="G1775" t="s">
        <v>894</v>
      </c>
      <c r="H1775">
        <v>1775</v>
      </c>
      <c r="I1775">
        <v>1775</v>
      </c>
      <c r="N1775" t="s">
        <v>895</v>
      </c>
      <c r="O1775">
        <v>1775</v>
      </c>
      <c r="P1775" t="str">
        <f t="shared" si="27"/>
        <v xml:space="preserve">[^ftn1775]: </v>
      </c>
    </row>
    <row r="1776" spans="7:16" x14ac:dyDescent="0.25">
      <c r="G1776" t="s">
        <v>894</v>
      </c>
      <c r="H1776">
        <v>1776</v>
      </c>
      <c r="I1776">
        <v>1776</v>
      </c>
      <c r="N1776" t="s">
        <v>895</v>
      </c>
      <c r="O1776">
        <v>1776</v>
      </c>
      <c r="P1776" t="str">
        <f t="shared" si="27"/>
        <v xml:space="preserve">[^ftn1776]: </v>
      </c>
    </row>
    <row r="1777" spans="7:16" x14ac:dyDescent="0.25">
      <c r="G1777" t="s">
        <v>894</v>
      </c>
      <c r="H1777">
        <v>1777</v>
      </c>
      <c r="I1777">
        <v>1777</v>
      </c>
      <c r="N1777" t="s">
        <v>895</v>
      </c>
      <c r="O1777">
        <v>1777</v>
      </c>
      <c r="P1777" t="str">
        <f t="shared" si="27"/>
        <v xml:space="preserve">[^ftn1777]: </v>
      </c>
    </row>
    <row r="1778" spans="7:16" x14ac:dyDescent="0.25">
      <c r="G1778" t="s">
        <v>894</v>
      </c>
      <c r="H1778">
        <v>1778</v>
      </c>
      <c r="I1778">
        <v>1778</v>
      </c>
      <c r="N1778" t="s">
        <v>895</v>
      </c>
      <c r="O1778">
        <v>1778</v>
      </c>
      <c r="P1778" t="str">
        <f t="shared" si="27"/>
        <v xml:space="preserve">[^ftn1778]: </v>
      </c>
    </row>
    <row r="1779" spans="7:16" x14ac:dyDescent="0.25">
      <c r="G1779" t="s">
        <v>894</v>
      </c>
      <c r="H1779">
        <v>1779</v>
      </c>
      <c r="I1779">
        <v>1779</v>
      </c>
      <c r="N1779" t="s">
        <v>895</v>
      </c>
      <c r="O1779">
        <v>1779</v>
      </c>
      <c r="P1779" t="str">
        <f t="shared" si="27"/>
        <v xml:space="preserve">[^ftn1779]: </v>
      </c>
    </row>
    <row r="1780" spans="7:16" x14ac:dyDescent="0.25">
      <c r="G1780" t="s">
        <v>894</v>
      </c>
      <c r="H1780">
        <v>1780</v>
      </c>
      <c r="I1780">
        <v>1780</v>
      </c>
      <c r="N1780" t="s">
        <v>895</v>
      </c>
      <c r="O1780">
        <v>1780</v>
      </c>
      <c r="P1780" t="str">
        <f t="shared" si="27"/>
        <v xml:space="preserve">[^ftn1780]: </v>
      </c>
    </row>
    <row r="1781" spans="7:16" x14ac:dyDescent="0.25">
      <c r="G1781" t="s">
        <v>894</v>
      </c>
      <c r="H1781">
        <v>1781</v>
      </c>
      <c r="I1781">
        <v>1781</v>
      </c>
      <c r="N1781" t="s">
        <v>895</v>
      </c>
      <c r="O1781">
        <v>1781</v>
      </c>
      <c r="P1781" t="str">
        <f t="shared" si="27"/>
        <v xml:space="preserve">[^ftn1781]: </v>
      </c>
    </row>
    <row r="1782" spans="7:16" x14ac:dyDescent="0.25">
      <c r="G1782" t="s">
        <v>894</v>
      </c>
      <c r="H1782">
        <v>1782</v>
      </c>
      <c r="I1782">
        <v>1782</v>
      </c>
      <c r="N1782" t="s">
        <v>895</v>
      </c>
      <c r="O1782">
        <v>1782</v>
      </c>
      <c r="P1782" t="str">
        <f t="shared" si="27"/>
        <v xml:space="preserve">[^ftn1782]: </v>
      </c>
    </row>
    <row r="1783" spans="7:16" x14ac:dyDescent="0.25">
      <c r="G1783" t="s">
        <v>894</v>
      </c>
      <c r="H1783">
        <v>1783</v>
      </c>
      <c r="I1783">
        <v>1783</v>
      </c>
      <c r="N1783" t="s">
        <v>895</v>
      </c>
      <c r="O1783">
        <v>1783</v>
      </c>
      <c r="P1783" t="str">
        <f t="shared" si="27"/>
        <v xml:space="preserve">[^ftn1783]: </v>
      </c>
    </row>
    <row r="1784" spans="7:16" x14ac:dyDescent="0.25">
      <c r="G1784" t="s">
        <v>894</v>
      </c>
      <c r="H1784">
        <v>1784</v>
      </c>
      <c r="I1784">
        <v>1784</v>
      </c>
      <c r="N1784" t="s">
        <v>895</v>
      </c>
      <c r="O1784">
        <v>1784</v>
      </c>
      <c r="P1784" t="str">
        <f t="shared" si="27"/>
        <v xml:space="preserve">[^ftn1784]: </v>
      </c>
    </row>
    <row r="1785" spans="7:16" x14ac:dyDescent="0.25">
      <c r="G1785" t="s">
        <v>894</v>
      </c>
      <c r="H1785">
        <v>1785</v>
      </c>
      <c r="I1785">
        <v>1785</v>
      </c>
      <c r="N1785" t="s">
        <v>895</v>
      </c>
      <c r="O1785">
        <v>1785</v>
      </c>
      <c r="P1785" t="str">
        <f t="shared" si="27"/>
        <v xml:space="preserve">[^ftn1785]: </v>
      </c>
    </row>
    <row r="1786" spans="7:16" x14ac:dyDescent="0.25">
      <c r="G1786" t="s">
        <v>894</v>
      </c>
      <c r="H1786">
        <v>1786</v>
      </c>
      <c r="I1786">
        <v>1786</v>
      </c>
      <c r="N1786" t="s">
        <v>895</v>
      </c>
      <c r="O1786">
        <v>1786</v>
      </c>
      <c r="P1786" t="str">
        <f t="shared" si="27"/>
        <v xml:space="preserve">[^ftn1786]: </v>
      </c>
    </row>
    <row r="1787" spans="7:16" x14ac:dyDescent="0.25">
      <c r="G1787" t="s">
        <v>894</v>
      </c>
      <c r="H1787">
        <v>1787</v>
      </c>
      <c r="I1787">
        <v>1787</v>
      </c>
      <c r="N1787" t="s">
        <v>895</v>
      </c>
      <c r="O1787">
        <v>1787</v>
      </c>
      <c r="P1787" t="str">
        <f t="shared" si="27"/>
        <v xml:space="preserve">[^ftn1787]: </v>
      </c>
    </row>
    <row r="1788" spans="7:16" x14ac:dyDescent="0.25">
      <c r="G1788" t="s">
        <v>894</v>
      </c>
      <c r="H1788">
        <v>1788</v>
      </c>
      <c r="I1788">
        <v>1788</v>
      </c>
      <c r="N1788" t="s">
        <v>895</v>
      </c>
      <c r="O1788">
        <v>1788</v>
      </c>
      <c r="P1788" t="str">
        <f t="shared" si="27"/>
        <v xml:space="preserve">[^ftn1788]: </v>
      </c>
    </row>
    <row r="1789" spans="7:16" x14ac:dyDescent="0.25">
      <c r="G1789" t="s">
        <v>894</v>
      </c>
      <c r="H1789">
        <v>1789</v>
      </c>
      <c r="I1789">
        <v>1789</v>
      </c>
      <c r="N1789" t="s">
        <v>895</v>
      </c>
      <c r="O1789">
        <v>1789</v>
      </c>
      <c r="P1789" t="str">
        <f t="shared" si="27"/>
        <v xml:space="preserve">[^ftn1789]: </v>
      </c>
    </row>
    <row r="1790" spans="7:16" x14ac:dyDescent="0.25">
      <c r="G1790" t="s">
        <v>894</v>
      </c>
      <c r="H1790">
        <v>1790</v>
      </c>
      <c r="I1790">
        <v>1790</v>
      </c>
      <c r="N1790" t="s">
        <v>895</v>
      </c>
      <c r="O1790">
        <v>1790</v>
      </c>
      <c r="P1790" t="str">
        <f t="shared" si="27"/>
        <v xml:space="preserve">[^ftn1790]: </v>
      </c>
    </row>
    <row r="1791" spans="7:16" x14ac:dyDescent="0.25">
      <c r="G1791" t="s">
        <v>894</v>
      </c>
      <c r="H1791">
        <v>1791</v>
      </c>
      <c r="I1791">
        <v>1791</v>
      </c>
      <c r="N1791" t="s">
        <v>895</v>
      </c>
      <c r="O1791">
        <v>1791</v>
      </c>
      <c r="P1791" t="str">
        <f t="shared" si="27"/>
        <v xml:space="preserve">[^ftn1791]: </v>
      </c>
    </row>
    <row r="1792" spans="7:16" x14ac:dyDescent="0.25">
      <c r="G1792" t="s">
        <v>894</v>
      </c>
      <c r="H1792">
        <v>1792</v>
      </c>
      <c r="I1792">
        <v>1792</v>
      </c>
      <c r="N1792" t="s">
        <v>895</v>
      </c>
      <c r="O1792">
        <v>1792</v>
      </c>
      <c r="P1792" t="str">
        <f t="shared" si="27"/>
        <v xml:space="preserve">[^ftn1792]: </v>
      </c>
    </row>
    <row r="1793" spans="7:16" x14ac:dyDescent="0.25">
      <c r="G1793" t="s">
        <v>894</v>
      </c>
      <c r="H1793">
        <v>1793</v>
      </c>
      <c r="I1793">
        <v>1793</v>
      </c>
      <c r="N1793" t="s">
        <v>895</v>
      </c>
      <c r="O1793">
        <v>1793</v>
      </c>
      <c r="P1793" t="str">
        <f t="shared" si="27"/>
        <v xml:space="preserve">[^ftn1793]: </v>
      </c>
    </row>
    <row r="1794" spans="7:16" x14ac:dyDescent="0.25">
      <c r="G1794" t="s">
        <v>894</v>
      </c>
      <c r="H1794">
        <v>1794</v>
      </c>
      <c r="I1794">
        <v>1794</v>
      </c>
      <c r="N1794" t="s">
        <v>895</v>
      </c>
      <c r="O1794">
        <v>1794</v>
      </c>
      <c r="P1794" t="str">
        <f t="shared" ref="P1794:P1857" si="28">_xlfn.CONCAT("[^ftn",O1794,"]: ",)</f>
        <v xml:space="preserve">[^ftn1794]: </v>
      </c>
    </row>
    <row r="1795" spans="7:16" x14ac:dyDescent="0.25">
      <c r="G1795" t="s">
        <v>894</v>
      </c>
      <c r="H1795">
        <v>1795</v>
      </c>
      <c r="I1795">
        <v>1795</v>
      </c>
      <c r="N1795" t="s">
        <v>895</v>
      </c>
      <c r="O1795">
        <v>1795</v>
      </c>
      <c r="P1795" t="str">
        <f t="shared" si="28"/>
        <v xml:space="preserve">[^ftn1795]: </v>
      </c>
    </row>
    <row r="1796" spans="7:16" x14ac:dyDescent="0.25">
      <c r="G1796" t="s">
        <v>894</v>
      </c>
      <c r="H1796">
        <v>1796</v>
      </c>
      <c r="I1796">
        <v>1796</v>
      </c>
      <c r="N1796" t="s">
        <v>895</v>
      </c>
      <c r="O1796">
        <v>1796</v>
      </c>
      <c r="P1796" t="str">
        <f t="shared" si="28"/>
        <v xml:space="preserve">[^ftn1796]: </v>
      </c>
    </row>
    <row r="1797" spans="7:16" x14ac:dyDescent="0.25">
      <c r="G1797" t="s">
        <v>894</v>
      </c>
      <c r="H1797">
        <v>1797</v>
      </c>
      <c r="I1797">
        <v>1797</v>
      </c>
      <c r="N1797" t="s">
        <v>895</v>
      </c>
      <c r="O1797">
        <v>1797</v>
      </c>
      <c r="P1797" t="str">
        <f t="shared" si="28"/>
        <v xml:space="preserve">[^ftn1797]: </v>
      </c>
    </row>
    <row r="1798" spans="7:16" x14ac:dyDescent="0.25">
      <c r="G1798" t="s">
        <v>894</v>
      </c>
      <c r="H1798">
        <v>1798</v>
      </c>
      <c r="I1798">
        <v>1798</v>
      </c>
      <c r="N1798" t="s">
        <v>895</v>
      </c>
      <c r="O1798">
        <v>1798</v>
      </c>
      <c r="P1798" t="str">
        <f t="shared" si="28"/>
        <v xml:space="preserve">[^ftn1798]: </v>
      </c>
    </row>
    <row r="1799" spans="7:16" x14ac:dyDescent="0.25">
      <c r="G1799" t="s">
        <v>894</v>
      </c>
      <c r="H1799">
        <v>1799</v>
      </c>
      <c r="I1799">
        <v>1799</v>
      </c>
      <c r="N1799" t="s">
        <v>895</v>
      </c>
      <c r="O1799">
        <v>1799</v>
      </c>
      <c r="P1799" t="str">
        <f t="shared" si="28"/>
        <v xml:space="preserve">[^ftn1799]: </v>
      </c>
    </row>
    <row r="1800" spans="7:16" x14ac:dyDescent="0.25">
      <c r="G1800" t="s">
        <v>894</v>
      </c>
      <c r="H1800">
        <v>1800</v>
      </c>
      <c r="I1800">
        <v>1800</v>
      </c>
      <c r="N1800" t="s">
        <v>895</v>
      </c>
      <c r="O1800">
        <v>1800</v>
      </c>
      <c r="P1800" t="str">
        <f t="shared" si="28"/>
        <v xml:space="preserve">[^ftn1800]: </v>
      </c>
    </row>
    <row r="1801" spans="7:16" x14ac:dyDescent="0.25">
      <c r="G1801" t="s">
        <v>894</v>
      </c>
      <c r="H1801">
        <v>1801</v>
      </c>
      <c r="I1801">
        <v>1801</v>
      </c>
      <c r="N1801" t="s">
        <v>895</v>
      </c>
      <c r="O1801">
        <v>1801</v>
      </c>
      <c r="P1801" t="str">
        <f t="shared" si="28"/>
        <v xml:space="preserve">[^ftn1801]: </v>
      </c>
    </row>
    <row r="1802" spans="7:16" x14ac:dyDescent="0.25">
      <c r="G1802" t="s">
        <v>894</v>
      </c>
      <c r="H1802">
        <v>1802</v>
      </c>
      <c r="I1802">
        <v>1802</v>
      </c>
      <c r="N1802" t="s">
        <v>895</v>
      </c>
      <c r="O1802">
        <v>1802</v>
      </c>
      <c r="P1802" t="str">
        <f t="shared" si="28"/>
        <v xml:space="preserve">[^ftn1802]: </v>
      </c>
    </row>
    <row r="1803" spans="7:16" x14ac:dyDescent="0.25">
      <c r="G1803" t="s">
        <v>894</v>
      </c>
      <c r="H1803">
        <v>1803</v>
      </c>
      <c r="I1803">
        <v>1803</v>
      </c>
      <c r="N1803" t="s">
        <v>895</v>
      </c>
      <c r="O1803">
        <v>1803</v>
      </c>
      <c r="P1803" t="str">
        <f t="shared" si="28"/>
        <v xml:space="preserve">[^ftn1803]: </v>
      </c>
    </row>
    <row r="1804" spans="7:16" x14ac:dyDescent="0.25">
      <c r="G1804" t="s">
        <v>894</v>
      </c>
      <c r="H1804">
        <v>1804</v>
      </c>
      <c r="I1804">
        <v>1804</v>
      </c>
      <c r="N1804" t="s">
        <v>895</v>
      </c>
      <c r="O1804">
        <v>1804</v>
      </c>
      <c r="P1804" t="str">
        <f t="shared" si="28"/>
        <v xml:space="preserve">[^ftn1804]: </v>
      </c>
    </row>
    <row r="1805" spans="7:16" x14ac:dyDescent="0.25">
      <c r="G1805" t="s">
        <v>894</v>
      </c>
      <c r="H1805">
        <v>1805</v>
      </c>
      <c r="I1805">
        <v>1805</v>
      </c>
      <c r="N1805" t="s">
        <v>895</v>
      </c>
      <c r="O1805">
        <v>1805</v>
      </c>
      <c r="P1805" t="str">
        <f t="shared" si="28"/>
        <v xml:space="preserve">[^ftn1805]: </v>
      </c>
    </row>
    <row r="1806" spans="7:16" x14ac:dyDescent="0.25">
      <c r="G1806" t="s">
        <v>894</v>
      </c>
      <c r="H1806">
        <v>1806</v>
      </c>
      <c r="I1806">
        <v>1806</v>
      </c>
      <c r="N1806" t="s">
        <v>895</v>
      </c>
      <c r="O1806">
        <v>1806</v>
      </c>
      <c r="P1806" t="str">
        <f t="shared" si="28"/>
        <v xml:space="preserve">[^ftn1806]: </v>
      </c>
    </row>
    <row r="1807" spans="7:16" x14ac:dyDescent="0.25">
      <c r="G1807" t="s">
        <v>894</v>
      </c>
      <c r="H1807">
        <v>1807</v>
      </c>
      <c r="I1807">
        <v>1807</v>
      </c>
      <c r="N1807" t="s">
        <v>895</v>
      </c>
      <c r="O1807">
        <v>1807</v>
      </c>
      <c r="P1807" t="str">
        <f t="shared" si="28"/>
        <v xml:space="preserve">[^ftn1807]: </v>
      </c>
    </row>
    <row r="1808" spans="7:16" x14ac:dyDescent="0.25">
      <c r="G1808" t="s">
        <v>894</v>
      </c>
      <c r="H1808">
        <v>1808</v>
      </c>
      <c r="I1808">
        <v>1808</v>
      </c>
      <c r="N1808" t="s">
        <v>895</v>
      </c>
      <c r="O1808">
        <v>1808</v>
      </c>
      <c r="P1808" t="str">
        <f t="shared" si="28"/>
        <v xml:space="preserve">[^ftn1808]: </v>
      </c>
    </row>
    <row r="1809" spans="7:16" x14ac:dyDescent="0.25">
      <c r="G1809" t="s">
        <v>894</v>
      </c>
      <c r="H1809">
        <v>1809</v>
      </c>
      <c r="I1809">
        <v>1809</v>
      </c>
      <c r="N1809" t="s">
        <v>895</v>
      </c>
      <c r="O1809">
        <v>1809</v>
      </c>
      <c r="P1809" t="str">
        <f t="shared" si="28"/>
        <v xml:space="preserve">[^ftn1809]: </v>
      </c>
    </row>
    <row r="1810" spans="7:16" x14ac:dyDescent="0.25">
      <c r="G1810" t="s">
        <v>894</v>
      </c>
      <c r="H1810">
        <v>1810</v>
      </c>
      <c r="I1810">
        <v>1810</v>
      </c>
      <c r="N1810" t="s">
        <v>895</v>
      </c>
      <c r="O1810">
        <v>1810</v>
      </c>
      <c r="P1810" t="str">
        <f t="shared" si="28"/>
        <v xml:space="preserve">[^ftn1810]: </v>
      </c>
    </row>
    <row r="1811" spans="7:16" x14ac:dyDescent="0.25">
      <c r="G1811" t="s">
        <v>894</v>
      </c>
      <c r="H1811">
        <v>1811</v>
      </c>
      <c r="I1811">
        <v>1811</v>
      </c>
      <c r="N1811" t="s">
        <v>895</v>
      </c>
      <c r="O1811">
        <v>1811</v>
      </c>
      <c r="P1811" t="str">
        <f t="shared" si="28"/>
        <v xml:space="preserve">[^ftn1811]: </v>
      </c>
    </row>
    <row r="1812" spans="7:16" x14ac:dyDescent="0.25">
      <c r="G1812" t="s">
        <v>894</v>
      </c>
      <c r="H1812">
        <v>1812</v>
      </c>
      <c r="I1812">
        <v>1812</v>
      </c>
      <c r="N1812" t="s">
        <v>895</v>
      </c>
      <c r="O1812">
        <v>1812</v>
      </c>
      <c r="P1812" t="str">
        <f t="shared" si="28"/>
        <v xml:space="preserve">[^ftn1812]: </v>
      </c>
    </row>
    <row r="1813" spans="7:16" x14ac:dyDescent="0.25">
      <c r="G1813" t="s">
        <v>894</v>
      </c>
      <c r="H1813">
        <v>1813</v>
      </c>
      <c r="I1813">
        <v>1813</v>
      </c>
      <c r="N1813" t="s">
        <v>895</v>
      </c>
      <c r="O1813">
        <v>1813</v>
      </c>
      <c r="P1813" t="str">
        <f t="shared" si="28"/>
        <v xml:space="preserve">[^ftn1813]: </v>
      </c>
    </row>
    <row r="1814" spans="7:16" x14ac:dyDescent="0.25">
      <c r="G1814" t="s">
        <v>894</v>
      </c>
      <c r="H1814">
        <v>1814</v>
      </c>
      <c r="I1814">
        <v>1814</v>
      </c>
      <c r="N1814" t="s">
        <v>895</v>
      </c>
      <c r="O1814">
        <v>1814</v>
      </c>
      <c r="P1814" t="str">
        <f t="shared" si="28"/>
        <v xml:space="preserve">[^ftn1814]: </v>
      </c>
    </row>
    <row r="1815" spans="7:16" x14ac:dyDescent="0.25">
      <c r="G1815" t="s">
        <v>894</v>
      </c>
      <c r="H1815">
        <v>1815</v>
      </c>
      <c r="I1815">
        <v>1815</v>
      </c>
      <c r="N1815" t="s">
        <v>895</v>
      </c>
      <c r="O1815">
        <v>1815</v>
      </c>
      <c r="P1815" t="str">
        <f t="shared" si="28"/>
        <v xml:space="preserve">[^ftn1815]: </v>
      </c>
    </row>
    <row r="1816" spans="7:16" x14ac:dyDescent="0.25">
      <c r="G1816" t="s">
        <v>894</v>
      </c>
      <c r="H1816">
        <v>1816</v>
      </c>
      <c r="I1816">
        <v>1816</v>
      </c>
      <c r="N1816" t="s">
        <v>895</v>
      </c>
      <c r="O1816">
        <v>1816</v>
      </c>
      <c r="P1816" t="str">
        <f t="shared" si="28"/>
        <v xml:space="preserve">[^ftn1816]: </v>
      </c>
    </row>
    <row r="1817" spans="7:16" x14ac:dyDescent="0.25">
      <c r="G1817" t="s">
        <v>894</v>
      </c>
      <c r="H1817">
        <v>1817</v>
      </c>
      <c r="I1817">
        <v>1817</v>
      </c>
      <c r="N1817" t="s">
        <v>895</v>
      </c>
      <c r="O1817">
        <v>1817</v>
      </c>
      <c r="P1817" t="str">
        <f t="shared" si="28"/>
        <v xml:space="preserve">[^ftn1817]: </v>
      </c>
    </row>
    <row r="1818" spans="7:16" x14ac:dyDescent="0.25">
      <c r="G1818" t="s">
        <v>894</v>
      </c>
      <c r="H1818">
        <v>1818</v>
      </c>
      <c r="I1818">
        <v>1818</v>
      </c>
      <c r="N1818" t="s">
        <v>895</v>
      </c>
      <c r="O1818">
        <v>1818</v>
      </c>
      <c r="P1818" t="str">
        <f t="shared" si="28"/>
        <v xml:space="preserve">[^ftn1818]: </v>
      </c>
    </row>
    <row r="1819" spans="7:16" x14ac:dyDescent="0.25">
      <c r="G1819" t="s">
        <v>894</v>
      </c>
      <c r="H1819">
        <v>1819</v>
      </c>
      <c r="I1819">
        <v>1819</v>
      </c>
      <c r="N1819" t="s">
        <v>895</v>
      </c>
      <c r="O1819">
        <v>1819</v>
      </c>
      <c r="P1819" t="str">
        <f t="shared" si="28"/>
        <v xml:space="preserve">[^ftn1819]: </v>
      </c>
    </row>
    <row r="1820" spans="7:16" x14ac:dyDescent="0.25">
      <c r="G1820" t="s">
        <v>894</v>
      </c>
      <c r="H1820">
        <v>1820</v>
      </c>
      <c r="I1820">
        <v>1820</v>
      </c>
      <c r="N1820" t="s">
        <v>895</v>
      </c>
      <c r="O1820">
        <v>1820</v>
      </c>
      <c r="P1820" t="str">
        <f t="shared" si="28"/>
        <v xml:space="preserve">[^ftn1820]: </v>
      </c>
    </row>
    <row r="1821" spans="7:16" x14ac:dyDescent="0.25">
      <c r="G1821" t="s">
        <v>894</v>
      </c>
      <c r="H1821">
        <v>1821</v>
      </c>
      <c r="I1821">
        <v>1821</v>
      </c>
      <c r="N1821" t="s">
        <v>895</v>
      </c>
      <c r="O1821">
        <v>1821</v>
      </c>
      <c r="P1821" t="str">
        <f t="shared" si="28"/>
        <v xml:space="preserve">[^ftn1821]: </v>
      </c>
    </row>
    <row r="1822" spans="7:16" x14ac:dyDescent="0.25">
      <c r="G1822" t="s">
        <v>894</v>
      </c>
      <c r="H1822">
        <v>1822</v>
      </c>
      <c r="I1822">
        <v>1822</v>
      </c>
      <c r="N1822" t="s">
        <v>895</v>
      </c>
      <c r="O1822">
        <v>1822</v>
      </c>
      <c r="P1822" t="str">
        <f t="shared" si="28"/>
        <v xml:space="preserve">[^ftn1822]: </v>
      </c>
    </row>
    <row r="1823" spans="7:16" x14ac:dyDescent="0.25">
      <c r="G1823" t="s">
        <v>894</v>
      </c>
      <c r="H1823">
        <v>1823</v>
      </c>
      <c r="I1823">
        <v>1823</v>
      </c>
      <c r="N1823" t="s">
        <v>895</v>
      </c>
      <c r="O1823">
        <v>1823</v>
      </c>
      <c r="P1823" t="str">
        <f t="shared" si="28"/>
        <v xml:space="preserve">[^ftn1823]: </v>
      </c>
    </row>
    <row r="1824" spans="7:16" x14ac:dyDescent="0.25">
      <c r="G1824" t="s">
        <v>894</v>
      </c>
      <c r="H1824">
        <v>1824</v>
      </c>
      <c r="I1824">
        <v>1824</v>
      </c>
      <c r="N1824" t="s">
        <v>895</v>
      </c>
      <c r="O1824">
        <v>1824</v>
      </c>
      <c r="P1824" t="str">
        <f t="shared" si="28"/>
        <v xml:space="preserve">[^ftn1824]: </v>
      </c>
    </row>
    <row r="1825" spans="7:16" x14ac:dyDescent="0.25">
      <c r="G1825" t="s">
        <v>894</v>
      </c>
      <c r="H1825">
        <v>1825</v>
      </c>
      <c r="I1825">
        <v>1825</v>
      </c>
      <c r="N1825" t="s">
        <v>895</v>
      </c>
      <c r="O1825">
        <v>1825</v>
      </c>
      <c r="P1825" t="str">
        <f t="shared" si="28"/>
        <v xml:space="preserve">[^ftn1825]: </v>
      </c>
    </row>
    <row r="1826" spans="7:16" x14ac:dyDescent="0.25">
      <c r="G1826" t="s">
        <v>894</v>
      </c>
      <c r="H1826">
        <v>1826</v>
      </c>
      <c r="I1826">
        <v>1826</v>
      </c>
      <c r="N1826" t="s">
        <v>895</v>
      </c>
      <c r="O1826">
        <v>1826</v>
      </c>
      <c r="P1826" t="str">
        <f t="shared" si="28"/>
        <v xml:space="preserve">[^ftn1826]: </v>
      </c>
    </row>
    <row r="1827" spans="7:16" x14ac:dyDescent="0.25">
      <c r="G1827" t="s">
        <v>894</v>
      </c>
      <c r="H1827">
        <v>1827</v>
      </c>
      <c r="I1827">
        <v>1827</v>
      </c>
      <c r="N1827" t="s">
        <v>895</v>
      </c>
      <c r="O1827">
        <v>1827</v>
      </c>
      <c r="P1827" t="str">
        <f t="shared" si="28"/>
        <v xml:space="preserve">[^ftn1827]: </v>
      </c>
    </row>
    <row r="1828" spans="7:16" x14ac:dyDescent="0.25">
      <c r="G1828" t="s">
        <v>894</v>
      </c>
      <c r="H1828">
        <v>1828</v>
      </c>
      <c r="I1828">
        <v>1828</v>
      </c>
      <c r="N1828" t="s">
        <v>895</v>
      </c>
      <c r="O1828">
        <v>1828</v>
      </c>
      <c r="P1828" t="str">
        <f t="shared" si="28"/>
        <v xml:space="preserve">[^ftn1828]: </v>
      </c>
    </row>
    <row r="1829" spans="7:16" x14ac:dyDescent="0.25">
      <c r="G1829" t="s">
        <v>894</v>
      </c>
      <c r="H1829">
        <v>1829</v>
      </c>
      <c r="I1829">
        <v>1829</v>
      </c>
      <c r="N1829" t="s">
        <v>895</v>
      </c>
      <c r="O1829">
        <v>1829</v>
      </c>
      <c r="P1829" t="str">
        <f t="shared" si="28"/>
        <v xml:space="preserve">[^ftn1829]: </v>
      </c>
    </row>
    <row r="1830" spans="7:16" x14ac:dyDescent="0.25">
      <c r="G1830" t="s">
        <v>894</v>
      </c>
      <c r="H1830">
        <v>1830</v>
      </c>
      <c r="I1830">
        <v>1830</v>
      </c>
      <c r="N1830" t="s">
        <v>895</v>
      </c>
      <c r="O1830">
        <v>1830</v>
      </c>
      <c r="P1830" t="str">
        <f t="shared" si="28"/>
        <v xml:space="preserve">[^ftn1830]: </v>
      </c>
    </row>
    <row r="1831" spans="7:16" x14ac:dyDescent="0.25">
      <c r="G1831" t="s">
        <v>894</v>
      </c>
      <c r="H1831">
        <v>1831</v>
      </c>
      <c r="I1831">
        <v>1831</v>
      </c>
      <c r="N1831" t="s">
        <v>895</v>
      </c>
      <c r="O1831">
        <v>1831</v>
      </c>
      <c r="P1831" t="str">
        <f t="shared" si="28"/>
        <v xml:space="preserve">[^ftn1831]: </v>
      </c>
    </row>
    <row r="1832" spans="7:16" x14ac:dyDescent="0.25">
      <c r="G1832" t="s">
        <v>894</v>
      </c>
      <c r="H1832">
        <v>1832</v>
      </c>
      <c r="I1832">
        <v>1832</v>
      </c>
      <c r="N1832" t="s">
        <v>895</v>
      </c>
      <c r="O1832">
        <v>1832</v>
      </c>
      <c r="P1832" t="str">
        <f t="shared" si="28"/>
        <v xml:space="preserve">[^ftn1832]: </v>
      </c>
    </row>
    <row r="1833" spans="7:16" x14ac:dyDescent="0.25">
      <c r="G1833" t="s">
        <v>894</v>
      </c>
      <c r="H1833">
        <v>1833</v>
      </c>
      <c r="I1833">
        <v>1833</v>
      </c>
      <c r="N1833" t="s">
        <v>895</v>
      </c>
      <c r="O1833">
        <v>1833</v>
      </c>
      <c r="P1833" t="str">
        <f t="shared" si="28"/>
        <v xml:space="preserve">[^ftn1833]: </v>
      </c>
    </row>
    <row r="1834" spans="7:16" x14ac:dyDescent="0.25">
      <c r="G1834" t="s">
        <v>894</v>
      </c>
      <c r="H1834">
        <v>1834</v>
      </c>
      <c r="I1834">
        <v>1834</v>
      </c>
      <c r="N1834" t="s">
        <v>895</v>
      </c>
      <c r="O1834">
        <v>1834</v>
      </c>
      <c r="P1834" t="str">
        <f t="shared" si="28"/>
        <v xml:space="preserve">[^ftn1834]: </v>
      </c>
    </row>
    <row r="1835" spans="7:16" x14ac:dyDescent="0.25">
      <c r="G1835" t="s">
        <v>894</v>
      </c>
      <c r="H1835">
        <v>1835</v>
      </c>
      <c r="I1835">
        <v>1835</v>
      </c>
      <c r="N1835" t="s">
        <v>895</v>
      </c>
      <c r="O1835">
        <v>1835</v>
      </c>
      <c r="P1835" t="str">
        <f t="shared" si="28"/>
        <v xml:space="preserve">[^ftn1835]: </v>
      </c>
    </row>
    <row r="1836" spans="7:16" x14ac:dyDescent="0.25">
      <c r="G1836" t="s">
        <v>894</v>
      </c>
      <c r="H1836">
        <v>1836</v>
      </c>
      <c r="I1836">
        <v>1836</v>
      </c>
      <c r="N1836" t="s">
        <v>895</v>
      </c>
      <c r="O1836">
        <v>1836</v>
      </c>
      <c r="P1836" t="str">
        <f t="shared" si="28"/>
        <v xml:space="preserve">[^ftn1836]: </v>
      </c>
    </row>
    <row r="1837" spans="7:16" x14ac:dyDescent="0.25">
      <c r="G1837" t="s">
        <v>894</v>
      </c>
      <c r="H1837">
        <v>1837</v>
      </c>
      <c r="I1837">
        <v>1837</v>
      </c>
      <c r="N1837" t="s">
        <v>895</v>
      </c>
      <c r="O1837">
        <v>1837</v>
      </c>
      <c r="P1837" t="str">
        <f t="shared" si="28"/>
        <v xml:space="preserve">[^ftn1837]: </v>
      </c>
    </row>
    <row r="1838" spans="7:16" x14ac:dyDescent="0.25">
      <c r="G1838" t="s">
        <v>894</v>
      </c>
      <c r="H1838">
        <v>1838</v>
      </c>
      <c r="I1838">
        <v>1838</v>
      </c>
      <c r="N1838" t="s">
        <v>895</v>
      </c>
      <c r="O1838">
        <v>1838</v>
      </c>
      <c r="P1838" t="str">
        <f t="shared" si="28"/>
        <v xml:space="preserve">[^ftn1838]: </v>
      </c>
    </row>
    <row r="1839" spans="7:16" x14ac:dyDescent="0.25">
      <c r="G1839" t="s">
        <v>894</v>
      </c>
      <c r="H1839">
        <v>1839</v>
      </c>
      <c r="I1839">
        <v>1839</v>
      </c>
      <c r="N1839" t="s">
        <v>895</v>
      </c>
      <c r="O1839">
        <v>1839</v>
      </c>
      <c r="P1839" t="str">
        <f t="shared" si="28"/>
        <v xml:space="preserve">[^ftn1839]: </v>
      </c>
    </row>
    <row r="1840" spans="7:16" x14ac:dyDescent="0.25">
      <c r="G1840" t="s">
        <v>894</v>
      </c>
      <c r="H1840">
        <v>1840</v>
      </c>
      <c r="I1840">
        <v>1840</v>
      </c>
      <c r="N1840" t="s">
        <v>895</v>
      </c>
      <c r="O1840">
        <v>1840</v>
      </c>
      <c r="P1840" t="str">
        <f t="shared" si="28"/>
        <v xml:space="preserve">[^ftn1840]: </v>
      </c>
    </row>
    <row r="1841" spans="7:16" x14ac:dyDescent="0.25">
      <c r="G1841" t="s">
        <v>894</v>
      </c>
      <c r="H1841">
        <v>1841</v>
      </c>
      <c r="I1841">
        <v>1841</v>
      </c>
      <c r="N1841" t="s">
        <v>895</v>
      </c>
      <c r="O1841">
        <v>1841</v>
      </c>
      <c r="P1841" t="str">
        <f t="shared" si="28"/>
        <v xml:space="preserve">[^ftn1841]: </v>
      </c>
    </row>
    <row r="1842" spans="7:16" x14ac:dyDescent="0.25">
      <c r="G1842" t="s">
        <v>894</v>
      </c>
      <c r="H1842">
        <v>1842</v>
      </c>
      <c r="I1842">
        <v>1842</v>
      </c>
      <c r="N1842" t="s">
        <v>895</v>
      </c>
      <c r="O1842">
        <v>1842</v>
      </c>
      <c r="P1842" t="str">
        <f t="shared" si="28"/>
        <v xml:space="preserve">[^ftn1842]: </v>
      </c>
    </row>
    <row r="1843" spans="7:16" x14ac:dyDescent="0.25">
      <c r="G1843" t="s">
        <v>894</v>
      </c>
      <c r="H1843">
        <v>1843</v>
      </c>
      <c r="I1843">
        <v>1843</v>
      </c>
      <c r="N1843" t="s">
        <v>895</v>
      </c>
      <c r="O1843">
        <v>1843</v>
      </c>
      <c r="P1843" t="str">
        <f t="shared" si="28"/>
        <v xml:space="preserve">[^ftn1843]: </v>
      </c>
    </row>
    <row r="1844" spans="7:16" x14ac:dyDescent="0.25">
      <c r="G1844" t="s">
        <v>894</v>
      </c>
      <c r="H1844">
        <v>1844</v>
      </c>
      <c r="I1844">
        <v>1844</v>
      </c>
      <c r="N1844" t="s">
        <v>895</v>
      </c>
      <c r="O1844">
        <v>1844</v>
      </c>
      <c r="P1844" t="str">
        <f t="shared" si="28"/>
        <v xml:space="preserve">[^ftn1844]: </v>
      </c>
    </row>
    <row r="1845" spans="7:16" x14ac:dyDescent="0.25">
      <c r="G1845" t="s">
        <v>894</v>
      </c>
      <c r="H1845">
        <v>1845</v>
      </c>
      <c r="I1845">
        <v>1845</v>
      </c>
      <c r="N1845" t="s">
        <v>895</v>
      </c>
      <c r="O1845">
        <v>1845</v>
      </c>
      <c r="P1845" t="str">
        <f t="shared" si="28"/>
        <v xml:space="preserve">[^ftn1845]: </v>
      </c>
    </row>
    <row r="1846" spans="7:16" x14ac:dyDescent="0.25">
      <c r="G1846" t="s">
        <v>894</v>
      </c>
      <c r="H1846">
        <v>1846</v>
      </c>
      <c r="I1846">
        <v>1846</v>
      </c>
      <c r="N1846" t="s">
        <v>895</v>
      </c>
      <c r="O1846">
        <v>1846</v>
      </c>
      <c r="P1846" t="str">
        <f t="shared" si="28"/>
        <v xml:space="preserve">[^ftn1846]: </v>
      </c>
    </row>
    <row r="1847" spans="7:16" x14ac:dyDescent="0.25">
      <c r="G1847" t="s">
        <v>894</v>
      </c>
      <c r="H1847">
        <v>1847</v>
      </c>
      <c r="I1847">
        <v>1847</v>
      </c>
      <c r="N1847" t="s">
        <v>895</v>
      </c>
      <c r="O1847">
        <v>1847</v>
      </c>
      <c r="P1847" t="str">
        <f t="shared" si="28"/>
        <v xml:space="preserve">[^ftn1847]: </v>
      </c>
    </row>
    <row r="1848" spans="7:16" x14ac:dyDescent="0.25">
      <c r="G1848" t="s">
        <v>894</v>
      </c>
      <c r="H1848">
        <v>1848</v>
      </c>
      <c r="I1848">
        <v>1848</v>
      </c>
      <c r="N1848" t="s">
        <v>895</v>
      </c>
      <c r="O1848">
        <v>1848</v>
      </c>
      <c r="P1848" t="str">
        <f t="shared" si="28"/>
        <v xml:space="preserve">[^ftn1848]: </v>
      </c>
    </row>
    <row r="1849" spans="7:16" x14ac:dyDescent="0.25">
      <c r="G1849" t="s">
        <v>894</v>
      </c>
      <c r="H1849">
        <v>1849</v>
      </c>
      <c r="I1849">
        <v>1849</v>
      </c>
      <c r="N1849" t="s">
        <v>895</v>
      </c>
      <c r="O1849">
        <v>1849</v>
      </c>
      <c r="P1849" t="str">
        <f t="shared" si="28"/>
        <v xml:space="preserve">[^ftn1849]: </v>
      </c>
    </row>
    <row r="1850" spans="7:16" x14ac:dyDescent="0.25">
      <c r="G1850" t="s">
        <v>894</v>
      </c>
      <c r="H1850">
        <v>1850</v>
      </c>
      <c r="I1850">
        <v>1850</v>
      </c>
      <c r="N1850" t="s">
        <v>895</v>
      </c>
      <c r="O1850">
        <v>1850</v>
      </c>
      <c r="P1850" t="str">
        <f t="shared" si="28"/>
        <v xml:space="preserve">[^ftn1850]: </v>
      </c>
    </row>
    <row r="1851" spans="7:16" x14ac:dyDescent="0.25">
      <c r="G1851" t="s">
        <v>894</v>
      </c>
      <c r="H1851">
        <v>1851</v>
      </c>
      <c r="I1851">
        <v>1851</v>
      </c>
      <c r="N1851" t="s">
        <v>895</v>
      </c>
      <c r="O1851">
        <v>1851</v>
      </c>
      <c r="P1851" t="str">
        <f t="shared" si="28"/>
        <v xml:space="preserve">[^ftn1851]: </v>
      </c>
    </row>
    <row r="1852" spans="7:16" x14ac:dyDescent="0.25">
      <c r="G1852" t="s">
        <v>894</v>
      </c>
      <c r="H1852">
        <v>1852</v>
      </c>
      <c r="I1852">
        <v>1852</v>
      </c>
      <c r="N1852" t="s">
        <v>895</v>
      </c>
      <c r="O1852">
        <v>1852</v>
      </c>
      <c r="P1852" t="str">
        <f t="shared" si="28"/>
        <v xml:space="preserve">[^ftn1852]: </v>
      </c>
    </row>
    <row r="1853" spans="7:16" x14ac:dyDescent="0.25">
      <c r="G1853" t="s">
        <v>894</v>
      </c>
      <c r="H1853">
        <v>1853</v>
      </c>
      <c r="I1853">
        <v>1853</v>
      </c>
      <c r="N1853" t="s">
        <v>895</v>
      </c>
      <c r="O1853">
        <v>1853</v>
      </c>
      <c r="P1853" t="str">
        <f t="shared" si="28"/>
        <v xml:space="preserve">[^ftn1853]: </v>
      </c>
    </row>
    <row r="1854" spans="7:16" x14ac:dyDescent="0.25">
      <c r="G1854" t="s">
        <v>894</v>
      </c>
      <c r="H1854">
        <v>1854</v>
      </c>
      <c r="I1854">
        <v>1854</v>
      </c>
      <c r="N1854" t="s">
        <v>895</v>
      </c>
      <c r="O1854">
        <v>1854</v>
      </c>
      <c r="P1854" t="str">
        <f t="shared" si="28"/>
        <v xml:space="preserve">[^ftn1854]: </v>
      </c>
    </row>
    <row r="1855" spans="7:16" x14ac:dyDescent="0.25">
      <c r="G1855" t="s">
        <v>894</v>
      </c>
      <c r="H1855">
        <v>1855</v>
      </c>
      <c r="I1855">
        <v>1855</v>
      </c>
      <c r="N1855" t="s">
        <v>895</v>
      </c>
      <c r="O1855">
        <v>1855</v>
      </c>
      <c r="P1855" t="str">
        <f t="shared" si="28"/>
        <v xml:space="preserve">[^ftn1855]: </v>
      </c>
    </row>
    <row r="1856" spans="7:16" x14ac:dyDescent="0.25">
      <c r="G1856" t="s">
        <v>894</v>
      </c>
      <c r="H1856">
        <v>1856</v>
      </c>
      <c r="I1856">
        <v>1856</v>
      </c>
      <c r="N1856" t="s">
        <v>895</v>
      </c>
      <c r="O1856">
        <v>1856</v>
      </c>
      <c r="P1856" t="str">
        <f t="shared" si="28"/>
        <v xml:space="preserve">[^ftn1856]: </v>
      </c>
    </row>
    <row r="1857" spans="7:16" x14ac:dyDescent="0.25">
      <c r="G1857" t="s">
        <v>894</v>
      </c>
      <c r="H1857">
        <v>1857</v>
      </c>
      <c r="I1857">
        <v>1857</v>
      </c>
      <c r="N1857" t="s">
        <v>895</v>
      </c>
      <c r="O1857">
        <v>1857</v>
      </c>
      <c r="P1857" t="str">
        <f t="shared" si="28"/>
        <v xml:space="preserve">[^ftn1857]: </v>
      </c>
    </row>
    <row r="1858" spans="7:16" x14ac:dyDescent="0.25">
      <c r="G1858" t="s">
        <v>894</v>
      </c>
      <c r="H1858">
        <v>1858</v>
      </c>
      <c r="I1858">
        <v>1858</v>
      </c>
      <c r="N1858" t="s">
        <v>895</v>
      </c>
      <c r="O1858">
        <v>1858</v>
      </c>
      <c r="P1858" t="str">
        <f t="shared" ref="P1858:P1921" si="29">_xlfn.CONCAT("[^ftn",O1858,"]: ",)</f>
        <v xml:space="preserve">[^ftn1858]: </v>
      </c>
    </row>
    <row r="1859" spans="7:16" x14ac:dyDescent="0.25">
      <c r="G1859" t="s">
        <v>894</v>
      </c>
      <c r="H1859">
        <v>1859</v>
      </c>
      <c r="I1859">
        <v>1859</v>
      </c>
      <c r="N1859" t="s">
        <v>895</v>
      </c>
      <c r="O1859">
        <v>1859</v>
      </c>
      <c r="P1859" t="str">
        <f t="shared" si="29"/>
        <v xml:space="preserve">[^ftn1859]: </v>
      </c>
    </row>
    <row r="1860" spans="7:16" x14ac:dyDescent="0.25">
      <c r="G1860" t="s">
        <v>894</v>
      </c>
      <c r="H1860">
        <v>1860</v>
      </c>
      <c r="I1860">
        <v>1860</v>
      </c>
      <c r="N1860" t="s">
        <v>895</v>
      </c>
      <c r="O1860">
        <v>1860</v>
      </c>
      <c r="P1860" t="str">
        <f t="shared" si="29"/>
        <v xml:space="preserve">[^ftn1860]: </v>
      </c>
    </row>
    <row r="1861" spans="7:16" x14ac:dyDescent="0.25">
      <c r="G1861" t="s">
        <v>894</v>
      </c>
      <c r="H1861">
        <v>1861</v>
      </c>
      <c r="I1861">
        <v>1861</v>
      </c>
      <c r="N1861" t="s">
        <v>895</v>
      </c>
      <c r="O1861">
        <v>1861</v>
      </c>
      <c r="P1861" t="str">
        <f t="shared" si="29"/>
        <v xml:space="preserve">[^ftn1861]: </v>
      </c>
    </row>
    <row r="1862" spans="7:16" x14ac:dyDescent="0.25">
      <c r="G1862" t="s">
        <v>894</v>
      </c>
      <c r="H1862">
        <v>1862</v>
      </c>
      <c r="I1862">
        <v>1862</v>
      </c>
      <c r="N1862" t="s">
        <v>895</v>
      </c>
      <c r="O1862">
        <v>1862</v>
      </c>
      <c r="P1862" t="str">
        <f t="shared" si="29"/>
        <v xml:space="preserve">[^ftn1862]: </v>
      </c>
    </row>
    <row r="1863" spans="7:16" x14ac:dyDescent="0.25">
      <c r="G1863" t="s">
        <v>894</v>
      </c>
      <c r="H1863">
        <v>1863</v>
      </c>
      <c r="I1863">
        <v>1863</v>
      </c>
      <c r="N1863" t="s">
        <v>895</v>
      </c>
      <c r="O1863">
        <v>1863</v>
      </c>
      <c r="P1863" t="str">
        <f t="shared" si="29"/>
        <v xml:space="preserve">[^ftn1863]: </v>
      </c>
    </row>
    <row r="1864" spans="7:16" x14ac:dyDescent="0.25">
      <c r="G1864" t="s">
        <v>894</v>
      </c>
      <c r="H1864">
        <v>1864</v>
      </c>
      <c r="I1864">
        <v>1864</v>
      </c>
      <c r="N1864" t="s">
        <v>895</v>
      </c>
      <c r="O1864">
        <v>1864</v>
      </c>
      <c r="P1864" t="str">
        <f t="shared" si="29"/>
        <v xml:space="preserve">[^ftn1864]: </v>
      </c>
    </row>
    <row r="1865" spans="7:16" x14ac:dyDescent="0.25">
      <c r="G1865" t="s">
        <v>894</v>
      </c>
      <c r="H1865">
        <v>1865</v>
      </c>
      <c r="I1865">
        <v>1865</v>
      </c>
      <c r="N1865" t="s">
        <v>895</v>
      </c>
      <c r="O1865">
        <v>1865</v>
      </c>
      <c r="P1865" t="str">
        <f t="shared" si="29"/>
        <v xml:space="preserve">[^ftn1865]: </v>
      </c>
    </row>
    <row r="1866" spans="7:16" x14ac:dyDescent="0.25">
      <c r="G1866" t="s">
        <v>894</v>
      </c>
      <c r="H1866">
        <v>1866</v>
      </c>
      <c r="I1866">
        <v>1866</v>
      </c>
      <c r="N1866" t="s">
        <v>895</v>
      </c>
      <c r="O1866">
        <v>1866</v>
      </c>
      <c r="P1866" t="str">
        <f t="shared" si="29"/>
        <v xml:space="preserve">[^ftn1866]: </v>
      </c>
    </row>
    <row r="1867" spans="7:16" x14ac:dyDescent="0.25">
      <c r="G1867" t="s">
        <v>894</v>
      </c>
      <c r="H1867">
        <v>1867</v>
      </c>
      <c r="I1867">
        <v>1867</v>
      </c>
      <c r="N1867" t="s">
        <v>895</v>
      </c>
      <c r="O1867">
        <v>1867</v>
      </c>
      <c r="P1867" t="str">
        <f t="shared" si="29"/>
        <v xml:space="preserve">[^ftn1867]: </v>
      </c>
    </row>
    <row r="1868" spans="7:16" x14ac:dyDescent="0.25">
      <c r="G1868" t="s">
        <v>894</v>
      </c>
      <c r="H1868">
        <v>1868</v>
      </c>
      <c r="I1868">
        <v>1868</v>
      </c>
      <c r="N1868" t="s">
        <v>895</v>
      </c>
      <c r="O1868">
        <v>1868</v>
      </c>
      <c r="P1868" t="str">
        <f t="shared" si="29"/>
        <v xml:space="preserve">[^ftn1868]: </v>
      </c>
    </row>
    <row r="1869" spans="7:16" x14ac:dyDescent="0.25">
      <c r="G1869" t="s">
        <v>894</v>
      </c>
      <c r="H1869">
        <v>1869</v>
      </c>
      <c r="I1869">
        <v>1869</v>
      </c>
      <c r="N1869" t="s">
        <v>895</v>
      </c>
      <c r="O1869">
        <v>1869</v>
      </c>
      <c r="P1869" t="str">
        <f t="shared" si="29"/>
        <v xml:space="preserve">[^ftn1869]: </v>
      </c>
    </row>
    <row r="1870" spans="7:16" x14ac:dyDescent="0.25">
      <c r="G1870" t="s">
        <v>894</v>
      </c>
      <c r="H1870">
        <v>1870</v>
      </c>
      <c r="I1870">
        <v>1870</v>
      </c>
      <c r="N1870" t="s">
        <v>895</v>
      </c>
      <c r="O1870">
        <v>1870</v>
      </c>
      <c r="P1870" t="str">
        <f t="shared" si="29"/>
        <v xml:space="preserve">[^ftn1870]: </v>
      </c>
    </row>
    <row r="1871" spans="7:16" x14ac:dyDescent="0.25">
      <c r="G1871" t="s">
        <v>894</v>
      </c>
      <c r="H1871">
        <v>1871</v>
      </c>
      <c r="I1871">
        <v>1871</v>
      </c>
      <c r="N1871" t="s">
        <v>895</v>
      </c>
      <c r="O1871">
        <v>1871</v>
      </c>
      <c r="P1871" t="str">
        <f t="shared" si="29"/>
        <v xml:space="preserve">[^ftn1871]: </v>
      </c>
    </row>
    <row r="1872" spans="7:16" x14ac:dyDescent="0.25">
      <c r="G1872" t="s">
        <v>894</v>
      </c>
      <c r="H1872">
        <v>1872</v>
      </c>
      <c r="I1872">
        <v>1872</v>
      </c>
      <c r="N1872" t="s">
        <v>895</v>
      </c>
      <c r="O1872">
        <v>1872</v>
      </c>
      <c r="P1872" t="str">
        <f t="shared" si="29"/>
        <v xml:space="preserve">[^ftn1872]: </v>
      </c>
    </row>
    <row r="1873" spans="7:16" x14ac:dyDescent="0.25">
      <c r="G1873" t="s">
        <v>894</v>
      </c>
      <c r="H1873">
        <v>1873</v>
      </c>
      <c r="I1873">
        <v>1873</v>
      </c>
      <c r="N1873" t="s">
        <v>895</v>
      </c>
      <c r="O1873">
        <v>1873</v>
      </c>
      <c r="P1873" t="str">
        <f t="shared" si="29"/>
        <v xml:space="preserve">[^ftn1873]: </v>
      </c>
    </row>
    <row r="1874" spans="7:16" x14ac:dyDescent="0.25">
      <c r="G1874" t="s">
        <v>894</v>
      </c>
      <c r="H1874">
        <v>1874</v>
      </c>
      <c r="I1874">
        <v>1874</v>
      </c>
      <c r="N1874" t="s">
        <v>895</v>
      </c>
      <c r="O1874">
        <v>1874</v>
      </c>
      <c r="P1874" t="str">
        <f t="shared" si="29"/>
        <v xml:space="preserve">[^ftn1874]: </v>
      </c>
    </row>
    <row r="1875" spans="7:16" x14ac:dyDescent="0.25">
      <c r="G1875" t="s">
        <v>894</v>
      </c>
      <c r="H1875">
        <v>1875</v>
      </c>
      <c r="I1875">
        <v>1875</v>
      </c>
      <c r="N1875" t="s">
        <v>895</v>
      </c>
      <c r="O1875">
        <v>1875</v>
      </c>
      <c r="P1875" t="str">
        <f t="shared" si="29"/>
        <v xml:space="preserve">[^ftn1875]: </v>
      </c>
    </row>
    <row r="1876" spans="7:16" x14ac:dyDescent="0.25">
      <c r="G1876" t="s">
        <v>894</v>
      </c>
      <c r="H1876">
        <v>1876</v>
      </c>
      <c r="I1876">
        <v>1876</v>
      </c>
      <c r="N1876" t="s">
        <v>895</v>
      </c>
      <c r="O1876">
        <v>1876</v>
      </c>
      <c r="P1876" t="str">
        <f t="shared" si="29"/>
        <v xml:space="preserve">[^ftn1876]: </v>
      </c>
    </row>
    <row r="1877" spans="7:16" x14ac:dyDescent="0.25">
      <c r="G1877" t="s">
        <v>894</v>
      </c>
      <c r="H1877">
        <v>1877</v>
      </c>
      <c r="I1877">
        <v>1877</v>
      </c>
      <c r="N1877" t="s">
        <v>895</v>
      </c>
      <c r="O1877">
        <v>1877</v>
      </c>
      <c r="P1877" t="str">
        <f t="shared" si="29"/>
        <v xml:space="preserve">[^ftn1877]: </v>
      </c>
    </row>
    <row r="1878" spans="7:16" x14ac:dyDescent="0.25">
      <c r="G1878" t="s">
        <v>894</v>
      </c>
      <c r="H1878">
        <v>1878</v>
      </c>
      <c r="I1878">
        <v>1878</v>
      </c>
      <c r="N1878" t="s">
        <v>895</v>
      </c>
      <c r="O1878">
        <v>1878</v>
      </c>
      <c r="P1878" t="str">
        <f t="shared" si="29"/>
        <v xml:space="preserve">[^ftn1878]: </v>
      </c>
    </row>
    <row r="1879" spans="7:16" x14ac:dyDescent="0.25">
      <c r="G1879" t="s">
        <v>894</v>
      </c>
      <c r="H1879">
        <v>1879</v>
      </c>
      <c r="I1879">
        <v>1879</v>
      </c>
      <c r="N1879" t="s">
        <v>895</v>
      </c>
      <c r="O1879">
        <v>1879</v>
      </c>
      <c r="P1879" t="str">
        <f t="shared" si="29"/>
        <v xml:space="preserve">[^ftn1879]: </v>
      </c>
    </row>
    <row r="1880" spans="7:16" x14ac:dyDescent="0.25">
      <c r="G1880" t="s">
        <v>894</v>
      </c>
      <c r="H1880">
        <v>1880</v>
      </c>
      <c r="I1880">
        <v>1880</v>
      </c>
      <c r="N1880" t="s">
        <v>895</v>
      </c>
      <c r="O1880">
        <v>1880</v>
      </c>
      <c r="P1880" t="str">
        <f t="shared" si="29"/>
        <v xml:space="preserve">[^ftn1880]: </v>
      </c>
    </row>
    <row r="1881" spans="7:16" x14ac:dyDescent="0.25">
      <c r="G1881" t="s">
        <v>894</v>
      </c>
      <c r="H1881">
        <v>1881</v>
      </c>
      <c r="I1881">
        <v>1881</v>
      </c>
      <c r="N1881" t="s">
        <v>895</v>
      </c>
      <c r="O1881">
        <v>1881</v>
      </c>
      <c r="P1881" t="str">
        <f t="shared" si="29"/>
        <v xml:space="preserve">[^ftn1881]: </v>
      </c>
    </row>
    <row r="1882" spans="7:16" x14ac:dyDescent="0.25">
      <c r="G1882" t="s">
        <v>894</v>
      </c>
      <c r="H1882">
        <v>1882</v>
      </c>
      <c r="I1882">
        <v>1882</v>
      </c>
      <c r="N1882" t="s">
        <v>895</v>
      </c>
      <c r="O1882">
        <v>1882</v>
      </c>
      <c r="P1882" t="str">
        <f t="shared" si="29"/>
        <v xml:space="preserve">[^ftn1882]: </v>
      </c>
    </row>
    <row r="1883" spans="7:16" x14ac:dyDescent="0.25">
      <c r="G1883" t="s">
        <v>894</v>
      </c>
      <c r="H1883">
        <v>1883</v>
      </c>
      <c r="I1883">
        <v>1883</v>
      </c>
      <c r="N1883" t="s">
        <v>895</v>
      </c>
      <c r="O1883">
        <v>1883</v>
      </c>
      <c r="P1883" t="str">
        <f t="shared" si="29"/>
        <v xml:space="preserve">[^ftn1883]: </v>
      </c>
    </row>
    <row r="1884" spans="7:16" x14ac:dyDescent="0.25">
      <c r="G1884" t="s">
        <v>894</v>
      </c>
      <c r="H1884">
        <v>1884</v>
      </c>
      <c r="I1884">
        <v>1884</v>
      </c>
      <c r="N1884" t="s">
        <v>895</v>
      </c>
      <c r="O1884">
        <v>1884</v>
      </c>
      <c r="P1884" t="str">
        <f t="shared" si="29"/>
        <v xml:space="preserve">[^ftn1884]: </v>
      </c>
    </row>
    <row r="1885" spans="7:16" x14ac:dyDescent="0.25">
      <c r="G1885" t="s">
        <v>894</v>
      </c>
      <c r="H1885">
        <v>1885</v>
      </c>
      <c r="I1885">
        <v>1885</v>
      </c>
      <c r="N1885" t="s">
        <v>895</v>
      </c>
      <c r="O1885">
        <v>1885</v>
      </c>
      <c r="P1885" t="str">
        <f t="shared" si="29"/>
        <v xml:space="preserve">[^ftn1885]: </v>
      </c>
    </row>
    <row r="1886" spans="7:16" x14ac:dyDescent="0.25">
      <c r="G1886" t="s">
        <v>894</v>
      </c>
      <c r="H1886">
        <v>1886</v>
      </c>
      <c r="I1886">
        <v>1886</v>
      </c>
      <c r="N1886" t="s">
        <v>895</v>
      </c>
      <c r="O1886">
        <v>1886</v>
      </c>
      <c r="P1886" t="str">
        <f t="shared" si="29"/>
        <v xml:space="preserve">[^ftn1886]: </v>
      </c>
    </row>
    <row r="1887" spans="7:16" x14ac:dyDescent="0.25">
      <c r="G1887" t="s">
        <v>894</v>
      </c>
      <c r="H1887">
        <v>1887</v>
      </c>
      <c r="I1887">
        <v>1887</v>
      </c>
      <c r="N1887" t="s">
        <v>895</v>
      </c>
      <c r="O1887">
        <v>1887</v>
      </c>
      <c r="P1887" t="str">
        <f t="shared" si="29"/>
        <v xml:space="preserve">[^ftn1887]: </v>
      </c>
    </row>
    <row r="1888" spans="7:16" x14ac:dyDescent="0.25">
      <c r="G1888" t="s">
        <v>894</v>
      </c>
      <c r="H1888">
        <v>1888</v>
      </c>
      <c r="I1888">
        <v>1888</v>
      </c>
      <c r="N1888" t="s">
        <v>895</v>
      </c>
      <c r="O1888">
        <v>1888</v>
      </c>
      <c r="P1888" t="str">
        <f t="shared" si="29"/>
        <v xml:space="preserve">[^ftn1888]: </v>
      </c>
    </row>
    <row r="1889" spans="7:16" x14ac:dyDescent="0.25">
      <c r="G1889" t="s">
        <v>894</v>
      </c>
      <c r="H1889">
        <v>1889</v>
      </c>
      <c r="I1889">
        <v>1889</v>
      </c>
      <c r="N1889" t="s">
        <v>895</v>
      </c>
      <c r="O1889">
        <v>1889</v>
      </c>
      <c r="P1889" t="str">
        <f t="shared" si="29"/>
        <v xml:space="preserve">[^ftn1889]: </v>
      </c>
    </row>
    <row r="1890" spans="7:16" x14ac:dyDescent="0.25">
      <c r="G1890" t="s">
        <v>894</v>
      </c>
      <c r="H1890">
        <v>1890</v>
      </c>
      <c r="I1890">
        <v>1890</v>
      </c>
      <c r="N1890" t="s">
        <v>895</v>
      </c>
      <c r="O1890">
        <v>1890</v>
      </c>
      <c r="P1890" t="str">
        <f t="shared" si="29"/>
        <v xml:space="preserve">[^ftn1890]: </v>
      </c>
    </row>
    <row r="1891" spans="7:16" x14ac:dyDescent="0.25">
      <c r="G1891" t="s">
        <v>894</v>
      </c>
      <c r="H1891">
        <v>1891</v>
      </c>
      <c r="I1891">
        <v>1891</v>
      </c>
      <c r="N1891" t="s">
        <v>895</v>
      </c>
      <c r="O1891">
        <v>1891</v>
      </c>
      <c r="P1891" t="str">
        <f t="shared" si="29"/>
        <v xml:space="preserve">[^ftn1891]: </v>
      </c>
    </row>
    <row r="1892" spans="7:16" x14ac:dyDescent="0.25">
      <c r="G1892" t="s">
        <v>894</v>
      </c>
      <c r="H1892">
        <v>1892</v>
      </c>
      <c r="I1892">
        <v>1892</v>
      </c>
      <c r="N1892" t="s">
        <v>895</v>
      </c>
      <c r="O1892">
        <v>1892</v>
      </c>
      <c r="P1892" t="str">
        <f t="shared" si="29"/>
        <v xml:space="preserve">[^ftn1892]: </v>
      </c>
    </row>
    <row r="1893" spans="7:16" x14ac:dyDescent="0.25">
      <c r="G1893" t="s">
        <v>894</v>
      </c>
      <c r="H1893">
        <v>1893</v>
      </c>
      <c r="I1893">
        <v>1893</v>
      </c>
      <c r="N1893" t="s">
        <v>895</v>
      </c>
      <c r="O1893">
        <v>1893</v>
      </c>
      <c r="P1893" t="str">
        <f t="shared" si="29"/>
        <v xml:space="preserve">[^ftn1893]: </v>
      </c>
    </row>
    <row r="1894" spans="7:16" x14ac:dyDescent="0.25">
      <c r="G1894" t="s">
        <v>894</v>
      </c>
      <c r="H1894">
        <v>1894</v>
      </c>
      <c r="I1894">
        <v>1894</v>
      </c>
      <c r="N1894" t="s">
        <v>895</v>
      </c>
      <c r="O1894">
        <v>1894</v>
      </c>
      <c r="P1894" t="str">
        <f t="shared" si="29"/>
        <v xml:space="preserve">[^ftn1894]: </v>
      </c>
    </row>
    <row r="1895" spans="7:16" x14ac:dyDescent="0.25">
      <c r="G1895" t="s">
        <v>894</v>
      </c>
      <c r="H1895">
        <v>1895</v>
      </c>
      <c r="I1895">
        <v>1895</v>
      </c>
      <c r="N1895" t="s">
        <v>895</v>
      </c>
      <c r="O1895">
        <v>1895</v>
      </c>
      <c r="P1895" t="str">
        <f t="shared" si="29"/>
        <v xml:space="preserve">[^ftn1895]: </v>
      </c>
    </row>
    <row r="1896" spans="7:16" x14ac:dyDescent="0.25">
      <c r="G1896" t="s">
        <v>894</v>
      </c>
      <c r="H1896">
        <v>1896</v>
      </c>
      <c r="I1896">
        <v>1896</v>
      </c>
      <c r="N1896" t="s">
        <v>895</v>
      </c>
      <c r="O1896">
        <v>1896</v>
      </c>
      <c r="P1896" t="str">
        <f t="shared" si="29"/>
        <v xml:space="preserve">[^ftn1896]: </v>
      </c>
    </row>
    <row r="1897" spans="7:16" x14ac:dyDescent="0.25">
      <c r="G1897" t="s">
        <v>894</v>
      </c>
      <c r="H1897">
        <v>1897</v>
      </c>
      <c r="I1897">
        <v>1897</v>
      </c>
      <c r="N1897" t="s">
        <v>895</v>
      </c>
      <c r="O1897">
        <v>1897</v>
      </c>
      <c r="P1897" t="str">
        <f t="shared" si="29"/>
        <v xml:space="preserve">[^ftn1897]: </v>
      </c>
    </row>
    <row r="1898" spans="7:16" x14ac:dyDescent="0.25">
      <c r="G1898" t="s">
        <v>894</v>
      </c>
      <c r="H1898">
        <v>1898</v>
      </c>
      <c r="I1898">
        <v>1898</v>
      </c>
      <c r="N1898" t="s">
        <v>895</v>
      </c>
      <c r="O1898">
        <v>1898</v>
      </c>
      <c r="P1898" t="str">
        <f t="shared" si="29"/>
        <v xml:space="preserve">[^ftn1898]: </v>
      </c>
    </row>
    <row r="1899" spans="7:16" x14ac:dyDescent="0.25">
      <c r="G1899" t="s">
        <v>894</v>
      </c>
      <c r="H1899">
        <v>1899</v>
      </c>
      <c r="I1899">
        <v>1899</v>
      </c>
      <c r="N1899" t="s">
        <v>895</v>
      </c>
      <c r="O1899">
        <v>1899</v>
      </c>
      <c r="P1899" t="str">
        <f t="shared" si="29"/>
        <v xml:space="preserve">[^ftn1899]: </v>
      </c>
    </row>
    <row r="1900" spans="7:16" x14ac:dyDescent="0.25">
      <c r="G1900" t="s">
        <v>894</v>
      </c>
      <c r="H1900">
        <v>1900</v>
      </c>
      <c r="I1900">
        <v>1900</v>
      </c>
      <c r="N1900" t="s">
        <v>895</v>
      </c>
      <c r="O1900">
        <v>1900</v>
      </c>
      <c r="P1900" t="str">
        <f t="shared" si="29"/>
        <v xml:space="preserve">[^ftn1900]: </v>
      </c>
    </row>
    <row r="1901" spans="7:16" x14ac:dyDescent="0.25">
      <c r="G1901" t="s">
        <v>894</v>
      </c>
      <c r="H1901">
        <v>1901</v>
      </c>
      <c r="I1901">
        <v>1901</v>
      </c>
      <c r="N1901" t="s">
        <v>895</v>
      </c>
      <c r="O1901">
        <v>1901</v>
      </c>
      <c r="P1901" t="str">
        <f t="shared" si="29"/>
        <v xml:space="preserve">[^ftn1901]: </v>
      </c>
    </row>
    <row r="1902" spans="7:16" x14ac:dyDescent="0.25">
      <c r="G1902" t="s">
        <v>894</v>
      </c>
      <c r="H1902">
        <v>1902</v>
      </c>
      <c r="I1902">
        <v>1902</v>
      </c>
      <c r="N1902" t="s">
        <v>895</v>
      </c>
      <c r="O1902">
        <v>1902</v>
      </c>
      <c r="P1902" t="str">
        <f t="shared" si="29"/>
        <v xml:space="preserve">[^ftn1902]: </v>
      </c>
    </row>
    <row r="1903" spans="7:16" x14ac:dyDescent="0.25">
      <c r="G1903" t="s">
        <v>894</v>
      </c>
      <c r="H1903">
        <v>1903</v>
      </c>
      <c r="I1903">
        <v>1903</v>
      </c>
      <c r="N1903" t="s">
        <v>895</v>
      </c>
      <c r="O1903">
        <v>1903</v>
      </c>
      <c r="P1903" t="str">
        <f t="shared" si="29"/>
        <v xml:space="preserve">[^ftn1903]: </v>
      </c>
    </row>
    <row r="1904" spans="7:16" x14ac:dyDescent="0.25">
      <c r="G1904" t="s">
        <v>894</v>
      </c>
      <c r="H1904">
        <v>1904</v>
      </c>
      <c r="I1904">
        <v>1904</v>
      </c>
      <c r="N1904" t="s">
        <v>895</v>
      </c>
      <c r="O1904">
        <v>1904</v>
      </c>
      <c r="P1904" t="str">
        <f t="shared" si="29"/>
        <v xml:space="preserve">[^ftn1904]: </v>
      </c>
    </row>
    <row r="1905" spans="7:16" x14ac:dyDescent="0.25">
      <c r="G1905" t="s">
        <v>894</v>
      </c>
      <c r="H1905">
        <v>1905</v>
      </c>
      <c r="I1905">
        <v>1905</v>
      </c>
      <c r="N1905" t="s">
        <v>895</v>
      </c>
      <c r="O1905">
        <v>1905</v>
      </c>
      <c r="P1905" t="str">
        <f t="shared" si="29"/>
        <v xml:space="preserve">[^ftn1905]: </v>
      </c>
    </row>
    <row r="1906" spans="7:16" x14ac:dyDescent="0.25">
      <c r="G1906" t="s">
        <v>894</v>
      </c>
      <c r="H1906">
        <v>1906</v>
      </c>
      <c r="I1906">
        <v>1906</v>
      </c>
      <c r="N1906" t="s">
        <v>895</v>
      </c>
      <c r="O1906">
        <v>1906</v>
      </c>
      <c r="P1906" t="str">
        <f t="shared" si="29"/>
        <v xml:space="preserve">[^ftn1906]: </v>
      </c>
    </row>
    <row r="1907" spans="7:16" x14ac:dyDescent="0.25">
      <c r="G1907" t="s">
        <v>894</v>
      </c>
      <c r="H1907">
        <v>1907</v>
      </c>
      <c r="I1907">
        <v>1907</v>
      </c>
      <c r="N1907" t="s">
        <v>895</v>
      </c>
      <c r="O1907">
        <v>1907</v>
      </c>
      <c r="P1907" t="str">
        <f t="shared" si="29"/>
        <v xml:space="preserve">[^ftn1907]: </v>
      </c>
    </row>
    <row r="1908" spans="7:16" x14ac:dyDescent="0.25">
      <c r="G1908" t="s">
        <v>894</v>
      </c>
      <c r="H1908">
        <v>1908</v>
      </c>
      <c r="I1908">
        <v>1908</v>
      </c>
      <c r="N1908" t="s">
        <v>895</v>
      </c>
      <c r="O1908">
        <v>1908</v>
      </c>
      <c r="P1908" t="str">
        <f t="shared" si="29"/>
        <v xml:space="preserve">[^ftn1908]: </v>
      </c>
    </row>
    <row r="1909" spans="7:16" x14ac:dyDescent="0.25">
      <c r="G1909" t="s">
        <v>894</v>
      </c>
      <c r="H1909">
        <v>1909</v>
      </c>
      <c r="I1909">
        <v>1909</v>
      </c>
      <c r="N1909" t="s">
        <v>895</v>
      </c>
      <c r="O1909">
        <v>1909</v>
      </c>
      <c r="P1909" t="str">
        <f t="shared" si="29"/>
        <v xml:space="preserve">[^ftn1909]: </v>
      </c>
    </row>
    <row r="1910" spans="7:16" x14ac:dyDescent="0.25">
      <c r="G1910" t="s">
        <v>894</v>
      </c>
      <c r="H1910">
        <v>1910</v>
      </c>
      <c r="I1910">
        <v>1910</v>
      </c>
      <c r="N1910" t="s">
        <v>895</v>
      </c>
      <c r="O1910">
        <v>1910</v>
      </c>
      <c r="P1910" t="str">
        <f t="shared" si="29"/>
        <v xml:space="preserve">[^ftn1910]: </v>
      </c>
    </row>
    <row r="1911" spans="7:16" x14ac:dyDescent="0.25">
      <c r="G1911" t="s">
        <v>894</v>
      </c>
      <c r="H1911">
        <v>1911</v>
      </c>
      <c r="I1911">
        <v>1911</v>
      </c>
      <c r="N1911" t="s">
        <v>895</v>
      </c>
      <c r="O1911">
        <v>1911</v>
      </c>
      <c r="P1911" t="str">
        <f t="shared" si="29"/>
        <v xml:space="preserve">[^ftn1911]: </v>
      </c>
    </row>
    <row r="1912" spans="7:16" x14ac:dyDescent="0.25">
      <c r="G1912" t="s">
        <v>894</v>
      </c>
      <c r="H1912">
        <v>1912</v>
      </c>
      <c r="I1912">
        <v>1912</v>
      </c>
      <c r="N1912" t="s">
        <v>895</v>
      </c>
      <c r="O1912">
        <v>1912</v>
      </c>
      <c r="P1912" t="str">
        <f t="shared" si="29"/>
        <v xml:space="preserve">[^ftn1912]: </v>
      </c>
    </row>
    <row r="1913" spans="7:16" x14ac:dyDescent="0.25">
      <c r="G1913" t="s">
        <v>894</v>
      </c>
      <c r="H1913">
        <v>1913</v>
      </c>
      <c r="I1913">
        <v>1913</v>
      </c>
      <c r="N1913" t="s">
        <v>895</v>
      </c>
      <c r="O1913">
        <v>1913</v>
      </c>
      <c r="P1913" t="str">
        <f t="shared" si="29"/>
        <v xml:space="preserve">[^ftn1913]: </v>
      </c>
    </row>
    <row r="1914" spans="7:16" x14ac:dyDescent="0.25">
      <c r="G1914" t="s">
        <v>894</v>
      </c>
      <c r="H1914">
        <v>1914</v>
      </c>
      <c r="I1914">
        <v>1914</v>
      </c>
      <c r="N1914" t="s">
        <v>895</v>
      </c>
      <c r="O1914">
        <v>1914</v>
      </c>
      <c r="P1914" t="str">
        <f t="shared" si="29"/>
        <v xml:space="preserve">[^ftn1914]: </v>
      </c>
    </row>
    <row r="1915" spans="7:16" x14ac:dyDescent="0.25">
      <c r="G1915" t="s">
        <v>894</v>
      </c>
      <c r="H1915">
        <v>1915</v>
      </c>
      <c r="I1915">
        <v>1915</v>
      </c>
      <c r="N1915" t="s">
        <v>895</v>
      </c>
      <c r="O1915">
        <v>1915</v>
      </c>
      <c r="P1915" t="str">
        <f t="shared" si="29"/>
        <v xml:space="preserve">[^ftn1915]: </v>
      </c>
    </row>
    <row r="1916" spans="7:16" x14ac:dyDescent="0.25">
      <c r="G1916" t="s">
        <v>894</v>
      </c>
      <c r="H1916">
        <v>1916</v>
      </c>
      <c r="I1916">
        <v>1916</v>
      </c>
      <c r="N1916" t="s">
        <v>895</v>
      </c>
      <c r="O1916">
        <v>1916</v>
      </c>
      <c r="P1916" t="str">
        <f t="shared" si="29"/>
        <v xml:space="preserve">[^ftn1916]: </v>
      </c>
    </row>
    <row r="1917" spans="7:16" x14ac:dyDescent="0.25">
      <c r="G1917" t="s">
        <v>894</v>
      </c>
      <c r="H1917">
        <v>1917</v>
      </c>
      <c r="I1917">
        <v>1917</v>
      </c>
      <c r="N1917" t="s">
        <v>895</v>
      </c>
      <c r="O1917">
        <v>1917</v>
      </c>
      <c r="P1917" t="str">
        <f t="shared" si="29"/>
        <v xml:space="preserve">[^ftn1917]: </v>
      </c>
    </row>
    <row r="1918" spans="7:16" x14ac:dyDescent="0.25">
      <c r="G1918" t="s">
        <v>894</v>
      </c>
      <c r="H1918">
        <v>1918</v>
      </c>
      <c r="I1918">
        <v>1918</v>
      </c>
      <c r="N1918" t="s">
        <v>895</v>
      </c>
      <c r="O1918">
        <v>1918</v>
      </c>
      <c r="P1918" t="str">
        <f t="shared" si="29"/>
        <v xml:space="preserve">[^ftn1918]: </v>
      </c>
    </row>
    <row r="1919" spans="7:16" x14ac:dyDescent="0.25">
      <c r="G1919" t="s">
        <v>894</v>
      </c>
      <c r="H1919">
        <v>1919</v>
      </c>
      <c r="I1919">
        <v>1919</v>
      </c>
      <c r="N1919" t="s">
        <v>895</v>
      </c>
      <c r="O1919">
        <v>1919</v>
      </c>
      <c r="P1919" t="str">
        <f t="shared" si="29"/>
        <v xml:space="preserve">[^ftn1919]: </v>
      </c>
    </row>
    <row r="1920" spans="7:16" x14ac:dyDescent="0.25">
      <c r="G1920" t="s">
        <v>894</v>
      </c>
      <c r="H1920">
        <v>1920</v>
      </c>
      <c r="I1920">
        <v>1920</v>
      </c>
      <c r="N1920" t="s">
        <v>895</v>
      </c>
      <c r="O1920">
        <v>1920</v>
      </c>
      <c r="P1920" t="str">
        <f t="shared" si="29"/>
        <v xml:space="preserve">[^ftn1920]: </v>
      </c>
    </row>
    <row r="1921" spans="7:16" x14ac:dyDescent="0.25">
      <c r="G1921" t="s">
        <v>894</v>
      </c>
      <c r="H1921">
        <v>1921</v>
      </c>
      <c r="I1921">
        <v>1921</v>
      </c>
      <c r="N1921" t="s">
        <v>895</v>
      </c>
      <c r="O1921">
        <v>1921</v>
      </c>
      <c r="P1921" t="str">
        <f t="shared" si="29"/>
        <v xml:space="preserve">[^ftn1921]: </v>
      </c>
    </row>
    <row r="1922" spans="7:16" x14ac:dyDescent="0.25">
      <c r="G1922" t="s">
        <v>894</v>
      </c>
      <c r="H1922">
        <v>1922</v>
      </c>
      <c r="I1922">
        <v>1922</v>
      </c>
      <c r="N1922" t="s">
        <v>895</v>
      </c>
      <c r="O1922">
        <v>1922</v>
      </c>
      <c r="P1922" t="str">
        <f t="shared" ref="P1922:P1985" si="30">_xlfn.CONCAT("[^ftn",O1922,"]: ",)</f>
        <v xml:space="preserve">[^ftn1922]: </v>
      </c>
    </row>
    <row r="1923" spans="7:16" x14ac:dyDescent="0.25">
      <c r="G1923" t="s">
        <v>894</v>
      </c>
      <c r="H1923">
        <v>1923</v>
      </c>
      <c r="I1923">
        <v>1923</v>
      </c>
      <c r="N1923" t="s">
        <v>895</v>
      </c>
      <c r="O1923">
        <v>1923</v>
      </c>
      <c r="P1923" t="str">
        <f t="shared" si="30"/>
        <v xml:space="preserve">[^ftn1923]: </v>
      </c>
    </row>
    <row r="1924" spans="7:16" x14ac:dyDescent="0.25">
      <c r="G1924" t="s">
        <v>894</v>
      </c>
      <c r="H1924">
        <v>1924</v>
      </c>
      <c r="I1924">
        <v>1924</v>
      </c>
      <c r="N1924" t="s">
        <v>895</v>
      </c>
      <c r="O1924">
        <v>1924</v>
      </c>
      <c r="P1924" t="str">
        <f t="shared" si="30"/>
        <v xml:space="preserve">[^ftn1924]: </v>
      </c>
    </row>
    <row r="1925" spans="7:16" x14ac:dyDescent="0.25">
      <c r="G1925" t="s">
        <v>894</v>
      </c>
      <c r="H1925">
        <v>1925</v>
      </c>
      <c r="I1925">
        <v>1925</v>
      </c>
      <c r="N1925" t="s">
        <v>895</v>
      </c>
      <c r="O1925">
        <v>1925</v>
      </c>
      <c r="P1925" t="str">
        <f t="shared" si="30"/>
        <v xml:space="preserve">[^ftn1925]: </v>
      </c>
    </row>
    <row r="1926" spans="7:16" x14ac:dyDescent="0.25">
      <c r="G1926" t="s">
        <v>894</v>
      </c>
      <c r="H1926">
        <v>1926</v>
      </c>
      <c r="I1926">
        <v>1926</v>
      </c>
      <c r="N1926" t="s">
        <v>895</v>
      </c>
      <c r="O1926">
        <v>1926</v>
      </c>
      <c r="P1926" t="str">
        <f t="shared" si="30"/>
        <v xml:space="preserve">[^ftn1926]: </v>
      </c>
    </row>
    <row r="1927" spans="7:16" x14ac:dyDescent="0.25">
      <c r="G1927" t="s">
        <v>894</v>
      </c>
      <c r="H1927">
        <v>1927</v>
      </c>
      <c r="I1927">
        <v>1927</v>
      </c>
      <c r="N1927" t="s">
        <v>895</v>
      </c>
      <c r="O1927">
        <v>1927</v>
      </c>
      <c r="P1927" t="str">
        <f t="shared" si="30"/>
        <v xml:space="preserve">[^ftn1927]: </v>
      </c>
    </row>
    <row r="1928" spans="7:16" x14ac:dyDescent="0.25">
      <c r="G1928" t="s">
        <v>894</v>
      </c>
      <c r="H1928">
        <v>1928</v>
      </c>
      <c r="I1928">
        <v>1928</v>
      </c>
      <c r="N1928" t="s">
        <v>895</v>
      </c>
      <c r="O1928">
        <v>1928</v>
      </c>
      <c r="P1928" t="str">
        <f t="shared" si="30"/>
        <v xml:space="preserve">[^ftn1928]: </v>
      </c>
    </row>
    <row r="1929" spans="7:16" x14ac:dyDescent="0.25">
      <c r="G1929" t="s">
        <v>894</v>
      </c>
      <c r="H1929">
        <v>1929</v>
      </c>
      <c r="I1929">
        <v>1929</v>
      </c>
      <c r="N1929" t="s">
        <v>895</v>
      </c>
      <c r="O1929">
        <v>1929</v>
      </c>
      <c r="P1929" t="str">
        <f t="shared" si="30"/>
        <v xml:space="preserve">[^ftn1929]: </v>
      </c>
    </row>
    <row r="1930" spans="7:16" x14ac:dyDescent="0.25">
      <c r="G1930" t="s">
        <v>894</v>
      </c>
      <c r="H1930">
        <v>1930</v>
      </c>
      <c r="I1930">
        <v>1930</v>
      </c>
      <c r="N1930" t="s">
        <v>895</v>
      </c>
      <c r="O1930">
        <v>1930</v>
      </c>
      <c r="P1930" t="str">
        <f t="shared" si="30"/>
        <v xml:space="preserve">[^ftn1930]: </v>
      </c>
    </row>
    <row r="1931" spans="7:16" x14ac:dyDescent="0.25">
      <c r="G1931" t="s">
        <v>894</v>
      </c>
      <c r="H1931">
        <v>1931</v>
      </c>
      <c r="I1931">
        <v>1931</v>
      </c>
      <c r="N1931" t="s">
        <v>895</v>
      </c>
      <c r="O1931">
        <v>1931</v>
      </c>
      <c r="P1931" t="str">
        <f t="shared" si="30"/>
        <v xml:space="preserve">[^ftn1931]: </v>
      </c>
    </row>
    <row r="1932" spans="7:16" x14ac:dyDescent="0.25">
      <c r="G1932" t="s">
        <v>894</v>
      </c>
      <c r="H1932">
        <v>1932</v>
      </c>
      <c r="I1932">
        <v>1932</v>
      </c>
      <c r="N1932" t="s">
        <v>895</v>
      </c>
      <c r="O1932">
        <v>1932</v>
      </c>
      <c r="P1932" t="str">
        <f t="shared" si="30"/>
        <v xml:space="preserve">[^ftn1932]: </v>
      </c>
    </row>
    <row r="1933" spans="7:16" x14ac:dyDescent="0.25">
      <c r="G1933" t="s">
        <v>894</v>
      </c>
      <c r="H1933">
        <v>1933</v>
      </c>
      <c r="I1933">
        <v>1933</v>
      </c>
      <c r="N1933" t="s">
        <v>895</v>
      </c>
      <c r="O1933">
        <v>1933</v>
      </c>
      <c r="P1933" t="str">
        <f t="shared" si="30"/>
        <v xml:space="preserve">[^ftn1933]: </v>
      </c>
    </row>
    <row r="1934" spans="7:16" x14ac:dyDescent="0.25">
      <c r="G1934" t="s">
        <v>894</v>
      </c>
      <c r="H1934">
        <v>1934</v>
      </c>
      <c r="I1934">
        <v>1934</v>
      </c>
      <c r="N1934" t="s">
        <v>895</v>
      </c>
      <c r="O1934">
        <v>1934</v>
      </c>
      <c r="P1934" t="str">
        <f t="shared" si="30"/>
        <v xml:space="preserve">[^ftn1934]: </v>
      </c>
    </row>
    <row r="1935" spans="7:16" x14ac:dyDescent="0.25">
      <c r="G1935" t="s">
        <v>894</v>
      </c>
      <c r="H1935">
        <v>1935</v>
      </c>
      <c r="I1935">
        <v>1935</v>
      </c>
      <c r="N1935" t="s">
        <v>895</v>
      </c>
      <c r="O1935">
        <v>1935</v>
      </c>
      <c r="P1935" t="str">
        <f t="shared" si="30"/>
        <v xml:space="preserve">[^ftn1935]: </v>
      </c>
    </row>
    <row r="1936" spans="7:16" x14ac:dyDescent="0.25">
      <c r="G1936" t="s">
        <v>894</v>
      </c>
      <c r="H1936">
        <v>1936</v>
      </c>
      <c r="I1936">
        <v>1936</v>
      </c>
      <c r="N1936" t="s">
        <v>895</v>
      </c>
      <c r="O1936">
        <v>1936</v>
      </c>
      <c r="P1936" t="str">
        <f t="shared" si="30"/>
        <v xml:space="preserve">[^ftn1936]: </v>
      </c>
    </row>
    <row r="1937" spans="7:16" x14ac:dyDescent="0.25">
      <c r="G1937" t="s">
        <v>894</v>
      </c>
      <c r="H1937">
        <v>1937</v>
      </c>
      <c r="I1937">
        <v>1937</v>
      </c>
      <c r="N1937" t="s">
        <v>895</v>
      </c>
      <c r="O1937">
        <v>1937</v>
      </c>
      <c r="P1937" t="str">
        <f t="shared" si="30"/>
        <v xml:space="preserve">[^ftn1937]: </v>
      </c>
    </row>
    <row r="1938" spans="7:16" x14ac:dyDescent="0.25">
      <c r="G1938" t="s">
        <v>894</v>
      </c>
      <c r="H1938">
        <v>1938</v>
      </c>
      <c r="I1938">
        <v>1938</v>
      </c>
      <c r="N1938" t="s">
        <v>895</v>
      </c>
      <c r="O1938">
        <v>1938</v>
      </c>
      <c r="P1938" t="str">
        <f t="shared" si="30"/>
        <v xml:space="preserve">[^ftn1938]: </v>
      </c>
    </row>
    <row r="1939" spans="7:16" x14ac:dyDescent="0.25">
      <c r="G1939" t="s">
        <v>894</v>
      </c>
      <c r="H1939">
        <v>1939</v>
      </c>
      <c r="I1939">
        <v>1939</v>
      </c>
      <c r="N1939" t="s">
        <v>895</v>
      </c>
      <c r="O1939">
        <v>1939</v>
      </c>
      <c r="P1939" t="str">
        <f t="shared" si="30"/>
        <v xml:space="preserve">[^ftn1939]: </v>
      </c>
    </row>
    <row r="1940" spans="7:16" x14ac:dyDescent="0.25">
      <c r="G1940" t="s">
        <v>894</v>
      </c>
      <c r="H1940">
        <v>1940</v>
      </c>
      <c r="I1940">
        <v>1940</v>
      </c>
      <c r="N1940" t="s">
        <v>895</v>
      </c>
      <c r="O1940">
        <v>1940</v>
      </c>
      <c r="P1940" t="str">
        <f t="shared" si="30"/>
        <v xml:space="preserve">[^ftn1940]: </v>
      </c>
    </row>
    <row r="1941" spans="7:16" x14ac:dyDescent="0.25">
      <c r="G1941" t="s">
        <v>894</v>
      </c>
      <c r="H1941">
        <v>1941</v>
      </c>
      <c r="I1941">
        <v>1941</v>
      </c>
      <c r="N1941" t="s">
        <v>895</v>
      </c>
      <c r="O1941">
        <v>1941</v>
      </c>
      <c r="P1941" t="str">
        <f t="shared" si="30"/>
        <v xml:space="preserve">[^ftn1941]: </v>
      </c>
    </row>
    <row r="1942" spans="7:16" x14ac:dyDescent="0.25">
      <c r="G1942" t="s">
        <v>894</v>
      </c>
      <c r="H1942">
        <v>1942</v>
      </c>
      <c r="I1942">
        <v>1942</v>
      </c>
      <c r="N1942" t="s">
        <v>895</v>
      </c>
      <c r="O1942">
        <v>1942</v>
      </c>
      <c r="P1942" t="str">
        <f t="shared" si="30"/>
        <v xml:space="preserve">[^ftn1942]: </v>
      </c>
    </row>
    <row r="1943" spans="7:16" x14ac:dyDescent="0.25">
      <c r="G1943" t="s">
        <v>894</v>
      </c>
      <c r="H1943">
        <v>1943</v>
      </c>
      <c r="I1943">
        <v>1943</v>
      </c>
      <c r="N1943" t="s">
        <v>895</v>
      </c>
      <c r="O1943">
        <v>1943</v>
      </c>
      <c r="P1943" t="str">
        <f t="shared" si="30"/>
        <v xml:space="preserve">[^ftn1943]: </v>
      </c>
    </row>
    <row r="1944" spans="7:16" x14ac:dyDescent="0.25">
      <c r="G1944" t="s">
        <v>894</v>
      </c>
      <c r="H1944">
        <v>1944</v>
      </c>
      <c r="I1944">
        <v>1944</v>
      </c>
      <c r="N1944" t="s">
        <v>895</v>
      </c>
      <c r="O1944">
        <v>1944</v>
      </c>
      <c r="P1944" t="str">
        <f t="shared" si="30"/>
        <v xml:space="preserve">[^ftn1944]: </v>
      </c>
    </row>
    <row r="1945" spans="7:16" x14ac:dyDescent="0.25">
      <c r="G1945" t="s">
        <v>894</v>
      </c>
      <c r="H1945">
        <v>1945</v>
      </c>
      <c r="I1945">
        <v>1945</v>
      </c>
      <c r="N1945" t="s">
        <v>895</v>
      </c>
      <c r="O1945">
        <v>1945</v>
      </c>
      <c r="P1945" t="str">
        <f t="shared" si="30"/>
        <v xml:space="preserve">[^ftn1945]: </v>
      </c>
    </row>
    <row r="1946" spans="7:16" x14ac:dyDescent="0.25">
      <c r="G1946" t="s">
        <v>894</v>
      </c>
      <c r="H1946">
        <v>1946</v>
      </c>
      <c r="I1946">
        <v>1946</v>
      </c>
      <c r="N1946" t="s">
        <v>895</v>
      </c>
      <c r="O1946">
        <v>1946</v>
      </c>
      <c r="P1946" t="str">
        <f t="shared" si="30"/>
        <v xml:space="preserve">[^ftn1946]: </v>
      </c>
    </row>
    <row r="1947" spans="7:16" x14ac:dyDescent="0.25">
      <c r="G1947" t="s">
        <v>894</v>
      </c>
      <c r="H1947">
        <v>1947</v>
      </c>
      <c r="I1947">
        <v>1947</v>
      </c>
      <c r="N1947" t="s">
        <v>895</v>
      </c>
      <c r="O1947">
        <v>1947</v>
      </c>
      <c r="P1947" t="str">
        <f t="shared" si="30"/>
        <v xml:space="preserve">[^ftn1947]: </v>
      </c>
    </row>
    <row r="1948" spans="7:16" x14ac:dyDescent="0.25">
      <c r="G1948" t="s">
        <v>894</v>
      </c>
      <c r="H1948">
        <v>1948</v>
      </c>
      <c r="I1948">
        <v>1948</v>
      </c>
      <c r="N1948" t="s">
        <v>895</v>
      </c>
      <c r="O1948">
        <v>1948</v>
      </c>
      <c r="P1948" t="str">
        <f t="shared" si="30"/>
        <v xml:space="preserve">[^ftn1948]: </v>
      </c>
    </row>
    <row r="1949" spans="7:16" x14ac:dyDescent="0.25">
      <c r="G1949" t="s">
        <v>894</v>
      </c>
      <c r="H1949">
        <v>1949</v>
      </c>
      <c r="I1949">
        <v>1949</v>
      </c>
      <c r="N1949" t="s">
        <v>895</v>
      </c>
      <c r="O1949">
        <v>1949</v>
      </c>
      <c r="P1949" t="str">
        <f t="shared" si="30"/>
        <v xml:space="preserve">[^ftn1949]: </v>
      </c>
    </row>
    <row r="1950" spans="7:16" x14ac:dyDescent="0.25">
      <c r="G1950" t="s">
        <v>894</v>
      </c>
      <c r="H1950">
        <v>1950</v>
      </c>
      <c r="I1950">
        <v>1950</v>
      </c>
      <c r="N1950" t="s">
        <v>895</v>
      </c>
      <c r="O1950">
        <v>1950</v>
      </c>
      <c r="P1950" t="str">
        <f t="shared" si="30"/>
        <v xml:space="preserve">[^ftn1950]: </v>
      </c>
    </row>
    <row r="1951" spans="7:16" x14ac:dyDescent="0.25">
      <c r="G1951" t="s">
        <v>894</v>
      </c>
      <c r="H1951">
        <v>1951</v>
      </c>
      <c r="I1951">
        <v>1951</v>
      </c>
      <c r="N1951" t="s">
        <v>895</v>
      </c>
      <c r="O1951">
        <v>1951</v>
      </c>
      <c r="P1951" t="str">
        <f t="shared" si="30"/>
        <v xml:space="preserve">[^ftn1951]: </v>
      </c>
    </row>
    <row r="1952" spans="7:16" x14ac:dyDescent="0.25">
      <c r="G1952" t="s">
        <v>894</v>
      </c>
      <c r="H1952">
        <v>1952</v>
      </c>
      <c r="I1952">
        <v>1952</v>
      </c>
      <c r="N1952" t="s">
        <v>895</v>
      </c>
      <c r="O1952">
        <v>1952</v>
      </c>
      <c r="P1952" t="str">
        <f t="shared" si="30"/>
        <v xml:space="preserve">[^ftn1952]: </v>
      </c>
    </row>
    <row r="1953" spans="7:16" x14ac:dyDescent="0.25">
      <c r="G1953" t="s">
        <v>894</v>
      </c>
      <c r="H1953">
        <v>1953</v>
      </c>
      <c r="I1953">
        <v>1953</v>
      </c>
      <c r="N1953" t="s">
        <v>895</v>
      </c>
      <c r="O1953">
        <v>1953</v>
      </c>
      <c r="P1953" t="str">
        <f t="shared" si="30"/>
        <v xml:space="preserve">[^ftn1953]: </v>
      </c>
    </row>
    <row r="1954" spans="7:16" x14ac:dyDescent="0.25">
      <c r="G1954" t="s">
        <v>894</v>
      </c>
      <c r="H1954">
        <v>1954</v>
      </c>
      <c r="I1954">
        <v>1954</v>
      </c>
      <c r="N1954" t="s">
        <v>895</v>
      </c>
      <c r="O1954">
        <v>1954</v>
      </c>
      <c r="P1954" t="str">
        <f t="shared" si="30"/>
        <v xml:space="preserve">[^ftn1954]: </v>
      </c>
    </row>
    <row r="1955" spans="7:16" x14ac:dyDescent="0.25">
      <c r="G1955" t="s">
        <v>894</v>
      </c>
      <c r="H1955">
        <v>1955</v>
      </c>
      <c r="I1955">
        <v>1955</v>
      </c>
      <c r="N1955" t="s">
        <v>895</v>
      </c>
      <c r="O1955">
        <v>1955</v>
      </c>
      <c r="P1955" t="str">
        <f t="shared" si="30"/>
        <v xml:space="preserve">[^ftn1955]: </v>
      </c>
    </row>
    <row r="1956" spans="7:16" x14ac:dyDescent="0.25">
      <c r="G1956" t="s">
        <v>894</v>
      </c>
      <c r="H1956">
        <v>1956</v>
      </c>
      <c r="I1956">
        <v>1956</v>
      </c>
      <c r="N1956" t="s">
        <v>895</v>
      </c>
      <c r="O1956">
        <v>1956</v>
      </c>
      <c r="P1956" t="str">
        <f t="shared" si="30"/>
        <v xml:space="preserve">[^ftn1956]: </v>
      </c>
    </row>
    <row r="1957" spans="7:16" x14ac:dyDescent="0.25">
      <c r="G1957" t="s">
        <v>894</v>
      </c>
      <c r="H1957">
        <v>1957</v>
      </c>
      <c r="I1957">
        <v>1957</v>
      </c>
      <c r="N1957" t="s">
        <v>895</v>
      </c>
      <c r="O1957">
        <v>1957</v>
      </c>
      <c r="P1957" t="str">
        <f t="shared" si="30"/>
        <v xml:space="preserve">[^ftn1957]: </v>
      </c>
    </row>
    <row r="1958" spans="7:16" x14ac:dyDescent="0.25">
      <c r="G1958" t="s">
        <v>894</v>
      </c>
      <c r="H1958">
        <v>1958</v>
      </c>
      <c r="I1958">
        <v>1958</v>
      </c>
      <c r="N1958" t="s">
        <v>895</v>
      </c>
      <c r="O1958">
        <v>1958</v>
      </c>
      <c r="P1958" t="str">
        <f t="shared" si="30"/>
        <v xml:space="preserve">[^ftn1958]: </v>
      </c>
    </row>
    <row r="1959" spans="7:16" x14ac:dyDescent="0.25">
      <c r="G1959" t="s">
        <v>894</v>
      </c>
      <c r="H1959">
        <v>1959</v>
      </c>
      <c r="I1959">
        <v>1959</v>
      </c>
      <c r="N1959" t="s">
        <v>895</v>
      </c>
      <c r="O1959">
        <v>1959</v>
      </c>
      <c r="P1959" t="str">
        <f t="shared" si="30"/>
        <v xml:space="preserve">[^ftn1959]: </v>
      </c>
    </row>
    <row r="1960" spans="7:16" x14ac:dyDescent="0.25">
      <c r="G1960" t="s">
        <v>894</v>
      </c>
      <c r="H1960">
        <v>1960</v>
      </c>
      <c r="I1960">
        <v>1960</v>
      </c>
      <c r="N1960" t="s">
        <v>895</v>
      </c>
      <c r="O1960">
        <v>1960</v>
      </c>
      <c r="P1960" t="str">
        <f t="shared" si="30"/>
        <v xml:space="preserve">[^ftn1960]: </v>
      </c>
    </row>
    <row r="1961" spans="7:16" x14ac:dyDescent="0.25">
      <c r="G1961" t="s">
        <v>894</v>
      </c>
      <c r="H1961">
        <v>1961</v>
      </c>
      <c r="I1961">
        <v>1961</v>
      </c>
      <c r="N1961" t="s">
        <v>895</v>
      </c>
      <c r="O1961">
        <v>1961</v>
      </c>
      <c r="P1961" t="str">
        <f t="shared" si="30"/>
        <v xml:space="preserve">[^ftn1961]: </v>
      </c>
    </row>
    <row r="1962" spans="7:16" x14ac:dyDescent="0.25">
      <c r="G1962" t="s">
        <v>894</v>
      </c>
      <c r="H1962">
        <v>1962</v>
      </c>
      <c r="I1962">
        <v>1962</v>
      </c>
      <c r="N1962" t="s">
        <v>895</v>
      </c>
      <c r="O1962">
        <v>1962</v>
      </c>
      <c r="P1962" t="str">
        <f t="shared" si="30"/>
        <v xml:space="preserve">[^ftn1962]: </v>
      </c>
    </row>
    <row r="1963" spans="7:16" x14ac:dyDescent="0.25">
      <c r="G1963" t="s">
        <v>894</v>
      </c>
      <c r="H1963">
        <v>1963</v>
      </c>
      <c r="I1963">
        <v>1963</v>
      </c>
      <c r="N1963" t="s">
        <v>895</v>
      </c>
      <c r="O1963">
        <v>1963</v>
      </c>
      <c r="P1963" t="str">
        <f t="shared" si="30"/>
        <v xml:space="preserve">[^ftn1963]: </v>
      </c>
    </row>
    <row r="1964" spans="7:16" x14ac:dyDescent="0.25">
      <c r="G1964" t="s">
        <v>894</v>
      </c>
      <c r="H1964">
        <v>1964</v>
      </c>
      <c r="I1964">
        <v>1964</v>
      </c>
      <c r="N1964" t="s">
        <v>895</v>
      </c>
      <c r="O1964">
        <v>1964</v>
      </c>
      <c r="P1964" t="str">
        <f t="shared" si="30"/>
        <v xml:space="preserve">[^ftn1964]: </v>
      </c>
    </row>
    <row r="1965" spans="7:16" x14ac:dyDescent="0.25">
      <c r="G1965" t="s">
        <v>894</v>
      </c>
      <c r="H1965">
        <v>1965</v>
      </c>
      <c r="I1965">
        <v>1965</v>
      </c>
      <c r="N1965" t="s">
        <v>895</v>
      </c>
      <c r="O1965">
        <v>1965</v>
      </c>
      <c r="P1965" t="str">
        <f t="shared" si="30"/>
        <v xml:space="preserve">[^ftn1965]: </v>
      </c>
    </row>
    <row r="1966" spans="7:16" x14ac:dyDescent="0.25">
      <c r="G1966" t="s">
        <v>894</v>
      </c>
      <c r="H1966">
        <v>1966</v>
      </c>
      <c r="I1966">
        <v>1966</v>
      </c>
      <c r="N1966" t="s">
        <v>895</v>
      </c>
      <c r="O1966">
        <v>1966</v>
      </c>
      <c r="P1966" t="str">
        <f t="shared" si="30"/>
        <v xml:space="preserve">[^ftn1966]: </v>
      </c>
    </row>
    <row r="1967" spans="7:16" x14ac:dyDescent="0.25">
      <c r="G1967" t="s">
        <v>894</v>
      </c>
      <c r="H1967">
        <v>1967</v>
      </c>
      <c r="I1967">
        <v>1967</v>
      </c>
      <c r="N1967" t="s">
        <v>895</v>
      </c>
      <c r="O1967">
        <v>1967</v>
      </c>
      <c r="P1967" t="str">
        <f t="shared" si="30"/>
        <v xml:space="preserve">[^ftn1967]: </v>
      </c>
    </row>
    <row r="1968" spans="7:16" x14ac:dyDescent="0.25">
      <c r="G1968" t="s">
        <v>894</v>
      </c>
      <c r="H1968">
        <v>1968</v>
      </c>
      <c r="I1968">
        <v>1968</v>
      </c>
      <c r="N1968" t="s">
        <v>895</v>
      </c>
      <c r="O1968">
        <v>1968</v>
      </c>
      <c r="P1968" t="str">
        <f t="shared" si="30"/>
        <v xml:space="preserve">[^ftn1968]: </v>
      </c>
    </row>
    <row r="1969" spans="7:16" x14ac:dyDescent="0.25">
      <c r="G1969" t="s">
        <v>894</v>
      </c>
      <c r="H1969">
        <v>1969</v>
      </c>
      <c r="I1969">
        <v>1969</v>
      </c>
      <c r="N1969" t="s">
        <v>895</v>
      </c>
      <c r="O1969">
        <v>1969</v>
      </c>
      <c r="P1969" t="str">
        <f t="shared" si="30"/>
        <v xml:space="preserve">[^ftn1969]: </v>
      </c>
    </row>
    <row r="1970" spans="7:16" x14ac:dyDescent="0.25">
      <c r="G1970" t="s">
        <v>894</v>
      </c>
      <c r="H1970">
        <v>1970</v>
      </c>
      <c r="I1970">
        <v>1970</v>
      </c>
      <c r="N1970" t="s">
        <v>895</v>
      </c>
      <c r="O1970">
        <v>1970</v>
      </c>
      <c r="P1970" t="str">
        <f t="shared" si="30"/>
        <v xml:space="preserve">[^ftn1970]: </v>
      </c>
    </row>
    <row r="1971" spans="7:16" x14ac:dyDescent="0.25">
      <c r="G1971" t="s">
        <v>894</v>
      </c>
      <c r="H1971">
        <v>1971</v>
      </c>
      <c r="I1971">
        <v>1971</v>
      </c>
      <c r="N1971" t="s">
        <v>895</v>
      </c>
      <c r="O1971">
        <v>1971</v>
      </c>
      <c r="P1971" t="str">
        <f t="shared" si="30"/>
        <v xml:space="preserve">[^ftn1971]: </v>
      </c>
    </row>
    <row r="1972" spans="7:16" x14ac:dyDescent="0.25">
      <c r="G1972" t="s">
        <v>894</v>
      </c>
      <c r="H1972">
        <v>1972</v>
      </c>
      <c r="I1972">
        <v>1972</v>
      </c>
      <c r="N1972" t="s">
        <v>895</v>
      </c>
      <c r="O1972">
        <v>1972</v>
      </c>
      <c r="P1972" t="str">
        <f t="shared" si="30"/>
        <v xml:space="preserve">[^ftn1972]: </v>
      </c>
    </row>
    <row r="1973" spans="7:16" x14ac:dyDescent="0.25">
      <c r="G1973" t="s">
        <v>894</v>
      </c>
      <c r="H1973">
        <v>1973</v>
      </c>
      <c r="I1973">
        <v>1973</v>
      </c>
      <c r="N1973" t="s">
        <v>895</v>
      </c>
      <c r="O1973">
        <v>1973</v>
      </c>
      <c r="P1973" t="str">
        <f t="shared" si="30"/>
        <v xml:space="preserve">[^ftn1973]: </v>
      </c>
    </row>
    <row r="1974" spans="7:16" x14ac:dyDescent="0.25">
      <c r="G1974" t="s">
        <v>894</v>
      </c>
      <c r="H1974">
        <v>1974</v>
      </c>
      <c r="I1974">
        <v>1974</v>
      </c>
      <c r="N1974" t="s">
        <v>895</v>
      </c>
      <c r="O1974">
        <v>1974</v>
      </c>
      <c r="P1974" t="str">
        <f t="shared" si="30"/>
        <v xml:space="preserve">[^ftn1974]: </v>
      </c>
    </row>
    <row r="1975" spans="7:16" x14ac:dyDescent="0.25">
      <c r="G1975" t="s">
        <v>894</v>
      </c>
      <c r="H1975">
        <v>1975</v>
      </c>
      <c r="I1975">
        <v>1975</v>
      </c>
      <c r="N1975" t="s">
        <v>895</v>
      </c>
      <c r="O1975">
        <v>1975</v>
      </c>
      <c r="P1975" t="str">
        <f t="shared" si="30"/>
        <v xml:space="preserve">[^ftn1975]: </v>
      </c>
    </row>
    <row r="1976" spans="7:16" x14ac:dyDescent="0.25">
      <c r="G1976" t="s">
        <v>894</v>
      </c>
      <c r="H1976">
        <v>1976</v>
      </c>
      <c r="I1976">
        <v>1976</v>
      </c>
      <c r="N1976" t="s">
        <v>895</v>
      </c>
      <c r="O1976">
        <v>1976</v>
      </c>
      <c r="P1976" t="str">
        <f t="shared" si="30"/>
        <v xml:space="preserve">[^ftn1976]: </v>
      </c>
    </row>
    <row r="1977" spans="7:16" x14ac:dyDescent="0.25">
      <c r="G1977" t="s">
        <v>894</v>
      </c>
      <c r="H1977">
        <v>1977</v>
      </c>
      <c r="I1977">
        <v>1977</v>
      </c>
      <c r="N1977" t="s">
        <v>895</v>
      </c>
      <c r="O1977">
        <v>1977</v>
      </c>
      <c r="P1977" t="str">
        <f t="shared" si="30"/>
        <v xml:space="preserve">[^ftn1977]: </v>
      </c>
    </row>
    <row r="1978" spans="7:16" x14ac:dyDescent="0.25">
      <c r="G1978" t="s">
        <v>894</v>
      </c>
      <c r="H1978">
        <v>1978</v>
      </c>
      <c r="I1978">
        <v>1978</v>
      </c>
      <c r="N1978" t="s">
        <v>895</v>
      </c>
      <c r="O1978">
        <v>1978</v>
      </c>
      <c r="P1978" t="str">
        <f t="shared" si="30"/>
        <v xml:space="preserve">[^ftn1978]: </v>
      </c>
    </row>
    <row r="1979" spans="7:16" x14ac:dyDescent="0.25">
      <c r="G1979" t="s">
        <v>894</v>
      </c>
      <c r="H1979">
        <v>1979</v>
      </c>
      <c r="I1979">
        <v>1979</v>
      </c>
      <c r="N1979" t="s">
        <v>895</v>
      </c>
      <c r="O1979">
        <v>1979</v>
      </c>
      <c r="P1979" t="str">
        <f t="shared" si="30"/>
        <v xml:space="preserve">[^ftn1979]: </v>
      </c>
    </row>
    <row r="1980" spans="7:16" x14ac:dyDescent="0.25">
      <c r="G1980" t="s">
        <v>894</v>
      </c>
      <c r="H1980">
        <v>1980</v>
      </c>
      <c r="I1980">
        <v>1980</v>
      </c>
      <c r="N1980" t="s">
        <v>895</v>
      </c>
      <c r="O1980">
        <v>1980</v>
      </c>
      <c r="P1980" t="str">
        <f t="shared" si="30"/>
        <v xml:space="preserve">[^ftn1980]: </v>
      </c>
    </row>
    <row r="1981" spans="7:16" x14ac:dyDescent="0.25">
      <c r="G1981" t="s">
        <v>894</v>
      </c>
      <c r="H1981">
        <v>1981</v>
      </c>
      <c r="I1981">
        <v>1981</v>
      </c>
      <c r="N1981" t="s">
        <v>895</v>
      </c>
      <c r="O1981">
        <v>1981</v>
      </c>
      <c r="P1981" t="str">
        <f t="shared" si="30"/>
        <v xml:space="preserve">[^ftn1981]: </v>
      </c>
    </row>
    <row r="1982" spans="7:16" x14ac:dyDescent="0.25">
      <c r="G1982" t="s">
        <v>894</v>
      </c>
      <c r="H1982">
        <v>1982</v>
      </c>
      <c r="I1982">
        <v>1982</v>
      </c>
      <c r="N1982" t="s">
        <v>895</v>
      </c>
      <c r="O1982">
        <v>1982</v>
      </c>
      <c r="P1982" t="str">
        <f t="shared" si="30"/>
        <v xml:space="preserve">[^ftn1982]: </v>
      </c>
    </row>
    <row r="1983" spans="7:16" x14ac:dyDescent="0.25">
      <c r="G1983" t="s">
        <v>894</v>
      </c>
      <c r="H1983">
        <v>1983</v>
      </c>
      <c r="I1983">
        <v>1983</v>
      </c>
      <c r="N1983" t="s">
        <v>895</v>
      </c>
      <c r="O1983">
        <v>1983</v>
      </c>
      <c r="P1983" t="str">
        <f t="shared" si="30"/>
        <v xml:space="preserve">[^ftn1983]: </v>
      </c>
    </row>
    <row r="1984" spans="7:16" x14ac:dyDescent="0.25">
      <c r="G1984" t="s">
        <v>894</v>
      </c>
      <c r="H1984">
        <v>1984</v>
      </c>
      <c r="I1984">
        <v>1984</v>
      </c>
      <c r="N1984" t="s">
        <v>895</v>
      </c>
      <c r="O1984">
        <v>1984</v>
      </c>
      <c r="P1984" t="str">
        <f t="shared" si="30"/>
        <v xml:space="preserve">[^ftn1984]: </v>
      </c>
    </row>
    <row r="1985" spans="7:16" x14ac:dyDescent="0.25">
      <c r="G1985" t="s">
        <v>894</v>
      </c>
      <c r="H1985">
        <v>1985</v>
      </c>
      <c r="I1985">
        <v>1985</v>
      </c>
      <c r="N1985" t="s">
        <v>895</v>
      </c>
      <c r="O1985">
        <v>1985</v>
      </c>
      <c r="P1985" t="str">
        <f t="shared" si="30"/>
        <v xml:space="preserve">[^ftn1985]: </v>
      </c>
    </row>
    <row r="1986" spans="7:16" x14ac:dyDescent="0.25">
      <c r="G1986" t="s">
        <v>894</v>
      </c>
      <c r="H1986">
        <v>1986</v>
      </c>
      <c r="I1986">
        <v>1986</v>
      </c>
      <c r="N1986" t="s">
        <v>895</v>
      </c>
      <c r="O1986">
        <v>1986</v>
      </c>
      <c r="P1986" t="str">
        <f t="shared" ref="P1986:P2049" si="31">_xlfn.CONCAT("[^ftn",O1986,"]: ",)</f>
        <v xml:space="preserve">[^ftn1986]: </v>
      </c>
    </row>
    <row r="1987" spans="7:16" x14ac:dyDescent="0.25">
      <c r="G1987" t="s">
        <v>894</v>
      </c>
      <c r="H1987">
        <v>1987</v>
      </c>
      <c r="I1987">
        <v>1987</v>
      </c>
      <c r="N1987" t="s">
        <v>895</v>
      </c>
      <c r="O1987">
        <v>1987</v>
      </c>
      <c r="P1987" t="str">
        <f t="shared" si="31"/>
        <v xml:space="preserve">[^ftn1987]: </v>
      </c>
    </row>
    <row r="1988" spans="7:16" x14ac:dyDescent="0.25">
      <c r="G1988" t="s">
        <v>894</v>
      </c>
      <c r="H1988">
        <v>1988</v>
      </c>
      <c r="I1988">
        <v>1988</v>
      </c>
      <c r="N1988" t="s">
        <v>895</v>
      </c>
      <c r="O1988">
        <v>1988</v>
      </c>
      <c r="P1988" t="str">
        <f t="shared" si="31"/>
        <v xml:space="preserve">[^ftn1988]: </v>
      </c>
    </row>
    <row r="1989" spans="7:16" x14ac:dyDescent="0.25">
      <c r="G1989" t="s">
        <v>894</v>
      </c>
      <c r="H1989">
        <v>1989</v>
      </c>
      <c r="I1989">
        <v>1989</v>
      </c>
      <c r="N1989" t="s">
        <v>895</v>
      </c>
      <c r="O1989">
        <v>1989</v>
      </c>
      <c r="P1989" t="str">
        <f t="shared" si="31"/>
        <v xml:space="preserve">[^ftn1989]: </v>
      </c>
    </row>
    <row r="1990" spans="7:16" x14ac:dyDescent="0.25">
      <c r="G1990" t="s">
        <v>894</v>
      </c>
      <c r="H1990">
        <v>1990</v>
      </c>
      <c r="I1990">
        <v>1990</v>
      </c>
      <c r="N1990" t="s">
        <v>895</v>
      </c>
      <c r="O1990">
        <v>1990</v>
      </c>
      <c r="P1990" t="str">
        <f t="shared" si="31"/>
        <v xml:space="preserve">[^ftn1990]: </v>
      </c>
    </row>
    <row r="1991" spans="7:16" x14ac:dyDescent="0.25">
      <c r="G1991" t="s">
        <v>894</v>
      </c>
      <c r="H1991">
        <v>1991</v>
      </c>
      <c r="I1991">
        <v>1991</v>
      </c>
      <c r="N1991" t="s">
        <v>895</v>
      </c>
      <c r="O1991">
        <v>1991</v>
      </c>
      <c r="P1991" t="str">
        <f t="shared" si="31"/>
        <v xml:space="preserve">[^ftn1991]: </v>
      </c>
    </row>
    <row r="1992" spans="7:16" x14ac:dyDescent="0.25">
      <c r="G1992" t="s">
        <v>894</v>
      </c>
      <c r="H1992">
        <v>1992</v>
      </c>
      <c r="I1992">
        <v>1992</v>
      </c>
      <c r="N1992" t="s">
        <v>895</v>
      </c>
      <c r="O1992">
        <v>1992</v>
      </c>
      <c r="P1992" t="str">
        <f t="shared" si="31"/>
        <v xml:space="preserve">[^ftn1992]: </v>
      </c>
    </row>
    <row r="1993" spans="7:16" x14ac:dyDescent="0.25">
      <c r="G1993" t="s">
        <v>894</v>
      </c>
      <c r="H1993">
        <v>1993</v>
      </c>
      <c r="I1993">
        <v>1993</v>
      </c>
      <c r="N1993" t="s">
        <v>895</v>
      </c>
      <c r="O1993">
        <v>1993</v>
      </c>
      <c r="P1993" t="str">
        <f t="shared" si="31"/>
        <v xml:space="preserve">[^ftn1993]: </v>
      </c>
    </row>
    <row r="1994" spans="7:16" x14ac:dyDescent="0.25">
      <c r="G1994" t="s">
        <v>894</v>
      </c>
      <c r="H1994">
        <v>1994</v>
      </c>
      <c r="I1994">
        <v>1994</v>
      </c>
      <c r="N1994" t="s">
        <v>895</v>
      </c>
      <c r="O1994">
        <v>1994</v>
      </c>
      <c r="P1994" t="str">
        <f t="shared" si="31"/>
        <v xml:space="preserve">[^ftn1994]: </v>
      </c>
    </row>
    <row r="1995" spans="7:16" x14ac:dyDescent="0.25">
      <c r="G1995" t="s">
        <v>894</v>
      </c>
      <c r="H1995">
        <v>1995</v>
      </c>
      <c r="I1995">
        <v>1995</v>
      </c>
      <c r="N1995" t="s">
        <v>895</v>
      </c>
      <c r="O1995">
        <v>1995</v>
      </c>
      <c r="P1995" t="str">
        <f t="shared" si="31"/>
        <v xml:space="preserve">[^ftn1995]: </v>
      </c>
    </row>
    <row r="1996" spans="7:16" x14ac:dyDescent="0.25">
      <c r="G1996" t="s">
        <v>894</v>
      </c>
      <c r="H1996">
        <v>1996</v>
      </c>
      <c r="I1996">
        <v>1996</v>
      </c>
      <c r="N1996" t="s">
        <v>895</v>
      </c>
      <c r="O1996">
        <v>1996</v>
      </c>
      <c r="P1996" t="str">
        <f t="shared" si="31"/>
        <v xml:space="preserve">[^ftn1996]: </v>
      </c>
    </row>
    <row r="1997" spans="7:16" x14ac:dyDescent="0.25">
      <c r="G1997" t="s">
        <v>894</v>
      </c>
      <c r="H1997">
        <v>1997</v>
      </c>
      <c r="I1997">
        <v>1997</v>
      </c>
      <c r="N1997" t="s">
        <v>895</v>
      </c>
      <c r="O1997">
        <v>1997</v>
      </c>
      <c r="P1997" t="str">
        <f t="shared" si="31"/>
        <v xml:space="preserve">[^ftn1997]: </v>
      </c>
    </row>
    <row r="1998" spans="7:16" x14ac:dyDescent="0.25">
      <c r="G1998" t="s">
        <v>894</v>
      </c>
      <c r="H1998">
        <v>1998</v>
      </c>
      <c r="I1998">
        <v>1998</v>
      </c>
      <c r="N1998" t="s">
        <v>895</v>
      </c>
      <c r="O1998">
        <v>1998</v>
      </c>
      <c r="P1998" t="str">
        <f t="shared" si="31"/>
        <v xml:space="preserve">[^ftn1998]: </v>
      </c>
    </row>
    <row r="1999" spans="7:16" x14ac:dyDescent="0.25">
      <c r="G1999" t="s">
        <v>894</v>
      </c>
      <c r="H1999">
        <v>1999</v>
      </c>
      <c r="I1999">
        <v>1999</v>
      </c>
      <c r="N1999" t="s">
        <v>895</v>
      </c>
      <c r="O1999">
        <v>1999</v>
      </c>
      <c r="P1999" t="str">
        <f t="shared" si="31"/>
        <v xml:space="preserve">[^ftn1999]: </v>
      </c>
    </row>
    <row r="2000" spans="7:16" x14ac:dyDescent="0.25">
      <c r="G2000" t="s">
        <v>894</v>
      </c>
      <c r="H2000">
        <v>2000</v>
      </c>
      <c r="I2000">
        <v>2000</v>
      </c>
      <c r="N2000" t="s">
        <v>895</v>
      </c>
      <c r="O2000">
        <v>2000</v>
      </c>
      <c r="P2000" t="str">
        <f t="shared" si="31"/>
        <v xml:space="preserve">[^ftn2000]: </v>
      </c>
    </row>
    <row r="2001" spans="7:16" x14ac:dyDescent="0.25">
      <c r="G2001" t="s">
        <v>894</v>
      </c>
      <c r="H2001">
        <v>2001</v>
      </c>
      <c r="I2001">
        <v>2001</v>
      </c>
      <c r="N2001" t="s">
        <v>895</v>
      </c>
      <c r="O2001">
        <v>2001</v>
      </c>
      <c r="P2001" t="str">
        <f t="shared" si="31"/>
        <v xml:space="preserve">[^ftn2001]: </v>
      </c>
    </row>
    <row r="2002" spans="7:16" x14ac:dyDescent="0.25">
      <c r="G2002" t="s">
        <v>894</v>
      </c>
      <c r="H2002">
        <v>2002</v>
      </c>
      <c r="I2002">
        <v>2002</v>
      </c>
      <c r="N2002" t="s">
        <v>895</v>
      </c>
      <c r="O2002">
        <v>2002</v>
      </c>
      <c r="P2002" t="str">
        <f t="shared" si="31"/>
        <v xml:space="preserve">[^ftn2002]: </v>
      </c>
    </row>
    <row r="2003" spans="7:16" x14ac:dyDescent="0.25">
      <c r="G2003" t="s">
        <v>894</v>
      </c>
      <c r="H2003">
        <v>2003</v>
      </c>
      <c r="I2003">
        <v>2003</v>
      </c>
      <c r="N2003" t="s">
        <v>895</v>
      </c>
      <c r="O2003">
        <v>2003</v>
      </c>
      <c r="P2003" t="str">
        <f t="shared" si="31"/>
        <v xml:space="preserve">[^ftn2003]: </v>
      </c>
    </row>
    <row r="2004" spans="7:16" x14ac:dyDescent="0.25">
      <c r="G2004" t="s">
        <v>894</v>
      </c>
      <c r="H2004">
        <v>2004</v>
      </c>
      <c r="I2004">
        <v>2004</v>
      </c>
      <c r="N2004" t="s">
        <v>895</v>
      </c>
      <c r="O2004">
        <v>2004</v>
      </c>
      <c r="P2004" t="str">
        <f t="shared" si="31"/>
        <v xml:space="preserve">[^ftn2004]: </v>
      </c>
    </row>
    <row r="2005" spans="7:16" x14ac:dyDescent="0.25">
      <c r="G2005" t="s">
        <v>894</v>
      </c>
      <c r="H2005">
        <v>2005</v>
      </c>
      <c r="I2005">
        <v>2005</v>
      </c>
      <c r="N2005" t="s">
        <v>895</v>
      </c>
      <c r="O2005">
        <v>2005</v>
      </c>
      <c r="P2005" t="str">
        <f t="shared" si="31"/>
        <v xml:space="preserve">[^ftn2005]: </v>
      </c>
    </row>
    <row r="2006" spans="7:16" x14ac:dyDescent="0.25">
      <c r="G2006" t="s">
        <v>894</v>
      </c>
      <c r="H2006">
        <v>2006</v>
      </c>
      <c r="I2006">
        <v>2006</v>
      </c>
      <c r="N2006" t="s">
        <v>895</v>
      </c>
      <c r="O2006">
        <v>2006</v>
      </c>
      <c r="P2006" t="str">
        <f t="shared" si="31"/>
        <v xml:space="preserve">[^ftn2006]: </v>
      </c>
    </row>
    <row r="2007" spans="7:16" x14ac:dyDescent="0.25">
      <c r="G2007" t="s">
        <v>894</v>
      </c>
      <c r="H2007">
        <v>2007</v>
      </c>
      <c r="I2007">
        <v>2007</v>
      </c>
      <c r="N2007" t="s">
        <v>895</v>
      </c>
      <c r="O2007">
        <v>2007</v>
      </c>
      <c r="P2007" t="str">
        <f t="shared" si="31"/>
        <v xml:space="preserve">[^ftn2007]: </v>
      </c>
    </row>
    <row r="2008" spans="7:16" x14ac:dyDescent="0.25">
      <c r="G2008" t="s">
        <v>894</v>
      </c>
      <c r="H2008">
        <v>2008</v>
      </c>
      <c r="I2008">
        <v>2008</v>
      </c>
      <c r="N2008" t="s">
        <v>895</v>
      </c>
      <c r="O2008">
        <v>2008</v>
      </c>
      <c r="P2008" t="str">
        <f t="shared" si="31"/>
        <v xml:space="preserve">[^ftn2008]: </v>
      </c>
    </row>
    <row r="2009" spans="7:16" x14ac:dyDescent="0.25">
      <c r="G2009" t="s">
        <v>894</v>
      </c>
      <c r="H2009">
        <v>2009</v>
      </c>
      <c r="I2009">
        <v>2009</v>
      </c>
      <c r="N2009" t="s">
        <v>895</v>
      </c>
      <c r="O2009">
        <v>2009</v>
      </c>
      <c r="P2009" t="str">
        <f t="shared" si="31"/>
        <v xml:space="preserve">[^ftn2009]: </v>
      </c>
    </row>
    <row r="2010" spans="7:16" x14ac:dyDescent="0.25">
      <c r="G2010" t="s">
        <v>894</v>
      </c>
      <c r="H2010">
        <v>2010</v>
      </c>
      <c r="I2010">
        <v>2010</v>
      </c>
      <c r="N2010" t="s">
        <v>895</v>
      </c>
      <c r="O2010">
        <v>2010</v>
      </c>
      <c r="P2010" t="str">
        <f t="shared" si="31"/>
        <v xml:space="preserve">[^ftn2010]: </v>
      </c>
    </row>
    <row r="2011" spans="7:16" x14ac:dyDescent="0.25">
      <c r="G2011" t="s">
        <v>894</v>
      </c>
      <c r="H2011">
        <v>2011</v>
      </c>
      <c r="I2011">
        <v>2011</v>
      </c>
      <c r="N2011" t="s">
        <v>895</v>
      </c>
      <c r="O2011">
        <v>2011</v>
      </c>
      <c r="P2011" t="str">
        <f t="shared" si="31"/>
        <v xml:space="preserve">[^ftn2011]: </v>
      </c>
    </row>
    <row r="2012" spans="7:16" x14ac:dyDescent="0.25">
      <c r="G2012" t="s">
        <v>894</v>
      </c>
      <c r="H2012">
        <v>2012</v>
      </c>
      <c r="I2012">
        <v>2012</v>
      </c>
      <c r="N2012" t="s">
        <v>895</v>
      </c>
      <c r="O2012">
        <v>2012</v>
      </c>
      <c r="P2012" t="str">
        <f t="shared" si="31"/>
        <v xml:space="preserve">[^ftn2012]: </v>
      </c>
    </row>
    <row r="2013" spans="7:16" x14ac:dyDescent="0.25">
      <c r="G2013" t="s">
        <v>894</v>
      </c>
      <c r="H2013">
        <v>2013</v>
      </c>
      <c r="I2013">
        <v>2013</v>
      </c>
      <c r="N2013" t="s">
        <v>895</v>
      </c>
      <c r="O2013">
        <v>2013</v>
      </c>
      <c r="P2013" t="str">
        <f t="shared" si="31"/>
        <v xml:space="preserve">[^ftn2013]: </v>
      </c>
    </row>
    <row r="2014" spans="7:16" x14ac:dyDescent="0.25">
      <c r="G2014" t="s">
        <v>894</v>
      </c>
      <c r="H2014">
        <v>2014</v>
      </c>
      <c r="I2014">
        <v>2014</v>
      </c>
      <c r="N2014" t="s">
        <v>895</v>
      </c>
      <c r="O2014">
        <v>2014</v>
      </c>
      <c r="P2014" t="str">
        <f t="shared" si="31"/>
        <v xml:space="preserve">[^ftn2014]: </v>
      </c>
    </row>
    <row r="2015" spans="7:16" x14ac:dyDescent="0.25">
      <c r="G2015" t="s">
        <v>894</v>
      </c>
      <c r="H2015">
        <v>2015</v>
      </c>
      <c r="I2015">
        <v>2015</v>
      </c>
      <c r="N2015" t="s">
        <v>895</v>
      </c>
      <c r="O2015">
        <v>2015</v>
      </c>
      <c r="P2015" t="str">
        <f t="shared" si="31"/>
        <v xml:space="preserve">[^ftn2015]: </v>
      </c>
    </row>
    <row r="2016" spans="7:16" x14ac:dyDescent="0.25">
      <c r="G2016" t="s">
        <v>894</v>
      </c>
      <c r="H2016">
        <v>2016</v>
      </c>
      <c r="I2016">
        <v>2016</v>
      </c>
      <c r="N2016" t="s">
        <v>895</v>
      </c>
      <c r="O2016">
        <v>2016</v>
      </c>
      <c r="P2016" t="str">
        <f t="shared" si="31"/>
        <v xml:space="preserve">[^ftn2016]: </v>
      </c>
    </row>
    <row r="2017" spans="7:16" x14ac:dyDescent="0.25">
      <c r="G2017" t="s">
        <v>894</v>
      </c>
      <c r="H2017">
        <v>2017</v>
      </c>
      <c r="I2017">
        <v>2017</v>
      </c>
      <c r="N2017" t="s">
        <v>895</v>
      </c>
      <c r="O2017">
        <v>2017</v>
      </c>
      <c r="P2017" t="str">
        <f t="shared" si="31"/>
        <v xml:space="preserve">[^ftn2017]: </v>
      </c>
    </row>
    <row r="2018" spans="7:16" x14ac:dyDescent="0.25">
      <c r="G2018" t="s">
        <v>894</v>
      </c>
      <c r="H2018">
        <v>2018</v>
      </c>
      <c r="I2018">
        <v>2018</v>
      </c>
      <c r="N2018" t="s">
        <v>895</v>
      </c>
      <c r="O2018">
        <v>2018</v>
      </c>
      <c r="P2018" t="str">
        <f t="shared" si="31"/>
        <v xml:space="preserve">[^ftn2018]: </v>
      </c>
    </row>
    <row r="2019" spans="7:16" x14ac:dyDescent="0.25">
      <c r="G2019" t="s">
        <v>894</v>
      </c>
      <c r="H2019">
        <v>2019</v>
      </c>
      <c r="I2019">
        <v>2019</v>
      </c>
      <c r="N2019" t="s">
        <v>895</v>
      </c>
      <c r="O2019">
        <v>2019</v>
      </c>
      <c r="P2019" t="str">
        <f t="shared" si="31"/>
        <v xml:space="preserve">[^ftn2019]: </v>
      </c>
    </row>
    <row r="2020" spans="7:16" x14ac:dyDescent="0.25">
      <c r="G2020" t="s">
        <v>894</v>
      </c>
      <c r="H2020">
        <v>2020</v>
      </c>
      <c r="I2020">
        <v>2020</v>
      </c>
      <c r="N2020" t="s">
        <v>895</v>
      </c>
      <c r="O2020">
        <v>2020</v>
      </c>
      <c r="P2020" t="str">
        <f t="shared" si="31"/>
        <v xml:space="preserve">[^ftn2020]: </v>
      </c>
    </row>
    <row r="2021" spans="7:16" x14ac:dyDescent="0.25">
      <c r="G2021" t="s">
        <v>894</v>
      </c>
      <c r="H2021">
        <v>2021</v>
      </c>
      <c r="I2021">
        <v>2021</v>
      </c>
      <c r="N2021" t="s">
        <v>895</v>
      </c>
      <c r="O2021">
        <v>2021</v>
      </c>
      <c r="P2021" t="str">
        <f t="shared" si="31"/>
        <v xml:space="preserve">[^ftn2021]: </v>
      </c>
    </row>
    <row r="2022" spans="7:16" x14ac:dyDescent="0.25">
      <c r="G2022" t="s">
        <v>894</v>
      </c>
      <c r="H2022">
        <v>2022</v>
      </c>
      <c r="I2022">
        <v>2022</v>
      </c>
      <c r="N2022" t="s">
        <v>895</v>
      </c>
      <c r="O2022">
        <v>2022</v>
      </c>
      <c r="P2022" t="str">
        <f t="shared" si="31"/>
        <v xml:space="preserve">[^ftn2022]: </v>
      </c>
    </row>
    <row r="2023" spans="7:16" x14ac:dyDescent="0.25">
      <c r="G2023" t="s">
        <v>894</v>
      </c>
      <c r="H2023">
        <v>2023</v>
      </c>
      <c r="I2023">
        <v>2023</v>
      </c>
      <c r="N2023" t="s">
        <v>895</v>
      </c>
      <c r="O2023">
        <v>2023</v>
      </c>
      <c r="P2023" t="str">
        <f t="shared" si="31"/>
        <v xml:space="preserve">[^ftn2023]: </v>
      </c>
    </row>
    <row r="2024" spans="7:16" x14ac:dyDescent="0.25">
      <c r="G2024" t="s">
        <v>894</v>
      </c>
      <c r="H2024">
        <v>2024</v>
      </c>
      <c r="I2024">
        <v>2024</v>
      </c>
      <c r="N2024" t="s">
        <v>895</v>
      </c>
      <c r="O2024">
        <v>2024</v>
      </c>
      <c r="P2024" t="str">
        <f t="shared" si="31"/>
        <v xml:space="preserve">[^ftn2024]: </v>
      </c>
    </row>
    <row r="2025" spans="7:16" x14ac:dyDescent="0.25">
      <c r="G2025" t="s">
        <v>894</v>
      </c>
      <c r="H2025">
        <v>2025</v>
      </c>
      <c r="I2025">
        <v>2025</v>
      </c>
      <c r="N2025" t="s">
        <v>895</v>
      </c>
      <c r="O2025">
        <v>2025</v>
      </c>
      <c r="P2025" t="str">
        <f t="shared" si="31"/>
        <v xml:space="preserve">[^ftn2025]: </v>
      </c>
    </row>
    <row r="2026" spans="7:16" x14ac:dyDescent="0.25">
      <c r="G2026" t="s">
        <v>894</v>
      </c>
      <c r="H2026">
        <v>2026</v>
      </c>
      <c r="I2026">
        <v>2026</v>
      </c>
      <c r="N2026" t="s">
        <v>895</v>
      </c>
      <c r="O2026">
        <v>2026</v>
      </c>
      <c r="P2026" t="str">
        <f t="shared" si="31"/>
        <v xml:space="preserve">[^ftn2026]: </v>
      </c>
    </row>
    <row r="2027" spans="7:16" x14ac:dyDescent="0.25">
      <c r="G2027" t="s">
        <v>894</v>
      </c>
      <c r="H2027">
        <v>2027</v>
      </c>
      <c r="I2027">
        <v>2027</v>
      </c>
      <c r="N2027" t="s">
        <v>895</v>
      </c>
      <c r="O2027">
        <v>2027</v>
      </c>
      <c r="P2027" t="str">
        <f t="shared" si="31"/>
        <v xml:space="preserve">[^ftn2027]: </v>
      </c>
    </row>
    <row r="2028" spans="7:16" x14ac:dyDescent="0.25">
      <c r="G2028" t="s">
        <v>894</v>
      </c>
      <c r="H2028">
        <v>2028</v>
      </c>
      <c r="I2028">
        <v>2028</v>
      </c>
      <c r="N2028" t="s">
        <v>895</v>
      </c>
      <c r="O2028">
        <v>2028</v>
      </c>
      <c r="P2028" t="str">
        <f t="shared" si="31"/>
        <v xml:space="preserve">[^ftn2028]: </v>
      </c>
    </row>
    <row r="2029" spans="7:16" x14ac:dyDescent="0.25">
      <c r="G2029" t="s">
        <v>894</v>
      </c>
      <c r="H2029">
        <v>2029</v>
      </c>
      <c r="I2029">
        <v>2029</v>
      </c>
      <c r="N2029" t="s">
        <v>895</v>
      </c>
      <c r="O2029">
        <v>2029</v>
      </c>
      <c r="P2029" t="str">
        <f t="shared" si="31"/>
        <v xml:space="preserve">[^ftn2029]: </v>
      </c>
    </row>
    <row r="2030" spans="7:16" x14ac:dyDescent="0.25">
      <c r="G2030" t="s">
        <v>894</v>
      </c>
      <c r="H2030">
        <v>2030</v>
      </c>
      <c r="I2030">
        <v>2030</v>
      </c>
      <c r="N2030" t="s">
        <v>895</v>
      </c>
      <c r="O2030">
        <v>2030</v>
      </c>
      <c r="P2030" t="str">
        <f t="shared" si="31"/>
        <v xml:space="preserve">[^ftn2030]: </v>
      </c>
    </row>
    <row r="2031" spans="7:16" x14ac:dyDescent="0.25">
      <c r="G2031" t="s">
        <v>894</v>
      </c>
      <c r="H2031">
        <v>2031</v>
      </c>
      <c r="I2031">
        <v>2031</v>
      </c>
      <c r="N2031" t="s">
        <v>895</v>
      </c>
      <c r="O2031">
        <v>2031</v>
      </c>
      <c r="P2031" t="str">
        <f t="shared" si="31"/>
        <v xml:space="preserve">[^ftn2031]: </v>
      </c>
    </row>
    <row r="2032" spans="7:16" x14ac:dyDescent="0.25">
      <c r="G2032" t="s">
        <v>894</v>
      </c>
      <c r="H2032">
        <v>2032</v>
      </c>
      <c r="I2032">
        <v>2032</v>
      </c>
      <c r="N2032" t="s">
        <v>895</v>
      </c>
      <c r="O2032">
        <v>2032</v>
      </c>
      <c r="P2032" t="str">
        <f t="shared" si="31"/>
        <v xml:space="preserve">[^ftn2032]: </v>
      </c>
    </row>
    <row r="2033" spans="7:16" x14ac:dyDescent="0.25">
      <c r="G2033" t="s">
        <v>894</v>
      </c>
      <c r="H2033">
        <v>2033</v>
      </c>
      <c r="I2033">
        <v>2033</v>
      </c>
      <c r="N2033" t="s">
        <v>895</v>
      </c>
      <c r="O2033">
        <v>2033</v>
      </c>
      <c r="P2033" t="str">
        <f t="shared" si="31"/>
        <v xml:space="preserve">[^ftn2033]: </v>
      </c>
    </row>
    <row r="2034" spans="7:16" x14ac:dyDescent="0.25">
      <c r="G2034" t="s">
        <v>894</v>
      </c>
      <c r="H2034">
        <v>2034</v>
      </c>
      <c r="I2034">
        <v>2034</v>
      </c>
      <c r="N2034" t="s">
        <v>895</v>
      </c>
      <c r="O2034">
        <v>2034</v>
      </c>
      <c r="P2034" t="str">
        <f t="shared" si="31"/>
        <v xml:space="preserve">[^ftn2034]: </v>
      </c>
    </row>
    <row r="2035" spans="7:16" x14ac:dyDescent="0.25">
      <c r="G2035" t="s">
        <v>894</v>
      </c>
      <c r="H2035">
        <v>2035</v>
      </c>
      <c r="I2035">
        <v>2035</v>
      </c>
      <c r="N2035" t="s">
        <v>895</v>
      </c>
      <c r="O2035">
        <v>2035</v>
      </c>
      <c r="P2035" t="str">
        <f t="shared" si="31"/>
        <v xml:space="preserve">[^ftn2035]: </v>
      </c>
    </row>
    <row r="2036" spans="7:16" x14ac:dyDescent="0.25">
      <c r="G2036" t="s">
        <v>894</v>
      </c>
      <c r="H2036">
        <v>2036</v>
      </c>
      <c r="I2036">
        <v>2036</v>
      </c>
      <c r="N2036" t="s">
        <v>895</v>
      </c>
      <c r="O2036">
        <v>2036</v>
      </c>
      <c r="P2036" t="str">
        <f t="shared" si="31"/>
        <v xml:space="preserve">[^ftn2036]: </v>
      </c>
    </row>
    <row r="2037" spans="7:16" x14ac:dyDescent="0.25">
      <c r="G2037" t="s">
        <v>894</v>
      </c>
      <c r="H2037">
        <v>2037</v>
      </c>
      <c r="I2037">
        <v>2037</v>
      </c>
      <c r="N2037" t="s">
        <v>895</v>
      </c>
      <c r="O2037">
        <v>2037</v>
      </c>
      <c r="P2037" t="str">
        <f t="shared" si="31"/>
        <v xml:space="preserve">[^ftn2037]: </v>
      </c>
    </row>
    <row r="2038" spans="7:16" x14ac:dyDescent="0.25">
      <c r="G2038" t="s">
        <v>894</v>
      </c>
      <c r="H2038">
        <v>2038</v>
      </c>
      <c r="I2038">
        <v>2038</v>
      </c>
      <c r="N2038" t="s">
        <v>895</v>
      </c>
      <c r="O2038">
        <v>2038</v>
      </c>
      <c r="P2038" t="str">
        <f t="shared" si="31"/>
        <v xml:space="preserve">[^ftn2038]: </v>
      </c>
    </row>
    <row r="2039" spans="7:16" x14ac:dyDescent="0.25">
      <c r="G2039" t="s">
        <v>894</v>
      </c>
      <c r="H2039">
        <v>2039</v>
      </c>
      <c r="I2039">
        <v>2039</v>
      </c>
      <c r="N2039" t="s">
        <v>895</v>
      </c>
      <c r="O2039">
        <v>2039</v>
      </c>
      <c r="P2039" t="str">
        <f t="shared" si="31"/>
        <v xml:space="preserve">[^ftn2039]: </v>
      </c>
    </row>
    <row r="2040" spans="7:16" x14ac:dyDescent="0.25">
      <c r="G2040" t="s">
        <v>894</v>
      </c>
      <c r="H2040">
        <v>2040</v>
      </c>
      <c r="I2040">
        <v>2040</v>
      </c>
      <c r="N2040" t="s">
        <v>895</v>
      </c>
      <c r="O2040">
        <v>2040</v>
      </c>
      <c r="P2040" t="str">
        <f t="shared" si="31"/>
        <v xml:space="preserve">[^ftn2040]: </v>
      </c>
    </row>
    <row r="2041" spans="7:16" x14ac:dyDescent="0.25">
      <c r="G2041" t="s">
        <v>894</v>
      </c>
      <c r="H2041">
        <v>2041</v>
      </c>
      <c r="I2041">
        <v>2041</v>
      </c>
      <c r="N2041" t="s">
        <v>895</v>
      </c>
      <c r="O2041">
        <v>2041</v>
      </c>
      <c r="P2041" t="str">
        <f t="shared" si="31"/>
        <v xml:space="preserve">[^ftn2041]: </v>
      </c>
    </row>
    <row r="2042" spans="7:16" x14ac:dyDescent="0.25">
      <c r="G2042" t="s">
        <v>894</v>
      </c>
      <c r="H2042">
        <v>2042</v>
      </c>
      <c r="I2042">
        <v>2042</v>
      </c>
      <c r="N2042" t="s">
        <v>895</v>
      </c>
      <c r="O2042">
        <v>2042</v>
      </c>
      <c r="P2042" t="str">
        <f t="shared" si="31"/>
        <v xml:space="preserve">[^ftn2042]: </v>
      </c>
    </row>
    <row r="2043" spans="7:16" x14ac:dyDescent="0.25">
      <c r="G2043" t="s">
        <v>894</v>
      </c>
      <c r="H2043">
        <v>2043</v>
      </c>
      <c r="I2043">
        <v>2043</v>
      </c>
      <c r="N2043" t="s">
        <v>895</v>
      </c>
      <c r="O2043">
        <v>2043</v>
      </c>
      <c r="P2043" t="str">
        <f t="shared" si="31"/>
        <v xml:space="preserve">[^ftn2043]: </v>
      </c>
    </row>
    <row r="2044" spans="7:16" x14ac:dyDescent="0.25">
      <c r="G2044" t="s">
        <v>894</v>
      </c>
      <c r="H2044">
        <v>2044</v>
      </c>
      <c r="I2044">
        <v>2044</v>
      </c>
      <c r="N2044" t="s">
        <v>895</v>
      </c>
      <c r="O2044">
        <v>2044</v>
      </c>
      <c r="P2044" t="str">
        <f t="shared" si="31"/>
        <v xml:space="preserve">[^ftn2044]: </v>
      </c>
    </row>
    <row r="2045" spans="7:16" x14ac:dyDescent="0.25">
      <c r="G2045" t="s">
        <v>894</v>
      </c>
      <c r="H2045">
        <v>2045</v>
      </c>
      <c r="I2045">
        <v>2045</v>
      </c>
      <c r="N2045" t="s">
        <v>895</v>
      </c>
      <c r="O2045">
        <v>2045</v>
      </c>
      <c r="P2045" t="str">
        <f t="shared" si="31"/>
        <v xml:space="preserve">[^ftn2045]: </v>
      </c>
    </row>
    <row r="2046" spans="7:16" x14ac:dyDescent="0.25">
      <c r="G2046" t="s">
        <v>894</v>
      </c>
      <c r="H2046">
        <v>2046</v>
      </c>
      <c r="I2046">
        <v>2046</v>
      </c>
      <c r="N2046" t="s">
        <v>895</v>
      </c>
      <c r="O2046">
        <v>2046</v>
      </c>
      <c r="P2046" t="str">
        <f t="shared" si="31"/>
        <v xml:space="preserve">[^ftn2046]: </v>
      </c>
    </row>
    <row r="2047" spans="7:16" x14ac:dyDescent="0.25">
      <c r="G2047" t="s">
        <v>894</v>
      </c>
      <c r="H2047">
        <v>2047</v>
      </c>
      <c r="I2047">
        <v>2047</v>
      </c>
      <c r="N2047" t="s">
        <v>895</v>
      </c>
      <c r="O2047">
        <v>2047</v>
      </c>
      <c r="P2047" t="str">
        <f t="shared" si="31"/>
        <v xml:space="preserve">[^ftn2047]: </v>
      </c>
    </row>
    <row r="2048" spans="7:16" x14ac:dyDescent="0.25">
      <c r="G2048" t="s">
        <v>894</v>
      </c>
      <c r="H2048">
        <v>2048</v>
      </c>
      <c r="I2048">
        <v>2048</v>
      </c>
      <c r="N2048" t="s">
        <v>895</v>
      </c>
      <c r="O2048">
        <v>2048</v>
      </c>
      <c r="P2048" t="str">
        <f t="shared" si="31"/>
        <v xml:space="preserve">[^ftn2048]: </v>
      </c>
    </row>
    <row r="2049" spans="7:16" x14ac:dyDescent="0.25">
      <c r="G2049" t="s">
        <v>894</v>
      </c>
      <c r="H2049">
        <v>2049</v>
      </c>
      <c r="I2049">
        <v>2049</v>
      </c>
      <c r="N2049" t="s">
        <v>895</v>
      </c>
      <c r="O2049">
        <v>2049</v>
      </c>
      <c r="P2049" t="str">
        <f t="shared" si="31"/>
        <v xml:space="preserve">[^ftn2049]: </v>
      </c>
    </row>
    <row r="2050" spans="7:16" x14ac:dyDescent="0.25">
      <c r="G2050" t="s">
        <v>894</v>
      </c>
      <c r="H2050">
        <v>2050</v>
      </c>
      <c r="I2050">
        <v>2050</v>
      </c>
      <c r="N2050" t="s">
        <v>895</v>
      </c>
      <c r="O2050">
        <v>2050</v>
      </c>
      <c r="P2050" t="str">
        <f t="shared" ref="P2050:P2113" si="32">_xlfn.CONCAT("[^ftn",O2050,"]: ",)</f>
        <v xml:space="preserve">[^ftn2050]: </v>
      </c>
    </row>
    <row r="2051" spans="7:16" x14ac:dyDescent="0.25">
      <c r="G2051" t="s">
        <v>894</v>
      </c>
      <c r="H2051">
        <v>2051</v>
      </c>
      <c r="I2051">
        <v>2051</v>
      </c>
      <c r="N2051" t="s">
        <v>895</v>
      </c>
      <c r="O2051">
        <v>2051</v>
      </c>
      <c r="P2051" t="str">
        <f t="shared" si="32"/>
        <v xml:space="preserve">[^ftn2051]: </v>
      </c>
    </row>
    <row r="2052" spans="7:16" x14ac:dyDescent="0.25">
      <c r="G2052" t="s">
        <v>894</v>
      </c>
      <c r="H2052">
        <v>2052</v>
      </c>
      <c r="I2052">
        <v>2052</v>
      </c>
      <c r="N2052" t="s">
        <v>895</v>
      </c>
      <c r="O2052">
        <v>2052</v>
      </c>
      <c r="P2052" t="str">
        <f t="shared" si="32"/>
        <v xml:space="preserve">[^ftn2052]: </v>
      </c>
    </row>
    <row r="2053" spans="7:16" x14ac:dyDescent="0.25">
      <c r="G2053" t="s">
        <v>894</v>
      </c>
      <c r="H2053">
        <v>2053</v>
      </c>
      <c r="I2053">
        <v>2053</v>
      </c>
      <c r="N2053" t="s">
        <v>895</v>
      </c>
      <c r="O2053">
        <v>2053</v>
      </c>
      <c r="P2053" t="str">
        <f t="shared" si="32"/>
        <v xml:space="preserve">[^ftn2053]: </v>
      </c>
    </row>
    <row r="2054" spans="7:16" x14ac:dyDescent="0.25">
      <c r="G2054" t="s">
        <v>894</v>
      </c>
      <c r="H2054">
        <v>2054</v>
      </c>
      <c r="I2054">
        <v>2054</v>
      </c>
      <c r="N2054" t="s">
        <v>895</v>
      </c>
      <c r="O2054">
        <v>2054</v>
      </c>
      <c r="P2054" t="str">
        <f t="shared" si="32"/>
        <v xml:space="preserve">[^ftn2054]: </v>
      </c>
    </row>
    <row r="2055" spans="7:16" x14ac:dyDescent="0.25">
      <c r="G2055" t="s">
        <v>894</v>
      </c>
      <c r="H2055">
        <v>2055</v>
      </c>
      <c r="I2055">
        <v>2055</v>
      </c>
      <c r="N2055" t="s">
        <v>895</v>
      </c>
      <c r="O2055">
        <v>2055</v>
      </c>
      <c r="P2055" t="str">
        <f t="shared" si="32"/>
        <v xml:space="preserve">[^ftn2055]: </v>
      </c>
    </row>
    <row r="2056" spans="7:16" x14ac:dyDescent="0.25">
      <c r="G2056" t="s">
        <v>894</v>
      </c>
      <c r="H2056">
        <v>2056</v>
      </c>
      <c r="I2056">
        <v>2056</v>
      </c>
      <c r="N2056" t="s">
        <v>895</v>
      </c>
      <c r="O2056">
        <v>2056</v>
      </c>
      <c r="P2056" t="str">
        <f t="shared" si="32"/>
        <v xml:space="preserve">[^ftn2056]: </v>
      </c>
    </row>
    <row r="2057" spans="7:16" x14ac:dyDescent="0.25">
      <c r="G2057" t="s">
        <v>894</v>
      </c>
      <c r="H2057">
        <v>2057</v>
      </c>
      <c r="I2057">
        <v>2057</v>
      </c>
      <c r="N2057" t="s">
        <v>895</v>
      </c>
      <c r="O2057">
        <v>2057</v>
      </c>
      <c r="P2057" t="str">
        <f t="shared" si="32"/>
        <v xml:space="preserve">[^ftn2057]: </v>
      </c>
    </row>
    <row r="2058" spans="7:16" x14ac:dyDescent="0.25">
      <c r="G2058" t="s">
        <v>894</v>
      </c>
      <c r="H2058">
        <v>2058</v>
      </c>
      <c r="I2058">
        <v>2058</v>
      </c>
      <c r="N2058" t="s">
        <v>895</v>
      </c>
      <c r="O2058">
        <v>2058</v>
      </c>
      <c r="P2058" t="str">
        <f t="shared" si="32"/>
        <v xml:space="preserve">[^ftn2058]: </v>
      </c>
    </row>
    <row r="2059" spans="7:16" x14ac:dyDescent="0.25">
      <c r="G2059" t="s">
        <v>894</v>
      </c>
      <c r="H2059">
        <v>2059</v>
      </c>
      <c r="I2059">
        <v>2059</v>
      </c>
      <c r="N2059" t="s">
        <v>895</v>
      </c>
      <c r="O2059">
        <v>2059</v>
      </c>
      <c r="P2059" t="str">
        <f t="shared" si="32"/>
        <v xml:space="preserve">[^ftn2059]: </v>
      </c>
    </row>
    <row r="2060" spans="7:16" x14ac:dyDescent="0.25">
      <c r="G2060" t="s">
        <v>894</v>
      </c>
      <c r="H2060">
        <v>2060</v>
      </c>
      <c r="I2060">
        <v>2060</v>
      </c>
      <c r="N2060" t="s">
        <v>895</v>
      </c>
      <c r="O2060">
        <v>2060</v>
      </c>
      <c r="P2060" t="str">
        <f t="shared" si="32"/>
        <v xml:space="preserve">[^ftn2060]: </v>
      </c>
    </row>
    <row r="2061" spans="7:16" x14ac:dyDescent="0.25">
      <c r="G2061" t="s">
        <v>894</v>
      </c>
      <c r="H2061">
        <v>2061</v>
      </c>
      <c r="I2061">
        <v>2061</v>
      </c>
      <c r="N2061" t="s">
        <v>895</v>
      </c>
      <c r="O2061">
        <v>2061</v>
      </c>
      <c r="P2061" t="str">
        <f t="shared" si="32"/>
        <v xml:space="preserve">[^ftn2061]: </v>
      </c>
    </row>
    <row r="2062" spans="7:16" x14ac:dyDescent="0.25">
      <c r="G2062" t="s">
        <v>894</v>
      </c>
      <c r="H2062">
        <v>2062</v>
      </c>
      <c r="I2062">
        <v>2062</v>
      </c>
      <c r="N2062" t="s">
        <v>895</v>
      </c>
      <c r="O2062">
        <v>2062</v>
      </c>
      <c r="P2062" t="str">
        <f t="shared" si="32"/>
        <v xml:space="preserve">[^ftn2062]: </v>
      </c>
    </row>
    <row r="2063" spans="7:16" x14ac:dyDescent="0.25">
      <c r="G2063" t="s">
        <v>894</v>
      </c>
      <c r="H2063">
        <v>2063</v>
      </c>
      <c r="I2063">
        <v>2063</v>
      </c>
      <c r="N2063" t="s">
        <v>895</v>
      </c>
      <c r="O2063">
        <v>2063</v>
      </c>
      <c r="P2063" t="str">
        <f t="shared" si="32"/>
        <v xml:space="preserve">[^ftn2063]: </v>
      </c>
    </row>
    <row r="2064" spans="7:16" x14ac:dyDescent="0.25">
      <c r="G2064" t="s">
        <v>894</v>
      </c>
      <c r="H2064">
        <v>2064</v>
      </c>
      <c r="I2064">
        <v>2064</v>
      </c>
      <c r="N2064" t="s">
        <v>895</v>
      </c>
      <c r="O2064">
        <v>2064</v>
      </c>
      <c r="P2064" t="str">
        <f t="shared" si="32"/>
        <v xml:space="preserve">[^ftn2064]: </v>
      </c>
    </row>
    <row r="2065" spans="7:16" x14ac:dyDescent="0.25">
      <c r="G2065" t="s">
        <v>894</v>
      </c>
      <c r="H2065">
        <v>2065</v>
      </c>
      <c r="I2065">
        <v>2065</v>
      </c>
      <c r="N2065" t="s">
        <v>895</v>
      </c>
      <c r="O2065">
        <v>2065</v>
      </c>
      <c r="P2065" t="str">
        <f t="shared" si="32"/>
        <v xml:space="preserve">[^ftn2065]: </v>
      </c>
    </row>
    <row r="2066" spans="7:16" x14ac:dyDescent="0.25">
      <c r="G2066" t="s">
        <v>894</v>
      </c>
      <c r="H2066">
        <v>2066</v>
      </c>
      <c r="I2066">
        <v>2066</v>
      </c>
      <c r="N2066" t="s">
        <v>895</v>
      </c>
      <c r="O2066">
        <v>2066</v>
      </c>
      <c r="P2066" t="str">
        <f t="shared" si="32"/>
        <v xml:space="preserve">[^ftn2066]: </v>
      </c>
    </row>
    <row r="2067" spans="7:16" x14ac:dyDescent="0.25">
      <c r="G2067" t="s">
        <v>894</v>
      </c>
      <c r="H2067">
        <v>2067</v>
      </c>
      <c r="I2067">
        <v>2067</v>
      </c>
      <c r="N2067" t="s">
        <v>895</v>
      </c>
      <c r="O2067">
        <v>2067</v>
      </c>
      <c r="P2067" t="str">
        <f t="shared" si="32"/>
        <v xml:space="preserve">[^ftn2067]: </v>
      </c>
    </row>
    <row r="2068" spans="7:16" x14ac:dyDescent="0.25">
      <c r="G2068" t="s">
        <v>894</v>
      </c>
      <c r="H2068">
        <v>2068</v>
      </c>
      <c r="I2068">
        <v>2068</v>
      </c>
      <c r="N2068" t="s">
        <v>895</v>
      </c>
      <c r="O2068">
        <v>2068</v>
      </c>
      <c r="P2068" t="str">
        <f t="shared" si="32"/>
        <v xml:space="preserve">[^ftn2068]: </v>
      </c>
    </row>
    <row r="2069" spans="7:16" x14ac:dyDescent="0.25">
      <c r="G2069" t="s">
        <v>894</v>
      </c>
      <c r="H2069">
        <v>2069</v>
      </c>
      <c r="I2069">
        <v>2069</v>
      </c>
      <c r="N2069" t="s">
        <v>895</v>
      </c>
      <c r="O2069">
        <v>2069</v>
      </c>
      <c r="P2069" t="str">
        <f t="shared" si="32"/>
        <v xml:space="preserve">[^ftn2069]: </v>
      </c>
    </row>
    <row r="2070" spans="7:16" x14ac:dyDescent="0.25">
      <c r="G2070" t="s">
        <v>894</v>
      </c>
      <c r="H2070">
        <v>2070</v>
      </c>
      <c r="I2070">
        <v>2070</v>
      </c>
      <c r="N2070" t="s">
        <v>895</v>
      </c>
      <c r="O2070">
        <v>2070</v>
      </c>
      <c r="P2070" t="str">
        <f t="shared" si="32"/>
        <v xml:space="preserve">[^ftn2070]: </v>
      </c>
    </row>
    <row r="2071" spans="7:16" x14ac:dyDescent="0.25">
      <c r="G2071" t="s">
        <v>894</v>
      </c>
      <c r="H2071">
        <v>2071</v>
      </c>
      <c r="I2071">
        <v>2071</v>
      </c>
      <c r="N2071" t="s">
        <v>895</v>
      </c>
      <c r="O2071">
        <v>2071</v>
      </c>
      <c r="P2071" t="str">
        <f t="shared" si="32"/>
        <v xml:space="preserve">[^ftn2071]: </v>
      </c>
    </row>
    <row r="2072" spans="7:16" x14ac:dyDescent="0.25">
      <c r="G2072" t="s">
        <v>894</v>
      </c>
      <c r="H2072">
        <v>2072</v>
      </c>
      <c r="I2072">
        <v>2072</v>
      </c>
      <c r="N2072" t="s">
        <v>895</v>
      </c>
      <c r="O2072">
        <v>2072</v>
      </c>
      <c r="P2072" t="str">
        <f t="shared" si="32"/>
        <v xml:space="preserve">[^ftn2072]: </v>
      </c>
    </row>
    <row r="2073" spans="7:16" x14ac:dyDescent="0.25">
      <c r="G2073" t="s">
        <v>894</v>
      </c>
      <c r="H2073">
        <v>2073</v>
      </c>
      <c r="I2073">
        <v>2073</v>
      </c>
      <c r="N2073" t="s">
        <v>895</v>
      </c>
      <c r="O2073">
        <v>2073</v>
      </c>
      <c r="P2073" t="str">
        <f t="shared" si="32"/>
        <v xml:space="preserve">[^ftn2073]: </v>
      </c>
    </row>
    <row r="2074" spans="7:16" x14ac:dyDescent="0.25">
      <c r="G2074" t="s">
        <v>894</v>
      </c>
      <c r="H2074">
        <v>2074</v>
      </c>
      <c r="I2074">
        <v>2074</v>
      </c>
      <c r="N2074" t="s">
        <v>895</v>
      </c>
      <c r="O2074">
        <v>2074</v>
      </c>
      <c r="P2074" t="str">
        <f t="shared" si="32"/>
        <v xml:space="preserve">[^ftn2074]: </v>
      </c>
    </row>
    <row r="2075" spans="7:16" x14ac:dyDescent="0.25">
      <c r="G2075" t="s">
        <v>894</v>
      </c>
      <c r="H2075">
        <v>2075</v>
      </c>
      <c r="I2075">
        <v>2075</v>
      </c>
      <c r="N2075" t="s">
        <v>895</v>
      </c>
      <c r="O2075">
        <v>2075</v>
      </c>
      <c r="P2075" t="str">
        <f t="shared" si="32"/>
        <v xml:space="preserve">[^ftn2075]: </v>
      </c>
    </row>
    <row r="2076" spans="7:16" x14ac:dyDescent="0.25">
      <c r="G2076" t="s">
        <v>894</v>
      </c>
      <c r="H2076">
        <v>2076</v>
      </c>
      <c r="I2076">
        <v>2076</v>
      </c>
      <c r="N2076" t="s">
        <v>895</v>
      </c>
      <c r="O2076">
        <v>2076</v>
      </c>
      <c r="P2076" t="str">
        <f t="shared" si="32"/>
        <v xml:space="preserve">[^ftn2076]: </v>
      </c>
    </row>
    <row r="2077" spans="7:16" x14ac:dyDescent="0.25">
      <c r="G2077" t="s">
        <v>894</v>
      </c>
      <c r="H2077">
        <v>2077</v>
      </c>
      <c r="I2077">
        <v>2077</v>
      </c>
      <c r="N2077" t="s">
        <v>895</v>
      </c>
      <c r="O2077">
        <v>2077</v>
      </c>
      <c r="P2077" t="str">
        <f t="shared" si="32"/>
        <v xml:space="preserve">[^ftn2077]: </v>
      </c>
    </row>
    <row r="2078" spans="7:16" x14ac:dyDescent="0.25">
      <c r="G2078" t="s">
        <v>894</v>
      </c>
      <c r="H2078">
        <v>2078</v>
      </c>
      <c r="I2078">
        <v>2078</v>
      </c>
      <c r="N2078" t="s">
        <v>895</v>
      </c>
      <c r="O2078">
        <v>2078</v>
      </c>
      <c r="P2078" t="str">
        <f t="shared" si="32"/>
        <v xml:space="preserve">[^ftn2078]: </v>
      </c>
    </row>
    <row r="2079" spans="7:16" x14ac:dyDescent="0.25">
      <c r="G2079" t="s">
        <v>894</v>
      </c>
      <c r="H2079">
        <v>2079</v>
      </c>
      <c r="I2079">
        <v>2079</v>
      </c>
      <c r="N2079" t="s">
        <v>895</v>
      </c>
      <c r="O2079">
        <v>2079</v>
      </c>
      <c r="P2079" t="str">
        <f t="shared" si="32"/>
        <v xml:space="preserve">[^ftn2079]: </v>
      </c>
    </row>
    <row r="2080" spans="7:16" x14ac:dyDescent="0.25">
      <c r="G2080" t="s">
        <v>894</v>
      </c>
      <c r="H2080">
        <v>2080</v>
      </c>
      <c r="I2080">
        <v>2080</v>
      </c>
      <c r="N2080" t="s">
        <v>895</v>
      </c>
      <c r="O2080">
        <v>2080</v>
      </c>
      <c r="P2080" t="str">
        <f t="shared" si="32"/>
        <v xml:space="preserve">[^ftn2080]: </v>
      </c>
    </row>
    <row r="2081" spans="7:16" x14ac:dyDescent="0.25">
      <c r="G2081" t="s">
        <v>894</v>
      </c>
      <c r="H2081">
        <v>2081</v>
      </c>
      <c r="I2081">
        <v>2081</v>
      </c>
      <c r="N2081" t="s">
        <v>895</v>
      </c>
      <c r="O2081">
        <v>2081</v>
      </c>
      <c r="P2081" t="str">
        <f t="shared" si="32"/>
        <v xml:space="preserve">[^ftn2081]: </v>
      </c>
    </row>
    <row r="2082" spans="7:16" x14ac:dyDescent="0.25">
      <c r="G2082" t="s">
        <v>894</v>
      </c>
      <c r="H2082">
        <v>2082</v>
      </c>
      <c r="I2082">
        <v>2082</v>
      </c>
      <c r="N2082" t="s">
        <v>895</v>
      </c>
      <c r="O2082">
        <v>2082</v>
      </c>
      <c r="P2082" t="str">
        <f t="shared" si="32"/>
        <v xml:space="preserve">[^ftn2082]: </v>
      </c>
    </row>
    <row r="2083" spans="7:16" x14ac:dyDescent="0.25">
      <c r="G2083" t="s">
        <v>894</v>
      </c>
      <c r="H2083">
        <v>2083</v>
      </c>
      <c r="I2083">
        <v>2083</v>
      </c>
      <c r="N2083" t="s">
        <v>895</v>
      </c>
      <c r="O2083">
        <v>2083</v>
      </c>
      <c r="P2083" t="str">
        <f t="shared" si="32"/>
        <v xml:space="preserve">[^ftn2083]: </v>
      </c>
    </row>
    <row r="2084" spans="7:16" x14ac:dyDescent="0.25">
      <c r="G2084" t="s">
        <v>894</v>
      </c>
      <c r="H2084">
        <v>2084</v>
      </c>
      <c r="I2084">
        <v>2084</v>
      </c>
      <c r="N2084" t="s">
        <v>895</v>
      </c>
      <c r="O2084">
        <v>2084</v>
      </c>
      <c r="P2084" t="str">
        <f t="shared" si="32"/>
        <v xml:space="preserve">[^ftn2084]: </v>
      </c>
    </row>
    <row r="2085" spans="7:16" x14ac:dyDescent="0.25">
      <c r="G2085" t="s">
        <v>894</v>
      </c>
      <c r="H2085">
        <v>2085</v>
      </c>
      <c r="I2085">
        <v>2085</v>
      </c>
      <c r="N2085" t="s">
        <v>895</v>
      </c>
      <c r="O2085">
        <v>2085</v>
      </c>
      <c r="P2085" t="str">
        <f t="shared" si="32"/>
        <v xml:space="preserve">[^ftn2085]: </v>
      </c>
    </row>
    <row r="2086" spans="7:16" x14ac:dyDescent="0.25">
      <c r="G2086" t="s">
        <v>894</v>
      </c>
      <c r="H2086">
        <v>2086</v>
      </c>
      <c r="I2086">
        <v>2086</v>
      </c>
      <c r="N2086" t="s">
        <v>895</v>
      </c>
      <c r="O2086">
        <v>2086</v>
      </c>
      <c r="P2086" t="str">
        <f t="shared" si="32"/>
        <v xml:space="preserve">[^ftn2086]: </v>
      </c>
    </row>
    <row r="2087" spans="7:16" x14ac:dyDescent="0.25">
      <c r="G2087" t="s">
        <v>894</v>
      </c>
      <c r="H2087">
        <v>2087</v>
      </c>
      <c r="I2087">
        <v>2087</v>
      </c>
      <c r="N2087" t="s">
        <v>895</v>
      </c>
      <c r="O2087">
        <v>2087</v>
      </c>
      <c r="P2087" t="str">
        <f t="shared" si="32"/>
        <v xml:space="preserve">[^ftn2087]: </v>
      </c>
    </row>
    <row r="2088" spans="7:16" x14ac:dyDescent="0.25">
      <c r="G2088" t="s">
        <v>894</v>
      </c>
      <c r="H2088">
        <v>2088</v>
      </c>
      <c r="I2088">
        <v>2088</v>
      </c>
      <c r="N2088" t="s">
        <v>895</v>
      </c>
      <c r="O2088">
        <v>2088</v>
      </c>
      <c r="P2088" t="str">
        <f t="shared" si="32"/>
        <v xml:space="preserve">[^ftn2088]: </v>
      </c>
    </row>
    <row r="2089" spans="7:16" x14ac:dyDescent="0.25">
      <c r="G2089" t="s">
        <v>894</v>
      </c>
      <c r="H2089">
        <v>2089</v>
      </c>
      <c r="I2089">
        <v>2089</v>
      </c>
      <c r="N2089" t="s">
        <v>895</v>
      </c>
      <c r="O2089">
        <v>2089</v>
      </c>
      <c r="P2089" t="str">
        <f t="shared" si="32"/>
        <v xml:space="preserve">[^ftn2089]: </v>
      </c>
    </row>
    <row r="2090" spans="7:16" x14ac:dyDescent="0.25">
      <c r="G2090" t="s">
        <v>894</v>
      </c>
      <c r="H2090">
        <v>2090</v>
      </c>
      <c r="I2090">
        <v>2090</v>
      </c>
      <c r="N2090" t="s">
        <v>895</v>
      </c>
      <c r="O2090">
        <v>2090</v>
      </c>
      <c r="P2090" t="str">
        <f t="shared" si="32"/>
        <v xml:space="preserve">[^ftn2090]: </v>
      </c>
    </row>
    <row r="2091" spans="7:16" x14ac:dyDescent="0.25">
      <c r="G2091" t="s">
        <v>894</v>
      </c>
      <c r="H2091">
        <v>2091</v>
      </c>
      <c r="I2091">
        <v>2091</v>
      </c>
      <c r="N2091" t="s">
        <v>895</v>
      </c>
      <c r="O2091">
        <v>2091</v>
      </c>
      <c r="P2091" t="str">
        <f t="shared" si="32"/>
        <v xml:space="preserve">[^ftn2091]: </v>
      </c>
    </row>
    <row r="2092" spans="7:16" x14ac:dyDescent="0.25">
      <c r="G2092" t="s">
        <v>894</v>
      </c>
      <c r="H2092">
        <v>2092</v>
      </c>
      <c r="I2092">
        <v>2092</v>
      </c>
      <c r="N2092" t="s">
        <v>895</v>
      </c>
      <c r="O2092">
        <v>2092</v>
      </c>
      <c r="P2092" t="str">
        <f t="shared" si="32"/>
        <v xml:space="preserve">[^ftn2092]: </v>
      </c>
    </row>
    <row r="2093" spans="7:16" x14ac:dyDescent="0.25">
      <c r="G2093" t="s">
        <v>894</v>
      </c>
      <c r="H2093">
        <v>2093</v>
      </c>
      <c r="I2093">
        <v>2093</v>
      </c>
      <c r="N2093" t="s">
        <v>895</v>
      </c>
      <c r="O2093">
        <v>2093</v>
      </c>
      <c r="P2093" t="str">
        <f t="shared" si="32"/>
        <v xml:space="preserve">[^ftn2093]: </v>
      </c>
    </row>
    <row r="2094" spans="7:16" x14ac:dyDescent="0.25">
      <c r="G2094" t="s">
        <v>894</v>
      </c>
      <c r="H2094">
        <v>2094</v>
      </c>
      <c r="I2094">
        <v>2094</v>
      </c>
      <c r="N2094" t="s">
        <v>895</v>
      </c>
      <c r="O2094">
        <v>2094</v>
      </c>
      <c r="P2094" t="str">
        <f t="shared" si="32"/>
        <v xml:space="preserve">[^ftn2094]: </v>
      </c>
    </row>
    <row r="2095" spans="7:16" x14ac:dyDescent="0.25">
      <c r="G2095" t="s">
        <v>894</v>
      </c>
      <c r="H2095">
        <v>2095</v>
      </c>
      <c r="I2095">
        <v>2095</v>
      </c>
      <c r="N2095" t="s">
        <v>895</v>
      </c>
      <c r="O2095">
        <v>2095</v>
      </c>
      <c r="P2095" t="str">
        <f t="shared" si="32"/>
        <v xml:space="preserve">[^ftn2095]: </v>
      </c>
    </row>
    <row r="2096" spans="7:16" x14ac:dyDescent="0.25">
      <c r="G2096" t="s">
        <v>894</v>
      </c>
      <c r="H2096">
        <v>2096</v>
      </c>
      <c r="I2096">
        <v>2096</v>
      </c>
      <c r="N2096" t="s">
        <v>895</v>
      </c>
      <c r="O2096">
        <v>2096</v>
      </c>
      <c r="P2096" t="str">
        <f t="shared" si="32"/>
        <v xml:space="preserve">[^ftn2096]: </v>
      </c>
    </row>
    <row r="2097" spans="7:16" x14ac:dyDescent="0.25">
      <c r="G2097" t="s">
        <v>894</v>
      </c>
      <c r="H2097">
        <v>2097</v>
      </c>
      <c r="I2097">
        <v>2097</v>
      </c>
      <c r="N2097" t="s">
        <v>895</v>
      </c>
      <c r="O2097">
        <v>2097</v>
      </c>
      <c r="P2097" t="str">
        <f t="shared" si="32"/>
        <v xml:space="preserve">[^ftn2097]: </v>
      </c>
    </row>
    <row r="2098" spans="7:16" x14ac:dyDescent="0.25">
      <c r="G2098" t="s">
        <v>894</v>
      </c>
      <c r="H2098">
        <v>2098</v>
      </c>
      <c r="I2098">
        <v>2098</v>
      </c>
      <c r="N2098" t="s">
        <v>895</v>
      </c>
      <c r="O2098">
        <v>2098</v>
      </c>
      <c r="P2098" t="str">
        <f t="shared" si="32"/>
        <v xml:space="preserve">[^ftn2098]: </v>
      </c>
    </row>
    <row r="2099" spans="7:16" x14ac:dyDescent="0.25">
      <c r="G2099" t="s">
        <v>894</v>
      </c>
      <c r="H2099">
        <v>2099</v>
      </c>
      <c r="I2099">
        <v>2099</v>
      </c>
      <c r="N2099" t="s">
        <v>895</v>
      </c>
      <c r="O2099">
        <v>2099</v>
      </c>
      <c r="P2099" t="str">
        <f t="shared" si="32"/>
        <v xml:space="preserve">[^ftn2099]: </v>
      </c>
    </row>
    <row r="2100" spans="7:16" x14ac:dyDescent="0.25">
      <c r="G2100" t="s">
        <v>894</v>
      </c>
      <c r="H2100">
        <v>2100</v>
      </c>
      <c r="I2100">
        <v>2100</v>
      </c>
      <c r="N2100" t="s">
        <v>895</v>
      </c>
      <c r="O2100">
        <v>2100</v>
      </c>
      <c r="P2100" t="str">
        <f t="shared" si="32"/>
        <v xml:space="preserve">[^ftn2100]: </v>
      </c>
    </row>
    <row r="2101" spans="7:16" x14ac:dyDescent="0.25">
      <c r="G2101" t="s">
        <v>894</v>
      </c>
      <c r="H2101">
        <v>2101</v>
      </c>
      <c r="I2101">
        <v>2101</v>
      </c>
      <c r="N2101" t="s">
        <v>895</v>
      </c>
      <c r="O2101">
        <v>2101</v>
      </c>
      <c r="P2101" t="str">
        <f t="shared" si="32"/>
        <v xml:space="preserve">[^ftn2101]: </v>
      </c>
    </row>
    <row r="2102" spans="7:16" x14ac:dyDescent="0.25">
      <c r="G2102" t="s">
        <v>894</v>
      </c>
      <c r="H2102">
        <v>2102</v>
      </c>
      <c r="I2102">
        <v>2102</v>
      </c>
      <c r="N2102" t="s">
        <v>895</v>
      </c>
      <c r="O2102">
        <v>2102</v>
      </c>
      <c r="P2102" t="str">
        <f t="shared" si="32"/>
        <v xml:space="preserve">[^ftn2102]: </v>
      </c>
    </row>
    <row r="2103" spans="7:16" x14ac:dyDescent="0.25">
      <c r="G2103" t="s">
        <v>894</v>
      </c>
      <c r="H2103">
        <v>2103</v>
      </c>
      <c r="I2103">
        <v>2103</v>
      </c>
      <c r="N2103" t="s">
        <v>895</v>
      </c>
      <c r="O2103">
        <v>2103</v>
      </c>
      <c r="P2103" t="str">
        <f t="shared" si="32"/>
        <v xml:space="preserve">[^ftn2103]: </v>
      </c>
    </row>
    <row r="2104" spans="7:16" x14ac:dyDescent="0.25">
      <c r="G2104" t="s">
        <v>894</v>
      </c>
      <c r="H2104">
        <v>2104</v>
      </c>
      <c r="I2104">
        <v>2104</v>
      </c>
      <c r="N2104" t="s">
        <v>895</v>
      </c>
      <c r="O2104">
        <v>2104</v>
      </c>
      <c r="P2104" t="str">
        <f t="shared" si="32"/>
        <v xml:space="preserve">[^ftn2104]: </v>
      </c>
    </row>
    <row r="2105" spans="7:16" x14ac:dyDescent="0.25">
      <c r="G2105" t="s">
        <v>894</v>
      </c>
      <c r="H2105">
        <v>2105</v>
      </c>
      <c r="I2105">
        <v>2105</v>
      </c>
      <c r="N2105" t="s">
        <v>895</v>
      </c>
      <c r="O2105">
        <v>2105</v>
      </c>
      <c r="P2105" t="str">
        <f t="shared" si="32"/>
        <v xml:space="preserve">[^ftn2105]: </v>
      </c>
    </row>
    <row r="2106" spans="7:16" x14ac:dyDescent="0.25">
      <c r="G2106" t="s">
        <v>894</v>
      </c>
      <c r="H2106">
        <v>2106</v>
      </c>
      <c r="I2106">
        <v>2106</v>
      </c>
      <c r="N2106" t="s">
        <v>895</v>
      </c>
      <c r="O2106">
        <v>2106</v>
      </c>
      <c r="P2106" t="str">
        <f t="shared" si="32"/>
        <v xml:space="preserve">[^ftn2106]: </v>
      </c>
    </row>
    <row r="2107" spans="7:16" x14ac:dyDescent="0.25">
      <c r="G2107" t="s">
        <v>894</v>
      </c>
      <c r="H2107">
        <v>2107</v>
      </c>
      <c r="I2107">
        <v>2107</v>
      </c>
      <c r="N2107" t="s">
        <v>895</v>
      </c>
      <c r="O2107">
        <v>2107</v>
      </c>
      <c r="P2107" t="str">
        <f t="shared" si="32"/>
        <v xml:space="preserve">[^ftn2107]: </v>
      </c>
    </row>
    <row r="2108" spans="7:16" x14ac:dyDescent="0.25">
      <c r="G2108" t="s">
        <v>894</v>
      </c>
      <c r="H2108">
        <v>2108</v>
      </c>
      <c r="I2108">
        <v>2108</v>
      </c>
      <c r="N2108" t="s">
        <v>895</v>
      </c>
      <c r="O2108">
        <v>2108</v>
      </c>
      <c r="P2108" t="str">
        <f t="shared" si="32"/>
        <v xml:space="preserve">[^ftn2108]: </v>
      </c>
    </row>
    <row r="2109" spans="7:16" x14ac:dyDescent="0.25">
      <c r="G2109" t="s">
        <v>894</v>
      </c>
      <c r="H2109">
        <v>2109</v>
      </c>
      <c r="I2109">
        <v>2109</v>
      </c>
      <c r="N2109" t="s">
        <v>895</v>
      </c>
      <c r="O2109">
        <v>2109</v>
      </c>
      <c r="P2109" t="str">
        <f t="shared" si="32"/>
        <v xml:space="preserve">[^ftn2109]: </v>
      </c>
    </row>
    <row r="2110" spans="7:16" x14ac:dyDescent="0.25">
      <c r="G2110" t="s">
        <v>894</v>
      </c>
      <c r="H2110">
        <v>2110</v>
      </c>
      <c r="I2110">
        <v>2110</v>
      </c>
      <c r="N2110" t="s">
        <v>895</v>
      </c>
      <c r="O2110">
        <v>2110</v>
      </c>
      <c r="P2110" t="str">
        <f t="shared" si="32"/>
        <v xml:space="preserve">[^ftn2110]: </v>
      </c>
    </row>
    <row r="2111" spans="7:16" x14ac:dyDescent="0.25">
      <c r="G2111" t="s">
        <v>894</v>
      </c>
      <c r="H2111">
        <v>2111</v>
      </c>
      <c r="I2111">
        <v>2111</v>
      </c>
      <c r="N2111" t="s">
        <v>895</v>
      </c>
      <c r="O2111">
        <v>2111</v>
      </c>
      <c r="P2111" t="str">
        <f t="shared" si="32"/>
        <v xml:space="preserve">[^ftn2111]: </v>
      </c>
    </row>
    <row r="2112" spans="7:16" x14ac:dyDescent="0.25">
      <c r="G2112" t="s">
        <v>894</v>
      </c>
      <c r="H2112">
        <v>2112</v>
      </c>
      <c r="I2112">
        <v>2112</v>
      </c>
      <c r="N2112" t="s">
        <v>895</v>
      </c>
      <c r="O2112">
        <v>2112</v>
      </c>
      <c r="P2112" t="str">
        <f t="shared" si="32"/>
        <v xml:space="preserve">[^ftn2112]: </v>
      </c>
    </row>
    <row r="2113" spans="7:16" x14ac:dyDescent="0.25">
      <c r="G2113" t="s">
        <v>894</v>
      </c>
      <c r="H2113">
        <v>2113</v>
      </c>
      <c r="I2113">
        <v>2113</v>
      </c>
      <c r="N2113" t="s">
        <v>895</v>
      </c>
      <c r="O2113">
        <v>2113</v>
      </c>
      <c r="P2113" t="str">
        <f t="shared" si="32"/>
        <v xml:space="preserve">[^ftn2113]: </v>
      </c>
    </row>
    <row r="2114" spans="7:16" x14ac:dyDescent="0.25">
      <c r="G2114" t="s">
        <v>894</v>
      </c>
      <c r="H2114">
        <v>2114</v>
      </c>
      <c r="I2114">
        <v>2114</v>
      </c>
      <c r="N2114" t="s">
        <v>895</v>
      </c>
      <c r="O2114">
        <v>2114</v>
      </c>
      <c r="P2114" t="str">
        <f t="shared" ref="P2114:P2177" si="33">_xlfn.CONCAT("[^ftn",O2114,"]: ",)</f>
        <v xml:space="preserve">[^ftn2114]: </v>
      </c>
    </row>
    <row r="2115" spans="7:16" x14ac:dyDescent="0.25">
      <c r="G2115" t="s">
        <v>894</v>
      </c>
      <c r="H2115">
        <v>2115</v>
      </c>
      <c r="I2115">
        <v>2115</v>
      </c>
      <c r="N2115" t="s">
        <v>895</v>
      </c>
      <c r="O2115">
        <v>2115</v>
      </c>
      <c r="P2115" t="str">
        <f t="shared" si="33"/>
        <v xml:space="preserve">[^ftn2115]: </v>
      </c>
    </row>
    <row r="2116" spans="7:16" x14ac:dyDescent="0.25">
      <c r="G2116" t="s">
        <v>894</v>
      </c>
      <c r="H2116">
        <v>2116</v>
      </c>
      <c r="I2116">
        <v>2116</v>
      </c>
      <c r="N2116" t="s">
        <v>895</v>
      </c>
      <c r="O2116">
        <v>2116</v>
      </c>
      <c r="P2116" t="str">
        <f t="shared" si="33"/>
        <v xml:space="preserve">[^ftn2116]: </v>
      </c>
    </row>
    <row r="2117" spans="7:16" x14ac:dyDescent="0.25">
      <c r="G2117" t="s">
        <v>894</v>
      </c>
      <c r="H2117">
        <v>2117</v>
      </c>
      <c r="I2117">
        <v>2117</v>
      </c>
      <c r="N2117" t="s">
        <v>895</v>
      </c>
      <c r="O2117">
        <v>2117</v>
      </c>
      <c r="P2117" t="str">
        <f t="shared" si="33"/>
        <v xml:space="preserve">[^ftn2117]: </v>
      </c>
    </row>
    <row r="2118" spans="7:16" x14ac:dyDescent="0.25">
      <c r="G2118" t="s">
        <v>894</v>
      </c>
      <c r="H2118">
        <v>2118</v>
      </c>
      <c r="I2118">
        <v>2118</v>
      </c>
      <c r="N2118" t="s">
        <v>895</v>
      </c>
      <c r="O2118">
        <v>2118</v>
      </c>
      <c r="P2118" t="str">
        <f t="shared" si="33"/>
        <v xml:space="preserve">[^ftn2118]: </v>
      </c>
    </row>
    <row r="2119" spans="7:16" x14ac:dyDescent="0.25">
      <c r="G2119" t="s">
        <v>894</v>
      </c>
      <c r="H2119">
        <v>2119</v>
      </c>
      <c r="I2119">
        <v>2119</v>
      </c>
      <c r="N2119" t="s">
        <v>895</v>
      </c>
      <c r="O2119">
        <v>2119</v>
      </c>
      <c r="P2119" t="str">
        <f t="shared" si="33"/>
        <v xml:space="preserve">[^ftn2119]: </v>
      </c>
    </row>
    <row r="2120" spans="7:16" x14ac:dyDescent="0.25">
      <c r="G2120" t="s">
        <v>894</v>
      </c>
      <c r="H2120">
        <v>2120</v>
      </c>
      <c r="I2120">
        <v>2120</v>
      </c>
      <c r="N2120" t="s">
        <v>895</v>
      </c>
      <c r="O2120">
        <v>2120</v>
      </c>
      <c r="P2120" t="str">
        <f t="shared" si="33"/>
        <v xml:space="preserve">[^ftn2120]: </v>
      </c>
    </row>
    <row r="2121" spans="7:16" x14ac:dyDescent="0.25">
      <c r="G2121" t="s">
        <v>894</v>
      </c>
      <c r="H2121">
        <v>2121</v>
      </c>
      <c r="I2121">
        <v>2121</v>
      </c>
      <c r="N2121" t="s">
        <v>895</v>
      </c>
      <c r="O2121">
        <v>2121</v>
      </c>
      <c r="P2121" t="str">
        <f t="shared" si="33"/>
        <v xml:space="preserve">[^ftn2121]: </v>
      </c>
    </row>
    <row r="2122" spans="7:16" x14ac:dyDescent="0.25">
      <c r="G2122" t="s">
        <v>894</v>
      </c>
      <c r="H2122">
        <v>2122</v>
      </c>
      <c r="I2122">
        <v>2122</v>
      </c>
      <c r="N2122" t="s">
        <v>895</v>
      </c>
      <c r="O2122">
        <v>2122</v>
      </c>
      <c r="P2122" t="str">
        <f t="shared" si="33"/>
        <v xml:space="preserve">[^ftn2122]: </v>
      </c>
    </row>
    <row r="2123" spans="7:16" x14ac:dyDescent="0.25">
      <c r="G2123" t="s">
        <v>894</v>
      </c>
      <c r="H2123">
        <v>2123</v>
      </c>
      <c r="I2123">
        <v>2123</v>
      </c>
      <c r="N2123" t="s">
        <v>895</v>
      </c>
      <c r="O2123">
        <v>2123</v>
      </c>
      <c r="P2123" t="str">
        <f t="shared" si="33"/>
        <v xml:space="preserve">[^ftn2123]: </v>
      </c>
    </row>
    <row r="2124" spans="7:16" x14ac:dyDescent="0.25">
      <c r="G2124" t="s">
        <v>894</v>
      </c>
      <c r="H2124">
        <v>2124</v>
      </c>
      <c r="I2124">
        <v>2124</v>
      </c>
      <c r="N2124" t="s">
        <v>895</v>
      </c>
      <c r="O2124">
        <v>2124</v>
      </c>
      <c r="P2124" t="str">
        <f t="shared" si="33"/>
        <v xml:space="preserve">[^ftn2124]: </v>
      </c>
    </row>
    <row r="2125" spans="7:16" x14ac:dyDescent="0.25">
      <c r="G2125" t="s">
        <v>894</v>
      </c>
      <c r="H2125">
        <v>2125</v>
      </c>
      <c r="I2125">
        <v>2125</v>
      </c>
      <c r="N2125" t="s">
        <v>895</v>
      </c>
      <c r="O2125">
        <v>2125</v>
      </c>
      <c r="P2125" t="str">
        <f t="shared" si="33"/>
        <v xml:space="preserve">[^ftn2125]: </v>
      </c>
    </row>
    <row r="2126" spans="7:16" x14ac:dyDescent="0.25">
      <c r="G2126" t="s">
        <v>894</v>
      </c>
      <c r="H2126">
        <v>2126</v>
      </c>
      <c r="I2126">
        <v>2126</v>
      </c>
      <c r="N2126" t="s">
        <v>895</v>
      </c>
      <c r="O2126">
        <v>2126</v>
      </c>
      <c r="P2126" t="str">
        <f t="shared" si="33"/>
        <v xml:space="preserve">[^ftn2126]: </v>
      </c>
    </row>
    <row r="2127" spans="7:16" x14ac:dyDescent="0.25">
      <c r="G2127" t="s">
        <v>894</v>
      </c>
      <c r="H2127">
        <v>2127</v>
      </c>
      <c r="I2127">
        <v>2127</v>
      </c>
      <c r="N2127" t="s">
        <v>895</v>
      </c>
      <c r="O2127">
        <v>2127</v>
      </c>
      <c r="P2127" t="str">
        <f t="shared" si="33"/>
        <v xml:space="preserve">[^ftn2127]: </v>
      </c>
    </row>
    <row r="2128" spans="7:16" x14ac:dyDescent="0.25">
      <c r="G2128" t="s">
        <v>894</v>
      </c>
      <c r="H2128">
        <v>2128</v>
      </c>
      <c r="I2128">
        <v>2128</v>
      </c>
      <c r="N2128" t="s">
        <v>895</v>
      </c>
      <c r="O2128">
        <v>2128</v>
      </c>
      <c r="P2128" t="str">
        <f t="shared" si="33"/>
        <v xml:space="preserve">[^ftn2128]: </v>
      </c>
    </row>
    <row r="2129" spans="7:16" x14ac:dyDescent="0.25">
      <c r="G2129" t="s">
        <v>894</v>
      </c>
      <c r="H2129">
        <v>2129</v>
      </c>
      <c r="I2129">
        <v>2129</v>
      </c>
      <c r="N2129" t="s">
        <v>895</v>
      </c>
      <c r="O2129">
        <v>2129</v>
      </c>
      <c r="P2129" t="str">
        <f t="shared" si="33"/>
        <v xml:space="preserve">[^ftn2129]: </v>
      </c>
    </row>
    <row r="2130" spans="7:16" x14ac:dyDescent="0.25">
      <c r="G2130" t="s">
        <v>894</v>
      </c>
      <c r="H2130">
        <v>2130</v>
      </c>
      <c r="I2130">
        <v>2130</v>
      </c>
      <c r="N2130" t="s">
        <v>895</v>
      </c>
      <c r="O2130">
        <v>2130</v>
      </c>
      <c r="P2130" t="str">
        <f t="shared" si="33"/>
        <v xml:space="preserve">[^ftn2130]: </v>
      </c>
    </row>
    <row r="2131" spans="7:16" x14ac:dyDescent="0.25">
      <c r="G2131" t="s">
        <v>894</v>
      </c>
      <c r="H2131">
        <v>2131</v>
      </c>
      <c r="I2131">
        <v>2131</v>
      </c>
      <c r="N2131" t="s">
        <v>895</v>
      </c>
      <c r="O2131">
        <v>2131</v>
      </c>
      <c r="P2131" t="str">
        <f t="shared" si="33"/>
        <v xml:space="preserve">[^ftn2131]: </v>
      </c>
    </row>
    <row r="2132" spans="7:16" x14ac:dyDescent="0.25">
      <c r="G2132" t="s">
        <v>894</v>
      </c>
      <c r="H2132">
        <v>2132</v>
      </c>
      <c r="I2132">
        <v>2132</v>
      </c>
      <c r="N2132" t="s">
        <v>895</v>
      </c>
      <c r="O2132">
        <v>2132</v>
      </c>
      <c r="P2132" t="str">
        <f t="shared" si="33"/>
        <v xml:space="preserve">[^ftn2132]: </v>
      </c>
    </row>
    <row r="2133" spans="7:16" x14ac:dyDescent="0.25">
      <c r="G2133" t="s">
        <v>894</v>
      </c>
      <c r="H2133">
        <v>2133</v>
      </c>
      <c r="I2133">
        <v>2133</v>
      </c>
      <c r="N2133" t="s">
        <v>895</v>
      </c>
      <c r="O2133">
        <v>2133</v>
      </c>
      <c r="P2133" t="str">
        <f t="shared" si="33"/>
        <v xml:space="preserve">[^ftn2133]: </v>
      </c>
    </row>
    <row r="2134" spans="7:16" x14ac:dyDescent="0.25">
      <c r="G2134" t="s">
        <v>894</v>
      </c>
      <c r="H2134">
        <v>2134</v>
      </c>
      <c r="I2134">
        <v>2134</v>
      </c>
      <c r="N2134" t="s">
        <v>895</v>
      </c>
      <c r="O2134">
        <v>2134</v>
      </c>
      <c r="P2134" t="str">
        <f t="shared" si="33"/>
        <v xml:space="preserve">[^ftn2134]: </v>
      </c>
    </row>
    <row r="2135" spans="7:16" x14ac:dyDescent="0.25">
      <c r="G2135" t="s">
        <v>894</v>
      </c>
      <c r="H2135">
        <v>2135</v>
      </c>
      <c r="I2135">
        <v>2135</v>
      </c>
      <c r="N2135" t="s">
        <v>895</v>
      </c>
      <c r="O2135">
        <v>2135</v>
      </c>
      <c r="P2135" t="str">
        <f t="shared" si="33"/>
        <v xml:space="preserve">[^ftn2135]: </v>
      </c>
    </row>
    <row r="2136" spans="7:16" x14ac:dyDescent="0.25">
      <c r="G2136" t="s">
        <v>894</v>
      </c>
      <c r="H2136">
        <v>2136</v>
      </c>
      <c r="I2136">
        <v>2136</v>
      </c>
      <c r="N2136" t="s">
        <v>895</v>
      </c>
      <c r="O2136">
        <v>2136</v>
      </c>
      <c r="P2136" t="str">
        <f t="shared" si="33"/>
        <v xml:space="preserve">[^ftn2136]: </v>
      </c>
    </row>
    <row r="2137" spans="7:16" x14ac:dyDescent="0.25">
      <c r="G2137" t="s">
        <v>894</v>
      </c>
      <c r="H2137">
        <v>2137</v>
      </c>
      <c r="I2137">
        <v>2137</v>
      </c>
      <c r="N2137" t="s">
        <v>895</v>
      </c>
      <c r="O2137">
        <v>2137</v>
      </c>
      <c r="P2137" t="str">
        <f t="shared" si="33"/>
        <v xml:space="preserve">[^ftn2137]: </v>
      </c>
    </row>
    <row r="2138" spans="7:16" x14ac:dyDescent="0.25">
      <c r="G2138" t="s">
        <v>894</v>
      </c>
      <c r="H2138">
        <v>2138</v>
      </c>
      <c r="I2138">
        <v>2138</v>
      </c>
      <c r="N2138" t="s">
        <v>895</v>
      </c>
      <c r="O2138">
        <v>2138</v>
      </c>
      <c r="P2138" t="str">
        <f t="shared" si="33"/>
        <v xml:space="preserve">[^ftn2138]: </v>
      </c>
    </row>
    <row r="2139" spans="7:16" x14ac:dyDescent="0.25">
      <c r="G2139" t="s">
        <v>894</v>
      </c>
      <c r="H2139">
        <v>2139</v>
      </c>
      <c r="I2139">
        <v>2139</v>
      </c>
      <c r="N2139" t="s">
        <v>895</v>
      </c>
      <c r="O2139">
        <v>2139</v>
      </c>
      <c r="P2139" t="str">
        <f t="shared" si="33"/>
        <v xml:space="preserve">[^ftn2139]: </v>
      </c>
    </row>
    <row r="2140" spans="7:16" x14ac:dyDescent="0.25">
      <c r="G2140" t="s">
        <v>894</v>
      </c>
      <c r="H2140">
        <v>2140</v>
      </c>
      <c r="I2140">
        <v>2140</v>
      </c>
      <c r="N2140" t="s">
        <v>895</v>
      </c>
      <c r="O2140">
        <v>2140</v>
      </c>
      <c r="P2140" t="str">
        <f t="shared" si="33"/>
        <v xml:space="preserve">[^ftn2140]: </v>
      </c>
    </row>
    <row r="2141" spans="7:16" x14ac:dyDescent="0.25">
      <c r="G2141" t="s">
        <v>894</v>
      </c>
      <c r="H2141">
        <v>2141</v>
      </c>
      <c r="I2141">
        <v>2141</v>
      </c>
      <c r="N2141" t="s">
        <v>895</v>
      </c>
      <c r="O2141">
        <v>2141</v>
      </c>
      <c r="P2141" t="str">
        <f t="shared" si="33"/>
        <v xml:space="preserve">[^ftn2141]: </v>
      </c>
    </row>
    <row r="2142" spans="7:16" x14ac:dyDescent="0.25">
      <c r="G2142" t="s">
        <v>894</v>
      </c>
      <c r="H2142">
        <v>2142</v>
      </c>
      <c r="I2142">
        <v>2142</v>
      </c>
      <c r="N2142" t="s">
        <v>895</v>
      </c>
      <c r="O2142">
        <v>2142</v>
      </c>
      <c r="P2142" t="str">
        <f t="shared" si="33"/>
        <v xml:space="preserve">[^ftn2142]: </v>
      </c>
    </row>
    <row r="2143" spans="7:16" x14ac:dyDescent="0.25">
      <c r="G2143" t="s">
        <v>894</v>
      </c>
      <c r="H2143">
        <v>2143</v>
      </c>
      <c r="I2143">
        <v>2143</v>
      </c>
      <c r="N2143" t="s">
        <v>895</v>
      </c>
      <c r="O2143">
        <v>2143</v>
      </c>
      <c r="P2143" t="str">
        <f t="shared" si="33"/>
        <v xml:space="preserve">[^ftn2143]: </v>
      </c>
    </row>
    <row r="2144" spans="7:16" x14ac:dyDescent="0.25">
      <c r="G2144" t="s">
        <v>894</v>
      </c>
      <c r="H2144">
        <v>2144</v>
      </c>
      <c r="I2144">
        <v>2144</v>
      </c>
      <c r="N2144" t="s">
        <v>895</v>
      </c>
      <c r="O2144">
        <v>2144</v>
      </c>
      <c r="P2144" t="str">
        <f t="shared" si="33"/>
        <v xml:space="preserve">[^ftn2144]: </v>
      </c>
    </row>
    <row r="2145" spans="7:16" x14ac:dyDescent="0.25">
      <c r="G2145" t="s">
        <v>894</v>
      </c>
      <c r="H2145">
        <v>2145</v>
      </c>
      <c r="I2145">
        <v>2145</v>
      </c>
      <c r="N2145" t="s">
        <v>895</v>
      </c>
      <c r="O2145">
        <v>2145</v>
      </c>
      <c r="P2145" t="str">
        <f t="shared" si="33"/>
        <v xml:space="preserve">[^ftn2145]: </v>
      </c>
    </row>
    <row r="2146" spans="7:16" x14ac:dyDescent="0.25">
      <c r="G2146" t="s">
        <v>894</v>
      </c>
      <c r="H2146">
        <v>2146</v>
      </c>
      <c r="I2146">
        <v>2146</v>
      </c>
      <c r="N2146" t="s">
        <v>895</v>
      </c>
      <c r="O2146">
        <v>2146</v>
      </c>
      <c r="P2146" t="str">
        <f t="shared" si="33"/>
        <v xml:space="preserve">[^ftn2146]: </v>
      </c>
    </row>
    <row r="2147" spans="7:16" x14ac:dyDescent="0.25">
      <c r="G2147" t="s">
        <v>894</v>
      </c>
      <c r="H2147">
        <v>2147</v>
      </c>
      <c r="I2147">
        <v>2147</v>
      </c>
      <c r="N2147" t="s">
        <v>895</v>
      </c>
      <c r="O2147">
        <v>2147</v>
      </c>
      <c r="P2147" t="str">
        <f t="shared" si="33"/>
        <v xml:space="preserve">[^ftn2147]: </v>
      </c>
    </row>
    <row r="2148" spans="7:16" x14ac:dyDescent="0.25">
      <c r="G2148" t="s">
        <v>894</v>
      </c>
      <c r="H2148">
        <v>2148</v>
      </c>
      <c r="I2148">
        <v>2148</v>
      </c>
      <c r="N2148" t="s">
        <v>895</v>
      </c>
      <c r="O2148">
        <v>2148</v>
      </c>
      <c r="P2148" t="str">
        <f t="shared" si="33"/>
        <v xml:space="preserve">[^ftn2148]: </v>
      </c>
    </row>
    <row r="2149" spans="7:16" x14ac:dyDescent="0.25">
      <c r="G2149" t="s">
        <v>894</v>
      </c>
      <c r="H2149">
        <v>2149</v>
      </c>
      <c r="I2149">
        <v>2149</v>
      </c>
      <c r="N2149" t="s">
        <v>895</v>
      </c>
      <c r="O2149">
        <v>2149</v>
      </c>
      <c r="P2149" t="str">
        <f t="shared" si="33"/>
        <v xml:space="preserve">[^ftn2149]: </v>
      </c>
    </row>
    <row r="2150" spans="7:16" x14ac:dyDescent="0.25">
      <c r="G2150" t="s">
        <v>894</v>
      </c>
      <c r="H2150">
        <v>2150</v>
      </c>
      <c r="I2150">
        <v>2150</v>
      </c>
      <c r="N2150" t="s">
        <v>895</v>
      </c>
      <c r="O2150">
        <v>2150</v>
      </c>
      <c r="P2150" t="str">
        <f t="shared" si="33"/>
        <v xml:space="preserve">[^ftn2150]: </v>
      </c>
    </row>
    <row r="2151" spans="7:16" x14ac:dyDescent="0.25">
      <c r="G2151" t="s">
        <v>894</v>
      </c>
      <c r="H2151">
        <v>2151</v>
      </c>
      <c r="I2151">
        <v>2151</v>
      </c>
      <c r="N2151" t="s">
        <v>895</v>
      </c>
      <c r="O2151">
        <v>2151</v>
      </c>
      <c r="P2151" t="str">
        <f t="shared" si="33"/>
        <v xml:space="preserve">[^ftn2151]: </v>
      </c>
    </row>
    <row r="2152" spans="7:16" x14ac:dyDescent="0.25">
      <c r="G2152" t="s">
        <v>894</v>
      </c>
      <c r="H2152">
        <v>2152</v>
      </c>
      <c r="I2152">
        <v>2152</v>
      </c>
      <c r="N2152" t="s">
        <v>895</v>
      </c>
      <c r="O2152">
        <v>2152</v>
      </c>
      <c r="P2152" t="str">
        <f t="shared" si="33"/>
        <v xml:space="preserve">[^ftn2152]: </v>
      </c>
    </row>
    <row r="2153" spans="7:16" x14ac:dyDescent="0.25">
      <c r="G2153" t="s">
        <v>894</v>
      </c>
      <c r="H2153">
        <v>2153</v>
      </c>
      <c r="I2153">
        <v>2153</v>
      </c>
      <c r="N2153" t="s">
        <v>895</v>
      </c>
      <c r="O2153">
        <v>2153</v>
      </c>
      <c r="P2153" t="str">
        <f t="shared" si="33"/>
        <v xml:space="preserve">[^ftn2153]: </v>
      </c>
    </row>
    <row r="2154" spans="7:16" x14ac:dyDescent="0.25">
      <c r="G2154" t="s">
        <v>894</v>
      </c>
      <c r="H2154">
        <v>2154</v>
      </c>
      <c r="I2154">
        <v>2154</v>
      </c>
      <c r="N2154" t="s">
        <v>895</v>
      </c>
      <c r="O2154">
        <v>2154</v>
      </c>
      <c r="P2154" t="str">
        <f t="shared" si="33"/>
        <v xml:space="preserve">[^ftn2154]: </v>
      </c>
    </row>
    <row r="2155" spans="7:16" x14ac:dyDescent="0.25">
      <c r="G2155" t="s">
        <v>894</v>
      </c>
      <c r="H2155">
        <v>2155</v>
      </c>
      <c r="I2155">
        <v>2155</v>
      </c>
      <c r="N2155" t="s">
        <v>895</v>
      </c>
      <c r="O2155">
        <v>2155</v>
      </c>
      <c r="P2155" t="str">
        <f t="shared" si="33"/>
        <v xml:space="preserve">[^ftn2155]: </v>
      </c>
    </row>
    <row r="2156" spans="7:16" x14ac:dyDescent="0.25">
      <c r="G2156" t="s">
        <v>894</v>
      </c>
      <c r="H2156">
        <v>2156</v>
      </c>
      <c r="I2156">
        <v>2156</v>
      </c>
      <c r="N2156" t="s">
        <v>895</v>
      </c>
      <c r="O2156">
        <v>2156</v>
      </c>
      <c r="P2156" t="str">
        <f t="shared" si="33"/>
        <v xml:space="preserve">[^ftn2156]: </v>
      </c>
    </row>
    <row r="2157" spans="7:16" x14ac:dyDescent="0.25">
      <c r="G2157" t="s">
        <v>894</v>
      </c>
      <c r="H2157">
        <v>2157</v>
      </c>
      <c r="I2157">
        <v>2157</v>
      </c>
      <c r="N2157" t="s">
        <v>895</v>
      </c>
      <c r="O2157">
        <v>2157</v>
      </c>
      <c r="P2157" t="str">
        <f t="shared" si="33"/>
        <v xml:space="preserve">[^ftn2157]: </v>
      </c>
    </row>
    <row r="2158" spans="7:16" x14ac:dyDescent="0.25">
      <c r="G2158" t="s">
        <v>894</v>
      </c>
      <c r="H2158">
        <v>2158</v>
      </c>
      <c r="I2158">
        <v>2158</v>
      </c>
      <c r="N2158" t="s">
        <v>895</v>
      </c>
      <c r="O2158">
        <v>2158</v>
      </c>
      <c r="P2158" t="str">
        <f t="shared" si="33"/>
        <v xml:space="preserve">[^ftn2158]: </v>
      </c>
    </row>
    <row r="2159" spans="7:16" x14ac:dyDescent="0.25">
      <c r="G2159" t="s">
        <v>894</v>
      </c>
      <c r="H2159">
        <v>2159</v>
      </c>
      <c r="I2159">
        <v>2159</v>
      </c>
      <c r="N2159" t="s">
        <v>895</v>
      </c>
      <c r="O2159">
        <v>2159</v>
      </c>
      <c r="P2159" t="str">
        <f t="shared" si="33"/>
        <v xml:space="preserve">[^ftn2159]: </v>
      </c>
    </row>
    <row r="2160" spans="7:16" x14ac:dyDescent="0.25">
      <c r="G2160" t="s">
        <v>894</v>
      </c>
      <c r="H2160">
        <v>2160</v>
      </c>
      <c r="I2160">
        <v>2160</v>
      </c>
      <c r="N2160" t="s">
        <v>895</v>
      </c>
      <c r="O2160">
        <v>2160</v>
      </c>
      <c r="P2160" t="str">
        <f t="shared" si="33"/>
        <v xml:space="preserve">[^ftn2160]: </v>
      </c>
    </row>
    <row r="2161" spans="7:16" x14ac:dyDescent="0.25">
      <c r="G2161" t="s">
        <v>894</v>
      </c>
      <c r="H2161">
        <v>2161</v>
      </c>
      <c r="I2161">
        <v>2161</v>
      </c>
      <c r="N2161" t="s">
        <v>895</v>
      </c>
      <c r="O2161">
        <v>2161</v>
      </c>
      <c r="P2161" t="str">
        <f t="shared" si="33"/>
        <v xml:space="preserve">[^ftn2161]: </v>
      </c>
    </row>
    <row r="2162" spans="7:16" x14ac:dyDescent="0.25">
      <c r="G2162" t="s">
        <v>894</v>
      </c>
      <c r="H2162">
        <v>2162</v>
      </c>
      <c r="I2162">
        <v>2162</v>
      </c>
      <c r="N2162" t="s">
        <v>895</v>
      </c>
      <c r="O2162">
        <v>2162</v>
      </c>
      <c r="P2162" t="str">
        <f t="shared" si="33"/>
        <v xml:space="preserve">[^ftn2162]: </v>
      </c>
    </row>
    <row r="2163" spans="7:16" x14ac:dyDescent="0.25">
      <c r="G2163" t="s">
        <v>894</v>
      </c>
      <c r="H2163">
        <v>2163</v>
      </c>
      <c r="I2163">
        <v>2163</v>
      </c>
      <c r="N2163" t="s">
        <v>895</v>
      </c>
      <c r="O2163">
        <v>2163</v>
      </c>
      <c r="P2163" t="str">
        <f t="shared" si="33"/>
        <v xml:space="preserve">[^ftn2163]: </v>
      </c>
    </row>
    <row r="2164" spans="7:16" x14ac:dyDescent="0.25">
      <c r="G2164" t="s">
        <v>894</v>
      </c>
      <c r="H2164">
        <v>2164</v>
      </c>
      <c r="I2164">
        <v>2164</v>
      </c>
      <c r="N2164" t="s">
        <v>895</v>
      </c>
      <c r="O2164">
        <v>2164</v>
      </c>
      <c r="P2164" t="str">
        <f t="shared" si="33"/>
        <v xml:space="preserve">[^ftn2164]: </v>
      </c>
    </row>
    <row r="2165" spans="7:16" x14ac:dyDescent="0.25">
      <c r="G2165" t="s">
        <v>894</v>
      </c>
      <c r="H2165">
        <v>2165</v>
      </c>
      <c r="I2165">
        <v>2165</v>
      </c>
      <c r="N2165" t="s">
        <v>895</v>
      </c>
      <c r="O2165">
        <v>2165</v>
      </c>
      <c r="P2165" t="str">
        <f t="shared" si="33"/>
        <v xml:space="preserve">[^ftn2165]: </v>
      </c>
    </row>
    <row r="2166" spans="7:16" x14ac:dyDescent="0.25">
      <c r="G2166" t="s">
        <v>894</v>
      </c>
      <c r="H2166">
        <v>2166</v>
      </c>
      <c r="I2166">
        <v>2166</v>
      </c>
      <c r="N2166" t="s">
        <v>895</v>
      </c>
      <c r="O2166">
        <v>2166</v>
      </c>
      <c r="P2166" t="str">
        <f t="shared" si="33"/>
        <v xml:space="preserve">[^ftn2166]: </v>
      </c>
    </row>
    <row r="2167" spans="7:16" x14ac:dyDescent="0.25">
      <c r="G2167" t="s">
        <v>894</v>
      </c>
      <c r="H2167">
        <v>2167</v>
      </c>
      <c r="I2167">
        <v>2167</v>
      </c>
      <c r="N2167" t="s">
        <v>895</v>
      </c>
      <c r="O2167">
        <v>2167</v>
      </c>
      <c r="P2167" t="str">
        <f t="shared" si="33"/>
        <v xml:space="preserve">[^ftn2167]: </v>
      </c>
    </row>
    <row r="2168" spans="7:16" x14ac:dyDescent="0.25">
      <c r="G2168" t="s">
        <v>894</v>
      </c>
      <c r="H2168">
        <v>2168</v>
      </c>
      <c r="I2168">
        <v>2168</v>
      </c>
      <c r="N2168" t="s">
        <v>895</v>
      </c>
      <c r="O2168">
        <v>2168</v>
      </c>
      <c r="P2168" t="str">
        <f t="shared" si="33"/>
        <v xml:space="preserve">[^ftn2168]: </v>
      </c>
    </row>
    <row r="2169" spans="7:16" x14ac:dyDescent="0.25">
      <c r="G2169" t="s">
        <v>894</v>
      </c>
      <c r="H2169">
        <v>2169</v>
      </c>
      <c r="I2169">
        <v>2169</v>
      </c>
      <c r="N2169" t="s">
        <v>895</v>
      </c>
      <c r="O2169">
        <v>2169</v>
      </c>
      <c r="P2169" t="str">
        <f t="shared" si="33"/>
        <v xml:space="preserve">[^ftn2169]: </v>
      </c>
    </row>
    <row r="2170" spans="7:16" x14ac:dyDescent="0.25">
      <c r="G2170" t="s">
        <v>894</v>
      </c>
      <c r="H2170">
        <v>2170</v>
      </c>
      <c r="I2170">
        <v>2170</v>
      </c>
      <c r="N2170" t="s">
        <v>895</v>
      </c>
      <c r="O2170">
        <v>2170</v>
      </c>
      <c r="P2170" t="str">
        <f t="shared" si="33"/>
        <v xml:space="preserve">[^ftn2170]: </v>
      </c>
    </row>
    <row r="2171" spans="7:16" x14ac:dyDescent="0.25">
      <c r="G2171" t="s">
        <v>894</v>
      </c>
      <c r="H2171">
        <v>2171</v>
      </c>
      <c r="I2171">
        <v>2171</v>
      </c>
      <c r="N2171" t="s">
        <v>895</v>
      </c>
      <c r="O2171">
        <v>2171</v>
      </c>
      <c r="P2171" t="str">
        <f t="shared" si="33"/>
        <v xml:space="preserve">[^ftn2171]: </v>
      </c>
    </row>
    <row r="2172" spans="7:16" x14ac:dyDescent="0.25">
      <c r="G2172" t="s">
        <v>894</v>
      </c>
      <c r="H2172">
        <v>2172</v>
      </c>
      <c r="I2172">
        <v>2172</v>
      </c>
      <c r="N2172" t="s">
        <v>895</v>
      </c>
      <c r="O2172">
        <v>2172</v>
      </c>
      <c r="P2172" t="str">
        <f t="shared" si="33"/>
        <v xml:space="preserve">[^ftn2172]: </v>
      </c>
    </row>
    <row r="2173" spans="7:16" x14ac:dyDescent="0.25">
      <c r="G2173" t="s">
        <v>894</v>
      </c>
      <c r="H2173">
        <v>2173</v>
      </c>
      <c r="I2173">
        <v>2173</v>
      </c>
      <c r="N2173" t="s">
        <v>895</v>
      </c>
      <c r="O2173">
        <v>2173</v>
      </c>
      <c r="P2173" t="str">
        <f t="shared" si="33"/>
        <v xml:space="preserve">[^ftn2173]: </v>
      </c>
    </row>
    <row r="2174" spans="7:16" x14ac:dyDescent="0.25">
      <c r="G2174" t="s">
        <v>894</v>
      </c>
      <c r="H2174">
        <v>2174</v>
      </c>
      <c r="I2174">
        <v>2174</v>
      </c>
      <c r="N2174" t="s">
        <v>895</v>
      </c>
      <c r="O2174">
        <v>2174</v>
      </c>
      <c r="P2174" t="str">
        <f t="shared" si="33"/>
        <v xml:space="preserve">[^ftn2174]: </v>
      </c>
    </row>
    <row r="2175" spans="7:16" x14ac:dyDescent="0.25">
      <c r="G2175" t="s">
        <v>894</v>
      </c>
      <c r="H2175">
        <v>2175</v>
      </c>
      <c r="I2175">
        <v>2175</v>
      </c>
      <c r="N2175" t="s">
        <v>895</v>
      </c>
      <c r="O2175">
        <v>2175</v>
      </c>
      <c r="P2175" t="str">
        <f t="shared" si="33"/>
        <v xml:space="preserve">[^ftn2175]: </v>
      </c>
    </row>
    <row r="2176" spans="7:16" x14ac:dyDescent="0.25">
      <c r="G2176" t="s">
        <v>894</v>
      </c>
      <c r="H2176">
        <v>2176</v>
      </c>
      <c r="I2176">
        <v>2176</v>
      </c>
      <c r="N2176" t="s">
        <v>895</v>
      </c>
      <c r="O2176">
        <v>2176</v>
      </c>
      <c r="P2176" t="str">
        <f t="shared" si="33"/>
        <v xml:space="preserve">[^ftn2176]: </v>
      </c>
    </row>
    <row r="2177" spans="7:16" x14ac:dyDescent="0.25">
      <c r="G2177" t="s">
        <v>894</v>
      </c>
      <c r="H2177">
        <v>2177</v>
      </c>
      <c r="I2177">
        <v>2177</v>
      </c>
      <c r="N2177" t="s">
        <v>895</v>
      </c>
      <c r="O2177">
        <v>2177</v>
      </c>
      <c r="P2177" t="str">
        <f t="shared" si="33"/>
        <v xml:space="preserve">[^ftn2177]: </v>
      </c>
    </row>
    <row r="2178" spans="7:16" x14ac:dyDescent="0.25">
      <c r="G2178" t="s">
        <v>894</v>
      </c>
      <c r="H2178">
        <v>2178</v>
      </c>
      <c r="I2178">
        <v>2178</v>
      </c>
      <c r="N2178" t="s">
        <v>895</v>
      </c>
      <c r="O2178">
        <v>2178</v>
      </c>
      <c r="P2178" t="str">
        <f t="shared" ref="P2178:P2241" si="34">_xlfn.CONCAT("[^ftn",O2178,"]: ",)</f>
        <v xml:space="preserve">[^ftn2178]: </v>
      </c>
    </row>
    <row r="2179" spans="7:16" x14ac:dyDescent="0.25">
      <c r="G2179" t="s">
        <v>894</v>
      </c>
      <c r="H2179">
        <v>2179</v>
      </c>
      <c r="I2179">
        <v>2179</v>
      </c>
      <c r="N2179" t="s">
        <v>895</v>
      </c>
      <c r="O2179">
        <v>2179</v>
      </c>
      <c r="P2179" t="str">
        <f t="shared" si="34"/>
        <v xml:space="preserve">[^ftn2179]: </v>
      </c>
    </row>
    <row r="2180" spans="7:16" x14ac:dyDescent="0.25">
      <c r="G2180" t="s">
        <v>894</v>
      </c>
      <c r="H2180">
        <v>2180</v>
      </c>
      <c r="I2180">
        <v>2180</v>
      </c>
      <c r="N2180" t="s">
        <v>895</v>
      </c>
      <c r="O2180">
        <v>2180</v>
      </c>
      <c r="P2180" t="str">
        <f t="shared" si="34"/>
        <v xml:space="preserve">[^ftn2180]: </v>
      </c>
    </row>
    <row r="2181" spans="7:16" x14ac:dyDescent="0.25">
      <c r="G2181" t="s">
        <v>894</v>
      </c>
      <c r="H2181">
        <v>2181</v>
      </c>
      <c r="I2181">
        <v>2181</v>
      </c>
      <c r="N2181" t="s">
        <v>895</v>
      </c>
      <c r="O2181">
        <v>2181</v>
      </c>
      <c r="P2181" t="str">
        <f t="shared" si="34"/>
        <v xml:space="preserve">[^ftn2181]: </v>
      </c>
    </row>
    <row r="2182" spans="7:16" x14ac:dyDescent="0.25">
      <c r="G2182" t="s">
        <v>894</v>
      </c>
      <c r="H2182">
        <v>2182</v>
      </c>
      <c r="I2182">
        <v>2182</v>
      </c>
      <c r="N2182" t="s">
        <v>895</v>
      </c>
      <c r="O2182">
        <v>2182</v>
      </c>
      <c r="P2182" t="str">
        <f t="shared" si="34"/>
        <v xml:space="preserve">[^ftn2182]: </v>
      </c>
    </row>
    <row r="2183" spans="7:16" x14ac:dyDescent="0.25">
      <c r="G2183" t="s">
        <v>894</v>
      </c>
      <c r="H2183">
        <v>2183</v>
      </c>
      <c r="I2183">
        <v>2183</v>
      </c>
      <c r="N2183" t="s">
        <v>895</v>
      </c>
      <c r="O2183">
        <v>2183</v>
      </c>
      <c r="P2183" t="str">
        <f t="shared" si="34"/>
        <v xml:space="preserve">[^ftn2183]: </v>
      </c>
    </row>
    <row r="2184" spans="7:16" x14ac:dyDescent="0.25">
      <c r="G2184" t="s">
        <v>894</v>
      </c>
      <c r="H2184">
        <v>2184</v>
      </c>
      <c r="I2184">
        <v>2184</v>
      </c>
      <c r="N2184" t="s">
        <v>895</v>
      </c>
      <c r="O2184">
        <v>2184</v>
      </c>
      <c r="P2184" t="str">
        <f t="shared" si="34"/>
        <v xml:space="preserve">[^ftn2184]: </v>
      </c>
    </row>
    <row r="2185" spans="7:16" x14ac:dyDescent="0.25">
      <c r="G2185" t="s">
        <v>894</v>
      </c>
      <c r="H2185">
        <v>2185</v>
      </c>
      <c r="I2185">
        <v>2185</v>
      </c>
      <c r="N2185" t="s">
        <v>895</v>
      </c>
      <c r="O2185">
        <v>2185</v>
      </c>
      <c r="P2185" t="str">
        <f t="shared" si="34"/>
        <v xml:space="preserve">[^ftn2185]: </v>
      </c>
    </row>
    <row r="2186" spans="7:16" x14ac:dyDescent="0.25">
      <c r="G2186" t="s">
        <v>894</v>
      </c>
      <c r="H2186">
        <v>2186</v>
      </c>
      <c r="I2186">
        <v>2186</v>
      </c>
      <c r="N2186" t="s">
        <v>895</v>
      </c>
      <c r="O2186">
        <v>2186</v>
      </c>
      <c r="P2186" t="str">
        <f t="shared" si="34"/>
        <v xml:space="preserve">[^ftn2186]: </v>
      </c>
    </row>
    <row r="2187" spans="7:16" x14ac:dyDescent="0.25">
      <c r="G2187" t="s">
        <v>894</v>
      </c>
      <c r="H2187">
        <v>2187</v>
      </c>
      <c r="I2187">
        <v>2187</v>
      </c>
      <c r="N2187" t="s">
        <v>895</v>
      </c>
      <c r="O2187">
        <v>2187</v>
      </c>
      <c r="P2187" t="str">
        <f t="shared" si="34"/>
        <v xml:space="preserve">[^ftn2187]: </v>
      </c>
    </row>
    <row r="2188" spans="7:16" x14ac:dyDescent="0.25">
      <c r="G2188" t="s">
        <v>894</v>
      </c>
      <c r="H2188">
        <v>2188</v>
      </c>
      <c r="I2188">
        <v>2188</v>
      </c>
      <c r="N2188" t="s">
        <v>895</v>
      </c>
      <c r="O2188">
        <v>2188</v>
      </c>
      <c r="P2188" t="str">
        <f t="shared" si="34"/>
        <v xml:space="preserve">[^ftn2188]: </v>
      </c>
    </row>
    <row r="2189" spans="7:16" x14ac:dyDescent="0.25">
      <c r="G2189" t="s">
        <v>894</v>
      </c>
      <c r="H2189">
        <v>2189</v>
      </c>
      <c r="I2189">
        <v>2189</v>
      </c>
      <c r="N2189" t="s">
        <v>895</v>
      </c>
      <c r="O2189">
        <v>2189</v>
      </c>
      <c r="P2189" t="str">
        <f t="shared" si="34"/>
        <v xml:space="preserve">[^ftn2189]: </v>
      </c>
    </row>
    <row r="2190" spans="7:16" x14ac:dyDescent="0.25">
      <c r="G2190" t="s">
        <v>894</v>
      </c>
      <c r="H2190">
        <v>2190</v>
      </c>
      <c r="I2190">
        <v>2190</v>
      </c>
      <c r="N2190" t="s">
        <v>895</v>
      </c>
      <c r="O2190">
        <v>2190</v>
      </c>
      <c r="P2190" t="str">
        <f t="shared" si="34"/>
        <v xml:space="preserve">[^ftn2190]: </v>
      </c>
    </row>
    <row r="2191" spans="7:16" x14ac:dyDescent="0.25">
      <c r="G2191" t="s">
        <v>894</v>
      </c>
      <c r="H2191">
        <v>2191</v>
      </c>
      <c r="I2191">
        <v>2191</v>
      </c>
      <c r="N2191" t="s">
        <v>895</v>
      </c>
      <c r="O2191">
        <v>2191</v>
      </c>
      <c r="P2191" t="str">
        <f t="shared" si="34"/>
        <v xml:space="preserve">[^ftn2191]: </v>
      </c>
    </row>
    <row r="2192" spans="7:16" x14ac:dyDescent="0.25">
      <c r="G2192" t="s">
        <v>894</v>
      </c>
      <c r="H2192">
        <v>2192</v>
      </c>
      <c r="I2192">
        <v>2192</v>
      </c>
      <c r="N2192" t="s">
        <v>895</v>
      </c>
      <c r="O2192">
        <v>2192</v>
      </c>
      <c r="P2192" t="str">
        <f t="shared" si="34"/>
        <v xml:space="preserve">[^ftn2192]: </v>
      </c>
    </row>
    <row r="2193" spans="7:16" x14ac:dyDescent="0.25">
      <c r="G2193" t="s">
        <v>894</v>
      </c>
      <c r="H2193">
        <v>2193</v>
      </c>
      <c r="I2193">
        <v>2193</v>
      </c>
      <c r="N2193" t="s">
        <v>895</v>
      </c>
      <c r="O2193">
        <v>2193</v>
      </c>
      <c r="P2193" t="str">
        <f t="shared" si="34"/>
        <v xml:space="preserve">[^ftn2193]: </v>
      </c>
    </row>
    <row r="2194" spans="7:16" x14ac:dyDescent="0.25">
      <c r="G2194" t="s">
        <v>894</v>
      </c>
      <c r="H2194">
        <v>2194</v>
      </c>
      <c r="I2194">
        <v>2194</v>
      </c>
      <c r="N2194" t="s">
        <v>895</v>
      </c>
      <c r="O2194">
        <v>2194</v>
      </c>
      <c r="P2194" t="str">
        <f t="shared" si="34"/>
        <v xml:space="preserve">[^ftn2194]: </v>
      </c>
    </row>
    <row r="2195" spans="7:16" x14ac:dyDescent="0.25">
      <c r="G2195" t="s">
        <v>894</v>
      </c>
      <c r="H2195">
        <v>2195</v>
      </c>
      <c r="I2195">
        <v>2195</v>
      </c>
      <c r="N2195" t="s">
        <v>895</v>
      </c>
      <c r="O2195">
        <v>2195</v>
      </c>
      <c r="P2195" t="str">
        <f t="shared" si="34"/>
        <v xml:space="preserve">[^ftn2195]: </v>
      </c>
    </row>
    <row r="2196" spans="7:16" x14ac:dyDescent="0.25">
      <c r="G2196" t="s">
        <v>894</v>
      </c>
      <c r="H2196">
        <v>2196</v>
      </c>
      <c r="I2196">
        <v>2196</v>
      </c>
      <c r="N2196" t="s">
        <v>895</v>
      </c>
      <c r="O2196">
        <v>2196</v>
      </c>
      <c r="P2196" t="str">
        <f t="shared" si="34"/>
        <v xml:space="preserve">[^ftn2196]: </v>
      </c>
    </row>
    <row r="2197" spans="7:16" x14ac:dyDescent="0.25">
      <c r="G2197" t="s">
        <v>894</v>
      </c>
      <c r="H2197">
        <v>2197</v>
      </c>
      <c r="I2197">
        <v>2197</v>
      </c>
      <c r="N2197" t="s">
        <v>895</v>
      </c>
      <c r="O2197">
        <v>2197</v>
      </c>
      <c r="P2197" t="str">
        <f t="shared" si="34"/>
        <v xml:space="preserve">[^ftn2197]: </v>
      </c>
    </row>
    <row r="2198" spans="7:16" x14ac:dyDescent="0.25">
      <c r="G2198" t="s">
        <v>894</v>
      </c>
      <c r="H2198">
        <v>2198</v>
      </c>
      <c r="I2198">
        <v>2198</v>
      </c>
      <c r="N2198" t="s">
        <v>895</v>
      </c>
      <c r="O2198">
        <v>2198</v>
      </c>
      <c r="P2198" t="str">
        <f t="shared" si="34"/>
        <v xml:space="preserve">[^ftn2198]: </v>
      </c>
    </row>
    <row r="2199" spans="7:16" x14ac:dyDescent="0.25">
      <c r="G2199" t="s">
        <v>894</v>
      </c>
      <c r="H2199">
        <v>2199</v>
      </c>
      <c r="I2199">
        <v>2199</v>
      </c>
      <c r="N2199" t="s">
        <v>895</v>
      </c>
      <c r="O2199">
        <v>2199</v>
      </c>
      <c r="P2199" t="str">
        <f t="shared" si="34"/>
        <v xml:space="preserve">[^ftn2199]: </v>
      </c>
    </row>
    <row r="2200" spans="7:16" x14ac:dyDescent="0.25">
      <c r="G2200" t="s">
        <v>894</v>
      </c>
      <c r="H2200">
        <v>2200</v>
      </c>
      <c r="I2200">
        <v>2200</v>
      </c>
      <c r="N2200" t="s">
        <v>895</v>
      </c>
      <c r="O2200">
        <v>2200</v>
      </c>
      <c r="P2200" t="str">
        <f t="shared" si="34"/>
        <v xml:space="preserve">[^ftn2200]: </v>
      </c>
    </row>
    <row r="2201" spans="7:16" x14ac:dyDescent="0.25">
      <c r="G2201" t="s">
        <v>894</v>
      </c>
      <c r="H2201">
        <v>2201</v>
      </c>
      <c r="I2201">
        <v>2201</v>
      </c>
      <c r="N2201" t="s">
        <v>895</v>
      </c>
      <c r="O2201">
        <v>2201</v>
      </c>
      <c r="P2201" t="str">
        <f t="shared" si="34"/>
        <v xml:space="preserve">[^ftn2201]: </v>
      </c>
    </row>
    <row r="2202" spans="7:16" x14ac:dyDescent="0.25">
      <c r="G2202" t="s">
        <v>894</v>
      </c>
      <c r="H2202">
        <v>2202</v>
      </c>
      <c r="I2202">
        <v>2202</v>
      </c>
      <c r="N2202" t="s">
        <v>895</v>
      </c>
      <c r="O2202">
        <v>2202</v>
      </c>
      <c r="P2202" t="str">
        <f t="shared" si="34"/>
        <v xml:space="preserve">[^ftn2202]: </v>
      </c>
    </row>
    <row r="2203" spans="7:16" x14ac:dyDescent="0.25">
      <c r="G2203" t="s">
        <v>894</v>
      </c>
      <c r="H2203">
        <v>2203</v>
      </c>
      <c r="I2203">
        <v>2203</v>
      </c>
      <c r="N2203" t="s">
        <v>895</v>
      </c>
      <c r="O2203">
        <v>2203</v>
      </c>
      <c r="P2203" t="str">
        <f t="shared" si="34"/>
        <v xml:space="preserve">[^ftn2203]: </v>
      </c>
    </row>
    <row r="2204" spans="7:16" x14ac:dyDescent="0.25">
      <c r="G2204" t="s">
        <v>894</v>
      </c>
      <c r="H2204">
        <v>2204</v>
      </c>
      <c r="I2204">
        <v>2204</v>
      </c>
      <c r="N2204" t="s">
        <v>895</v>
      </c>
      <c r="O2204">
        <v>2204</v>
      </c>
      <c r="P2204" t="str">
        <f t="shared" si="34"/>
        <v xml:space="preserve">[^ftn2204]: </v>
      </c>
    </row>
    <row r="2205" spans="7:16" x14ac:dyDescent="0.25">
      <c r="G2205" t="s">
        <v>894</v>
      </c>
      <c r="H2205">
        <v>2205</v>
      </c>
      <c r="I2205">
        <v>2205</v>
      </c>
      <c r="N2205" t="s">
        <v>895</v>
      </c>
      <c r="O2205">
        <v>2205</v>
      </c>
      <c r="P2205" t="str">
        <f t="shared" si="34"/>
        <v xml:space="preserve">[^ftn2205]: </v>
      </c>
    </row>
    <row r="2206" spans="7:16" x14ac:dyDescent="0.25">
      <c r="G2206" t="s">
        <v>894</v>
      </c>
      <c r="H2206">
        <v>2206</v>
      </c>
      <c r="I2206">
        <v>2206</v>
      </c>
      <c r="N2206" t="s">
        <v>895</v>
      </c>
      <c r="O2206">
        <v>2206</v>
      </c>
      <c r="P2206" t="str">
        <f t="shared" si="34"/>
        <v xml:space="preserve">[^ftn2206]: </v>
      </c>
    </row>
    <row r="2207" spans="7:16" x14ac:dyDescent="0.25">
      <c r="G2207" t="s">
        <v>894</v>
      </c>
      <c r="H2207">
        <v>2207</v>
      </c>
      <c r="I2207">
        <v>2207</v>
      </c>
      <c r="N2207" t="s">
        <v>895</v>
      </c>
      <c r="O2207">
        <v>2207</v>
      </c>
      <c r="P2207" t="str">
        <f t="shared" si="34"/>
        <v xml:space="preserve">[^ftn2207]: </v>
      </c>
    </row>
    <row r="2208" spans="7:16" x14ac:dyDescent="0.25">
      <c r="G2208" t="s">
        <v>894</v>
      </c>
      <c r="H2208">
        <v>2208</v>
      </c>
      <c r="I2208">
        <v>2208</v>
      </c>
      <c r="N2208" t="s">
        <v>895</v>
      </c>
      <c r="O2208">
        <v>2208</v>
      </c>
      <c r="P2208" t="str">
        <f t="shared" si="34"/>
        <v xml:space="preserve">[^ftn2208]: </v>
      </c>
    </row>
    <row r="2209" spans="7:16" x14ac:dyDescent="0.25">
      <c r="G2209" t="s">
        <v>894</v>
      </c>
      <c r="H2209">
        <v>2209</v>
      </c>
      <c r="I2209">
        <v>2209</v>
      </c>
      <c r="N2209" t="s">
        <v>895</v>
      </c>
      <c r="O2209">
        <v>2209</v>
      </c>
      <c r="P2209" t="str">
        <f t="shared" si="34"/>
        <v xml:space="preserve">[^ftn2209]: </v>
      </c>
    </row>
    <row r="2210" spans="7:16" x14ac:dyDescent="0.25">
      <c r="G2210" t="s">
        <v>894</v>
      </c>
      <c r="H2210">
        <v>2210</v>
      </c>
      <c r="I2210">
        <v>2210</v>
      </c>
      <c r="N2210" t="s">
        <v>895</v>
      </c>
      <c r="O2210">
        <v>2210</v>
      </c>
      <c r="P2210" t="str">
        <f t="shared" si="34"/>
        <v xml:space="preserve">[^ftn2210]: </v>
      </c>
    </row>
    <row r="2211" spans="7:16" x14ac:dyDescent="0.25">
      <c r="G2211" t="s">
        <v>894</v>
      </c>
      <c r="H2211">
        <v>2211</v>
      </c>
      <c r="I2211">
        <v>2211</v>
      </c>
      <c r="N2211" t="s">
        <v>895</v>
      </c>
      <c r="O2211">
        <v>2211</v>
      </c>
      <c r="P2211" t="str">
        <f t="shared" si="34"/>
        <v xml:space="preserve">[^ftn2211]: </v>
      </c>
    </row>
    <row r="2212" spans="7:16" x14ac:dyDescent="0.25">
      <c r="G2212" t="s">
        <v>894</v>
      </c>
      <c r="H2212">
        <v>2212</v>
      </c>
      <c r="I2212">
        <v>2212</v>
      </c>
      <c r="N2212" t="s">
        <v>895</v>
      </c>
      <c r="O2212">
        <v>2212</v>
      </c>
      <c r="P2212" t="str">
        <f t="shared" si="34"/>
        <v xml:space="preserve">[^ftn2212]: </v>
      </c>
    </row>
    <row r="2213" spans="7:16" x14ac:dyDescent="0.25">
      <c r="G2213" t="s">
        <v>894</v>
      </c>
      <c r="H2213">
        <v>2213</v>
      </c>
      <c r="I2213">
        <v>2213</v>
      </c>
      <c r="N2213" t="s">
        <v>895</v>
      </c>
      <c r="O2213">
        <v>2213</v>
      </c>
      <c r="P2213" t="str">
        <f t="shared" si="34"/>
        <v xml:space="preserve">[^ftn2213]: </v>
      </c>
    </row>
    <row r="2214" spans="7:16" x14ac:dyDescent="0.25">
      <c r="G2214" t="s">
        <v>894</v>
      </c>
      <c r="H2214">
        <v>2214</v>
      </c>
      <c r="I2214">
        <v>2214</v>
      </c>
      <c r="N2214" t="s">
        <v>895</v>
      </c>
      <c r="O2214">
        <v>2214</v>
      </c>
      <c r="P2214" t="str">
        <f t="shared" si="34"/>
        <v xml:space="preserve">[^ftn2214]: </v>
      </c>
    </row>
    <row r="2215" spans="7:16" x14ac:dyDescent="0.25">
      <c r="G2215" t="s">
        <v>894</v>
      </c>
      <c r="H2215">
        <v>2215</v>
      </c>
      <c r="I2215">
        <v>2215</v>
      </c>
      <c r="N2215" t="s">
        <v>895</v>
      </c>
      <c r="O2215">
        <v>2215</v>
      </c>
      <c r="P2215" t="str">
        <f t="shared" si="34"/>
        <v xml:space="preserve">[^ftn2215]: </v>
      </c>
    </row>
    <row r="2216" spans="7:16" x14ac:dyDescent="0.25">
      <c r="G2216" t="s">
        <v>894</v>
      </c>
      <c r="H2216">
        <v>2216</v>
      </c>
      <c r="I2216">
        <v>2216</v>
      </c>
      <c r="N2216" t="s">
        <v>895</v>
      </c>
      <c r="O2216">
        <v>2216</v>
      </c>
      <c r="P2216" t="str">
        <f t="shared" si="34"/>
        <v xml:space="preserve">[^ftn2216]: </v>
      </c>
    </row>
    <row r="2217" spans="7:16" x14ac:dyDescent="0.25">
      <c r="G2217" t="s">
        <v>894</v>
      </c>
      <c r="H2217">
        <v>2217</v>
      </c>
      <c r="I2217">
        <v>2217</v>
      </c>
      <c r="N2217" t="s">
        <v>895</v>
      </c>
      <c r="O2217">
        <v>2217</v>
      </c>
      <c r="P2217" t="str">
        <f t="shared" si="34"/>
        <v xml:space="preserve">[^ftn2217]: </v>
      </c>
    </row>
    <row r="2218" spans="7:16" x14ac:dyDescent="0.25">
      <c r="G2218" t="s">
        <v>894</v>
      </c>
      <c r="H2218">
        <v>2218</v>
      </c>
      <c r="I2218">
        <v>2218</v>
      </c>
      <c r="N2218" t="s">
        <v>895</v>
      </c>
      <c r="O2218">
        <v>2218</v>
      </c>
      <c r="P2218" t="str">
        <f t="shared" si="34"/>
        <v xml:space="preserve">[^ftn2218]: </v>
      </c>
    </row>
    <row r="2219" spans="7:16" x14ac:dyDescent="0.25">
      <c r="G2219" t="s">
        <v>894</v>
      </c>
      <c r="H2219">
        <v>2219</v>
      </c>
      <c r="I2219">
        <v>2219</v>
      </c>
      <c r="N2219" t="s">
        <v>895</v>
      </c>
      <c r="O2219">
        <v>2219</v>
      </c>
      <c r="P2219" t="str">
        <f t="shared" si="34"/>
        <v xml:space="preserve">[^ftn2219]: </v>
      </c>
    </row>
    <row r="2220" spans="7:16" x14ac:dyDescent="0.25">
      <c r="G2220" t="s">
        <v>894</v>
      </c>
      <c r="H2220">
        <v>2220</v>
      </c>
      <c r="I2220">
        <v>2220</v>
      </c>
      <c r="N2220" t="s">
        <v>895</v>
      </c>
      <c r="O2220">
        <v>2220</v>
      </c>
      <c r="P2220" t="str">
        <f t="shared" si="34"/>
        <v xml:space="preserve">[^ftn2220]: </v>
      </c>
    </row>
    <row r="2221" spans="7:16" x14ac:dyDescent="0.25">
      <c r="G2221" t="s">
        <v>894</v>
      </c>
      <c r="H2221">
        <v>2221</v>
      </c>
      <c r="I2221">
        <v>2221</v>
      </c>
      <c r="N2221" t="s">
        <v>895</v>
      </c>
      <c r="O2221">
        <v>2221</v>
      </c>
      <c r="P2221" t="str">
        <f t="shared" si="34"/>
        <v xml:space="preserve">[^ftn2221]: </v>
      </c>
    </row>
    <row r="2222" spans="7:16" x14ac:dyDescent="0.25">
      <c r="G2222" t="s">
        <v>894</v>
      </c>
      <c r="H2222">
        <v>2222</v>
      </c>
      <c r="I2222">
        <v>2222</v>
      </c>
      <c r="N2222" t="s">
        <v>895</v>
      </c>
      <c r="O2222">
        <v>2222</v>
      </c>
      <c r="P2222" t="str">
        <f t="shared" si="34"/>
        <v xml:space="preserve">[^ftn2222]: </v>
      </c>
    </row>
    <row r="2223" spans="7:16" x14ac:dyDescent="0.25">
      <c r="G2223" t="s">
        <v>894</v>
      </c>
      <c r="H2223">
        <v>2223</v>
      </c>
      <c r="I2223">
        <v>2223</v>
      </c>
      <c r="N2223" t="s">
        <v>895</v>
      </c>
      <c r="O2223">
        <v>2223</v>
      </c>
      <c r="P2223" t="str">
        <f t="shared" si="34"/>
        <v xml:space="preserve">[^ftn2223]: </v>
      </c>
    </row>
    <row r="2224" spans="7:16" x14ac:dyDescent="0.25">
      <c r="G2224" t="s">
        <v>894</v>
      </c>
      <c r="H2224">
        <v>2224</v>
      </c>
      <c r="I2224">
        <v>2224</v>
      </c>
      <c r="N2224" t="s">
        <v>895</v>
      </c>
      <c r="O2224">
        <v>2224</v>
      </c>
      <c r="P2224" t="str">
        <f t="shared" si="34"/>
        <v xml:space="preserve">[^ftn2224]: </v>
      </c>
    </row>
    <row r="2225" spans="7:16" x14ac:dyDescent="0.25">
      <c r="G2225" t="s">
        <v>894</v>
      </c>
      <c r="H2225">
        <v>2225</v>
      </c>
      <c r="I2225">
        <v>2225</v>
      </c>
      <c r="N2225" t="s">
        <v>895</v>
      </c>
      <c r="O2225">
        <v>2225</v>
      </c>
      <c r="P2225" t="str">
        <f t="shared" si="34"/>
        <v xml:space="preserve">[^ftn2225]: </v>
      </c>
    </row>
    <row r="2226" spans="7:16" x14ac:dyDescent="0.25">
      <c r="G2226" t="s">
        <v>894</v>
      </c>
      <c r="H2226">
        <v>2226</v>
      </c>
      <c r="I2226">
        <v>2226</v>
      </c>
      <c r="N2226" t="s">
        <v>895</v>
      </c>
      <c r="O2226">
        <v>2226</v>
      </c>
      <c r="P2226" t="str">
        <f t="shared" si="34"/>
        <v xml:space="preserve">[^ftn2226]: </v>
      </c>
    </row>
    <row r="2227" spans="7:16" x14ac:dyDescent="0.25">
      <c r="G2227" t="s">
        <v>894</v>
      </c>
      <c r="H2227">
        <v>2227</v>
      </c>
      <c r="I2227">
        <v>2227</v>
      </c>
      <c r="N2227" t="s">
        <v>895</v>
      </c>
      <c r="O2227">
        <v>2227</v>
      </c>
      <c r="P2227" t="str">
        <f t="shared" si="34"/>
        <v xml:space="preserve">[^ftn2227]: </v>
      </c>
    </row>
    <row r="2228" spans="7:16" x14ac:dyDescent="0.25">
      <c r="G2228" t="s">
        <v>894</v>
      </c>
      <c r="H2228">
        <v>2228</v>
      </c>
      <c r="I2228">
        <v>2228</v>
      </c>
      <c r="N2228" t="s">
        <v>895</v>
      </c>
      <c r="O2228">
        <v>2228</v>
      </c>
      <c r="P2228" t="str">
        <f t="shared" si="34"/>
        <v xml:space="preserve">[^ftn2228]: </v>
      </c>
    </row>
    <row r="2229" spans="7:16" x14ac:dyDescent="0.25">
      <c r="G2229" t="s">
        <v>894</v>
      </c>
      <c r="H2229">
        <v>2229</v>
      </c>
      <c r="I2229">
        <v>2229</v>
      </c>
      <c r="N2229" t="s">
        <v>895</v>
      </c>
      <c r="O2229">
        <v>2229</v>
      </c>
      <c r="P2229" t="str">
        <f t="shared" si="34"/>
        <v xml:space="preserve">[^ftn2229]: </v>
      </c>
    </row>
    <row r="2230" spans="7:16" x14ac:dyDescent="0.25">
      <c r="G2230" t="s">
        <v>894</v>
      </c>
      <c r="H2230">
        <v>2230</v>
      </c>
      <c r="I2230">
        <v>2230</v>
      </c>
      <c r="N2230" t="s">
        <v>895</v>
      </c>
      <c r="O2230">
        <v>2230</v>
      </c>
      <c r="P2230" t="str">
        <f t="shared" si="34"/>
        <v xml:space="preserve">[^ftn2230]: </v>
      </c>
    </row>
    <row r="2231" spans="7:16" x14ac:dyDescent="0.25">
      <c r="G2231" t="s">
        <v>894</v>
      </c>
      <c r="H2231">
        <v>2231</v>
      </c>
      <c r="I2231">
        <v>2231</v>
      </c>
      <c r="N2231" t="s">
        <v>895</v>
      </c>
      <c r="O2231">
        <v>2231</v>
      </c>
      <c r="P2231" t="str">
        <f t="shared" si="34"/>
        <v xml:space="preserve">[^ftn2231]: </v>
      </c>
    </row>
    <row r="2232" spans="7:16" x14ac:dyDescent="0.25">
      <c r="G2232" t="s">
        <v>894</v>
      </c>
      <c r="H2232">
        <v>2232</v>
      </c>
      <c r="I2232">
        <v>2232</v>
      </c>
      <c r="N2232" t="s">
        <v>895</v>
      </c>
      <c r="O2232">
        <v>2232</v>
      </c>
      <c r="P2232" t="str">
        <f t="shared" si="34"/>
        <v xml:space="preserve">[^ftn2232]: </v>
      </c>
    </row>
    <row r="2233" spans="7:16" x14ac:dyDescent="0.25">
      <c r="G2233" t="s">
        <v>894</v>
      </c>
      <c r="H2233">
        <v>2233</v>
      </c>
      <c r="I2233">
        <v>2233</v>
      </c>
      <c r="N2233" t="s">
        <v>895</v>
      </c>
      <c r="O2233">
        <v>2233</v>
      </c>
      <c r="P2233" t="str">
        <f t="shared" si="34"/>
        <v xml:space="preserve">[^ftn2233]: </v>
      </c>
    </row>
    <row r="2234" spans="7:16" x14ac:dyDescent="0.25">
      <c r="G2234" t="s">
        <v>894</v>
      </c>
      <c r="H2234">
        <v>2234</v>
      </c>
      <c r="I2234">
        <v>2234</v>
      </c>
      <c r="N2234" t="s">
        <v>895</v>
      </c>
      <c r="O2234">
        <v>2234</v>
      </c>
      <c r="P2234" t="str">
        <f t="shared" si="34"/>
        <v xml:space="preserve">[^ftn2234]: </v>
      </c>
    </row>
    <row r="2235" spans="7:16" x14ac:dyDescent="0.25">
      <c r="G2235" t="s">
        <v>894</v>
      </c>
      <c r="H2235">
        <v>2235</v>
      </c>
      <c r="I2235">
        <v>2235</v>
      </c>
      <c r="N2235" t="s">
        <v>895</v>
      </c>
      <c r="O2235">
        <v>2235</v>
      </c>
      <c r="P2235" t="str">
        <f t="shared" si="34"/>
        <v xml:space="preserve">[^ftn2235]: </v>
      </c>
    </row>
    <row r="2236" spans="7:16" x14ac:dyDescent="0.25">
      <c r="G2236" t="s">
        <v>894</v>
      </c>
      <c r="H2236">
        <v>2236</v>
      </c>
      <c r="I2236">
        <v>2236</v>
      </c>
      <c r="N2236" t="s">
        <v>895</v>
      </c>
      <c r="O2236">
        <v>2236</v>
      </c>
      <c r="P2236" t="str">
        <f t="shared" si="34"/>
        <v xml:space="preserve">[^ftn2236]: </v>
      </c>
    </row>
    <row r="2237" spans="7:16" x14ac:dyDescent="0.25">
      <c r="G2237" t="s">
        <v>894</v>
      </c>
      <c r="H2237">
        <v>2237</v>
      </c>
      <c r="I2237">
        <v>2237</v>
      </c>
      <c r="N2237" t="s">
        <v>895</v>
      </c>
      <c r="O2237">
        <v>2237</v>
      </c>
      <c r="P2237" t="str">
        <f t="shared" si="34"/>
        <v xml:space="preserve">[^ftn2237]: </v>
      </c>
    </row>
    <row r="2238" spans="7:16" x14ac:dyDescent="0.25">
      <c r="G2238" t="s">
        <v>894</v>
      </c>
      <c r="H2238">
        <v>2238</v>
      </c>
      <c r="I2238">
        <v>2238</v>
      </c>
      <c r="N2238" t="s">
        <v>895</v>
      </c>
      <c r="O2238">
        <v>2238</v>
      </c>
      <c r="P2238" t="str">
        <f t="shared" si="34"/>
        <v xml:space="preserve">[^ftn2238]: </v>
      </c>
    </row>
    <row r="2239" spans="7:16" x14ac:dyDescent="0.25">
      <c r="G2239" t="s">
        <v>894</v>
      </c>
      <c r="H2239">
        <v>2239</v>
      </c>
      <c r="I2239">
        <v>2239</v>
      </c>
      <c r="N2239" t="s">
        <v>895</v>
      </c>
      <c r="O2239">
        <v>2239</v>
      </c>
      <c r="P2239" t="str">
        <f t="shared" si="34"/>
        <v xml:space="preserve">[^ftn2239]: </v>
      </c>
    </row>
    <row r="2240" spans="7:16" x14ac:dyDescent="0.25">
      <c r="G2240" t="s">
        <v>894</v>
      </c>
      <c r="H2240">
        <v>2240</v>
      </c>
      <c r="I2240">
        <v>2240</v>
      </c>
      <c r="N2240" t="s">
        <v>895</v>
      </c>
      <c r="O2240">
        <v>2240</v>
      </c>
      <c r="P2240" t="str">
        <f t="shared" si="34"/>
        <v xml:space="preserve">[^ftn2240]: </v>
      </c>
    </row>
    <row r="2241" spans="7:16" x14ac:dyDescent="0.25">
      <c r="G2241" t="s">
        <v>894</v>
      </c>
      <c r="H2241">
        <v>2241</v>
      </c>
      <c r="I2241">
        <v>2241</v>
      </c>
      <c r="N2241" t="s">
        <v>895</v>
      </c>
      <c r="O2241">
        <v>2241</v>
      </c>
      <c r="P2241" t="str">
        <f t="shared" si="34"/>
        <v xml:space="preserve">[^ftn2241]: </v>
      </c>
    </row>
    <row r="2242" spans="7:16" x14ac:dyDescent="0.25">
      <c r="G2242" t="s">
        <v>894</v>
      </c>
      <c r="H2242">
        <v>2242</v>
      </c>
      <c r="I2242">
        <v>2242</v>
      </c>
      <c r="N2242" t="s">
        <v>895</v>
      </c>
      <c r="O2242">
        <v>2242</v>
      </c>
      <c r="P2242" t="str">
        <f t="shared" ref="P2242:P2305" si="35">_xlfn.CONCAT("[^ftn",O2242,"]: ",)</f>
        <v xml:space="preserve">[^ftn2242]: </v>
      </c>
    </row>
    <row r="2243" spans="7:16" x14ac:dyDescent="0.25">
      <c r="G2243" t="s">
        <v>894</v>
      </c>
      <c r="H2243">
        <v>2243</v>
      </c>
      <c r="I2243">
        <v>2243</v>
      </c>
      <c r="N2243" t="s">
        <v>895</v>
      </c>
      <c r="O2243">
        <v>2243</v>
      </c>
      <c r="P2243" t="str">
        <f t="shared" si="35"/>
        <v xml:space="preserve">[^ftn2243]: </v>
      </c>
    </row>
    <row r="2244" spans="7:16" x14ac:dyDescent="0.25">
      <c r="G2244" t="s">
        <v>894</v>
      </c>
      <c r="H2244">
        <v>2244</v>
      </c>
      <c r="I2244">
        <v>2244</v>
      </c>
      <c r="N2244" t="s">
        <v>895</v>
      </c>
      <c r="O2244">
        <v>2244</v>
      </c>
      <c r="P2244" t="str">
        <f t="shared" si="35"/>
        <v xml:space="preserve">[^ftn2244]: </v>
      </c>
    </row>
    <row r="2245" spans="7:16" x14ac:dyDescent="0.25">
      <c r="G2245" t="s">
        <v>894</v>
      </c>
      <c r="H2245">
        <v>2245</v>
      </c>
      <c r="I2245">
        <v>2245</v>
      </c>
      <c r="N2245" t="s">
        <v>895</v>
      </c>
      <c r="O2245">
        <v>2245</v>
      </c>
      <c r="P2245" t="str">
        <f t="shared" si="35"/>
        <v xml:space="preserve">[^ftn2245]: </v>
      </c>
    </row>
    <row r="2246" spans="7:16" x14ac:dyDescent="0.25">
      <c r="G2246" t="s">
        <v>894</v>
      </c>
      <c r="H2246">
        <v>2246</v>
      </c>
      <c r="I2246">
        <v>2246</v>
      </c>
      <c r="N2246" t="s">
        <v>895</v>
      </c>
      <c r="O2246">
        <v>2246</v>
      </c>
      <c r="P2246" t="str">
        <f t="shared" si="35"/>
        <v xml:space="preserve">[^ftn2246]: </v>
      </c>
    </row>
    <row r="2247" spans="7:16" x14ac:dyDescent="0.25">
      <c r="G2247" t="s">
        <v>894</v>
      </c>
      <c r="H2247">
        <v>2247</v>
      </c>
      <c r="I2247">
        <v>2247</v>
      </c>
      <c r="N2247" t="s">
        <v>895</v>
      </c>
      <c r="O2247">
        <v>2247</v>
      </c>
      <c r="P2247" t="str">
        <f t="shared" si="35"/>
        <v xml:space="preserve">[^ftn2247]: </v>
      </c>
    </row>
    <row r="2248" spans="7:16" x14ac:dyDescent="0.25">
      <c r="G2248" t="s">
        <v>894</v>
      </c>
      <c r="H2248">
        <v>2248</v>
      </c>
      <c r="I2248">
        <v>2248</v>
      </c>
      <c r="N2248" t="s">
        <v>895</v>
      </c>
      <c r="O2248">
        <v>2248</v>
      </c>
      <c r="P2248" t="str">
        <f t="shared" si="35"/>
        <v xml:space="preserve">[^ftn2248]: </v>
      </c>
    </row>
    <row r="2249" spans="7:16" x14ac:dyDescent="0.25">
      <c r="G2249" t="s">
        <v>894</v>
      </c>
      <c r="H2249">
        <v>2249</v>
      </c>
      <c r="I2249">
        <v>2249</v>
      </c>
      <c r="N2249" t="s">
        <v>895</v>
      </c>
      <c r="O2249">
        <v>2249</v>
      </c>
      <c r="P2249" t="str">
        <f t="shared" si="35"/>
        <v xml:space="preserve">[^ftn2249]: </v>
      </c>
    </row>
    <row r="2250" spans="7:16" x14ac:dyDescent="0.25">
      <c r="G2250" t="s">
        <v>894</v>
      </c>
      <c r="H2250">
        <v>2250</v>
      </c>
      <c r="I2250">
        <v>2250</v>
      </c>
      <c r="N2250" t="s">
        <v>895</v>
      </c>
      <c r="O2250">
        <v>2250</v>
      </c>
      <c r="P2250" t="str">
        <f t="shared" si="35"/>
        <v xml:space="preserve">[^ftn2250]: </v>
      </c>
    </row>
    <row r="2251" spans="7:16" x14ac:dyDescent="0.25">
      <c r="G2251" t="s">
        <v>894</v>
      </c>
      <c r="H2251">
        <v>2251</v>
      </c>
      <c r="I2251">
        <v>2251</v>
      </c>
      <c r="N2251" t="s">
        <v>895</v>
      </c>
      <c r="O2251">
        <v>2251</v>
      </c>
      <c r="P2251" t="str">
        <f t="shared" si="35"/>
        <v xml:space="preserve">[^ftn2251]: </v>
      </c>
    </row>
    <row r="2252" spans="7:16" x14ac:dyDescent="0.25">
      <c r="G2252" t="s">
        <v>894</v>
      </c>
      <c r="H2252">
        <v>2252</v>
      </c>
      <c r="I2252">
        <v>2252</v>
      </c>
      <c r="N2252" t="s">
        <v>895</v>
      </c>
      <c r="O2252">
        <v>2252</v>
      </c>
      <c r="P2252" t="str">
        <f t="shared" si="35"/>
        <v xml:space="preserve">[^ftn2252]: </v>
      </c>
    </row>
    <row r="2253" spans="7:16" x14ac:dyDescent="0.25">
      <c r="G2253" t="s">
        <v>894</v>
      </c>
      <c r="H2253">
        <v>2253</v>
      </c>
      <c r="I2253">
        <v>2253</v>
      </c>
      <c r="N2253" t="s">
        <v>895</v>
      </c>
      <c r="O2253">
        <v>2253</v>
      </c>
      <c r="P2253" t="str">
        <f t="shared" si="35"/>
        <v xml:space="preserve">[^ftn2253]: </v>
      </c>
    </row>
    <row r="2254" spans="7:16" x14ac:dyDescent="0.25">
      <c r="G2254" t="s">
        <v>894</v>
      </c>
      <c r="H2254">
        <v>2254</v>
      </c>
      <c r="I2254">
        <v>2254</v>
      </c>
      <c r="N2254" t="s">
        <v>895</v>
      </c>
      <c r="O2254">
        <v>2254</v>
      </c>
      <c r="P2254" t="str">
        <f t="shared" si="35"/>
        <v xml:space="preserve">[^ftn2254]: </v>
      </c>
    </row>
    <row r="2255" spans="7:16" x14ac:dyDescent="0.25">
      <c r="G2255" t="s">
        <v>894</v>
      </c>
      <c r="H2255">
        <v>2255</v>
      </c>
      <c r="I2255">
        <v>2255</v>
      </c>
      <c r="N2255" t="s">
        <v>895</v>
      </c>
      <c r="O2255">
        <v>2255</v>
      </c>
      <c r="P2255" t="str">
        <f t="shared" si="35"/>
        <v xml:space="preserve">[^ftn2255]: </v>
      </c>
    </row>
    <row r="2256" spans="7:16" x14ac:dyDescent="0.25">
      <c r="G2256" t="s">
        <v>894</v>
      </c>
      <c r="H2256">
        <v>2256</v>
      </c>
      <c r="I2256">
        <v>2256</v>
      </c>
      <c r="N2256" t="s">
        <v>895</v>
      </c>
      <c r="O2256">
        <v>2256</v>
      </c>
      <c r="P2256" t="str">
        <f t="shared" si="35"/>
        <v xml:space="preserve">[^ftn2256]: </v>
      </c>
    </row>
    <row r="2257" spans="7:16" x14ac:dyDescent="0.25">
      <c r="G2257" t="s">
        <v>894</v>
      </c>
      <c r="H2257">
        <v>2257</v>
      </c>
      <c r="I2257">
        <v>2257</v>
      </c>
      <c r="N2257" t="s">
        <v>895</v>
      </c>
      <c r="O2257">
        <v>2257</v>
      </c>
      <c r="P2257" t="str">
        <f t="shared" si="35"/>
        <v xml:space="preserve">[^ftn2257]: </v>
      </c>
    </row>
    <row r="2258" spans="7:16" x14ac:dyDescent="0.25">
      <c r="G2258" t="s">
        <v>894</v>
      </c>
      <c r="H2258">
        <v>2258</v>
      </c>
      <c r="I2258">
        <v>2258</v>
      </c>
      <c r="N2258" t="s">
        <v>895</v>
      </c>
      <c r="O2258">
        <v>2258</v>
      </c>
      <c r="P2258" t="str">
        <f t="shared" si="35"/>
        <v xml:space="preserve">[^ftn2258]: </v>
      </c>
    </row>
    <row r="2259" spans="7:16" x14ac:dyDescent="0.25">
      <c r="G2259" t="s">
        <v>894</v>
      </c>
      <c r="H2259">
        <v>2259</v>
      </c>
      <c r="I2259">
        <v>2259</v>
      </c>
      <c r="N2259" t="s">
        <v>895</v>
      </c>
      <c r="O2259">
        <v>2259</v>
      </c>
      <c r="P2259" t="str">
        <f t="shared" si="35"/>
        <v xml:space="preserve">[^ftn2259]: </v>
      </c>
    </row>
    <row r="2260" spans="7:16" x14ac:dyDescent="0.25">
      <c r="G2260" t="s">
        <v>894</v>
      </c>
      <c r="H2260">
        <v>2260</v>
      </c>
      <c r="I2260">
        <v>2260</v>
      </c>
      <c r="N2260" t="s">
        <v>895</v>
      </c>
      <c r="O2260">
        <v>2260</v>
      </c>
      <c r="P2260" t="str">
        <f t="shared" si="35"/>
        <v xml:space="preserve">[^ftn2260]: </v>
      </c>
    </row>
    <row r="2261" spans="7:16" x14ac:dyDescent="0.25">
      <c r="G2261" t="s">
        <v>894</v>
      </c>
      <c r="H2261">
        <v>2261</v>
      </c>
      <c r="I2261">
        <v>2261</v>
      </c>
      <c r="N2261" t="s">
        <v>895</v>
      </c>
      <c r="O2261">
        <v>2261</v>
      </c>
      <c r="P2261" t="str">
        <f t="shared" si="35"/>
        <v xml:space="preserve">[^ftn2261]: </v>
      </c>
    </row>
    <row r="2262" spans="7:16" x14ac:dyDescent="0.25">
      <c r="G2262" t="s">
        <v>894</v>
      </c>
      <c r="H2262">
        <v>2262</v>
      </c>
      <c r="I2262">
        <v>2262</v>
      </c>
      <c r="N2262" t="s">
        <v>895</v>
      </c>
      <c r="O2262">
        <v>2262</v>
      </c>
      <c r="P2262" t="str">
        <f t="shared" si="35"/>
        <v xml:space="preserve">[^ftn2262]: </v>
      </c>
    </row>
    <row r="2263" spans="7:16" x14ac:dyDescent="0.25">
      <c r="G2263" t="s">
        <v>894</v>
      </c>
      <c r="H2263">
        <v>2263</v>
      </c>
      <c r="I2263">
        <v>2263</v>
      </c>
      <c r="N2263" t="s">
        <v>895</v>
      </c>
      <c r="O2263">
        <v>2263</v>
      </c>
      <c r="P2263" t="str">
        <f t="shared" si="35"/>
        <v xml:space="preserve">[^ftn2263]: </v>
      </c>
    </row>
    <row r="2264" spans="7:16" x14ac:dyDescent="0.25">
      <c r="G2264" t="s">
        <v>894</v>
      </c>
      <c r="H2264">
        <v>2264</v>
      </c>
      <c r="I2264">
        <v>2264</v>
      </c>
      <c r="N2264" t="s">
        <v>895</v>
      </c>
      <c r="O2264">
        <v>2264</v>
      </c>
      <c r="P2264" t="str">
        <f t="shared" si="35"/>
        <v xml:space="preserve">[^ftn2264]: </v>
      </c>
    </row>
    <row r="2265" spans="7:16" x14ac:dyDescent="0.25">
      <c r="G2265" t="s">
        <v>894</v>
      </c>
      <c r="H2265">
        <v>2265</v>
      </c>
      <c r="I2265">
        <v>2265</v>
      </c>
      <c r="N2265" t="s">
        <v>895</v>
      </c>
      <c r="O2265">
        <v>2265</v>
      </c>
      <c r="P2265" t="str">
        <f t="shared" si="35"/>
        <v xml:space="preserve">[^ftn2265]: </v>
      </c>
    </row>
    <row r="2266" spans="7:16" x14ac:dyDescent="0.25">
      <c r="G2266" t="s">
        <v>894</v>
      </c>
      <c r="H2266">
        <v>2266</v>
      </c>
      <c r="I2266">
        <v>2266</v>
      </c>
      <c r="N2266" t="s">
        <v>895</v>
      </c>
      <c r="O2266">
        <v>2266</v>
      </c>
      <c r="P2266" t="str">
        <f t="shared" si="35"/>
        <v xml:space="preserve">[^ftn2266]: </v>
      </c>
    </row>
    <row r="2267" spans="7:16" x14ac:dyDescent="0.25">
      <c r="G2267" t="s">
        <v>894</v>
      </c>
      <c r="H2267">
        <v>2267</v>
      </c>
      <c r="I2267">
        <v>2267</v>
      </c>
      <c r="N2267" t="s">
        <v>895</v>
      </c>
      <c r="O2267">
        <v>2267</v>
      </c>
      <c r="P2267" t="str">
        <f t="shared" si="35"/>
        <v xml:space="preserve">[^ftn2267]: </v>
      </c>
    </row>
    <row r="2268" spans="7:16" x14ac:dyDescent="0.25">
      <c r="G2268" t="s">
        <v>894</v>
      </c>
      <c r="H2268">
        <v>2268</v>
      </c>
      <c r="I2268">
        <v>2268</v>
      </c>
      <c r="N2268" t="s">
        <v>895</v>
      </c>
      <c r="O2268">
        <v>2268</v>
      </c>
      <c r="P2268" t="str">
        <f t="shared" si="35"/>
        <v xml:space="preserve">[^ftn2268]: </v>
      </c>
    </row>
    <row r="2269" spans="7:16" x14ac:dyDescent="0.25">
      <c r="G2269" t="s">
        <v>894</v>
      </c>
      <c r="H2269">
        <v>2269</v>
      </c>
      <c r="I2269">
        <v>2269</v>
      </c>
      <c r="N2269" t="s">
        <v>895</v>
      </c>
      <c r="O2269">
        <v>2269</v>
      </c>
      <c r="P2269" t="str">
        <f t="shared" si="35"/>
        <v xml:space="preserve">[^ftn2269]: </v>
      </c>
    </row>
    <row r="2270" spans="7:16" x14ac:dyDescent="0.25">
      <c r="G2270" t="s">
        <v>894</v>
      </c>
      <c r="H2270">
        <v>2270</v>
      </c>
      <c r="I2270">
        <v>2270</v>
      </c>
      <c r="N2270" t="s">
        <v>895</v>
      </c>
      <c r="O2270">
        <v>2270</v>
      </c>
      <c r="P2270" t="str">
        <f t="shared" si="35"/>
        <v xml:space="preserve">[^ftn2270]: </v>
      </c>
    </row>
    <row r="2271" spans="7:16" x14ac:dyDescent="0.25">
      <c r="G2271" t="s">
        <v>894</v>
      </c>
      <c r="H2271">
        <v>2271</v>
      </c>
      <c r="I2271">
        <v>2271</v>
      </c>
      <c r="N2271" t="s">
        <v>895</v>
      </c>
      <c r="O2271">
        <v>2271</v>
      </c>
      <c r="P2271" t="str">
        <f t="shared" si="35"/>
        <v xml:space="preserve">[^ftn2271]: </v>
      </c>
    </row>
    <row r="2272" spans="7:16" x14ac:dyDescent="0.25">
      <c r="G2272" t="s">
        <v>894</v>
      </c>
      <c r="H2272">
        <v>2272</v>
      </c>
      <c r="I2272">
        <v>2272</v>
      </c>
      <c r="N2272" t="s">
        <v>895</v>
      </c>
      <c r="O2272">
        <v>2272</v>
      </c>
      <c r="P2272" t="str">
        <f t="shared" si="35"/>
        <v xml:space="preserve">[^ftn2272]: </v>
      </c>
    </row>
    <row r="2273" spans="7:16" x14ac:dyDescent="0.25">
      <c r="G2273" t="s">
        <v>894</v>
      </c>
      <c r="H2273">
        <v>2273</v>
      </c>
      <c r="I2273">
        <v>2273</v>
      </c>
      <c r="N2273" t="s">
        <v>895</v>
      </c>
      <c r="O2273">
        <v>2273</v>
      </c>
      <c r="P2273" t="str">
        <f t="shared" si="35"/>
        <v xml:space="preserve">[^ftn2273]: </v>
      </c>
    </row>
    <row r="2274" spans="7:16" x14ac:dyDescent="0.25">
      <c r="G2274" t="s">
        <v>894</v>
      </c>
      <c r="H2274">
        <v>2274</v>
      </c>
      <c r="I2274">
        <v>2274</v>
      </c>
      <c r="N2274" t="s">
        <v>895</v>
      </c>
      <c r="O2274">
        <v>2274</v>
      </c>
      <c r="P2274" t="str">
        <f t="shared" si="35"/>
        <v xml:space="preserve">[^ftn2274]: </v>
      </c>
    </row>
    <row r="2275" spans="7:16" x14ac:dyDescent="0.25">
      <c r="G2275" t="s">
        <v>894</v>
      </c>
      <c r="H2275">
        <v>2275</v>
      </c>
      <c r="I2275">
        <v>2275</v>
      </c>
      <c r="N2275" t="s">
        <v>895</v>
      </c>
      <c r="O2275">
        <v>2275</v>
      </c>
      <c r="P2275" t="str">
        <f t="shared" si="35"/>
        <v xml:space="preserve">[^ftn2275]: </v>
      </c>
    </row>
    <row r="2276" spans="7:16" x14ac:dyDescent="0.25">
      <c r="G2276" t="s">
        <v>894</v>
      </c>
      <c r="H2276">
        <v>2276</v>
      </c>
      <c r="I2276">
        <v>2276</v>
      </c>
      <c r="N2276" t="s">
        <v>895</v>
      </c>
      <c r="O2276">
        <v>2276</v>
      </c>
      <c r="P2276" t="str">
        <f t="shared" si="35"/>
        <v xml:space="preserve">[^ftn2276]: </v>
      </c>
    </row>
    <row r="2277" spans="7:16" x14ac:dyDescent="0.25">
      <c r="G2277" t="s">
        <v>894</v>
      </c>
      <c r="H2277">
        <v>2277</v>
      </c>
      <c r="I2277">
        <v>2277</v>
      </c>
      <c r="N2277" t="s">
        <v>895</v>
      </c>
      <c r="O2277">
        <v>2277</v>
      </c>
      <c r="P2277" t="str">
        <f t="shared" si="35"/>
        <v xml:space="preserve">[^ftn2277]: </v>
      </c>
    </row>
    <row r="2278" spans="7:16" x14ac:dyDescent="0.25">
      <c r="G2278" t="s">
        <v>894</v>
      </c>
      <c r="H2278">
        <v>2278</v>
      </c>
      <c r="I2278">
        <v>2278</v>
      </c>
      <c r="N2278" t="s">
        <v>895</v>
      </c>
      <c r="O2278">
        <v>2278</v>
      </c>
      <c r="P2278" t="str">
        <f t="shared" si="35"/>
        <v xml:space="preserve">[^ftn2278]: </v>
      </c>
    </row>
    <row r="2279" spans="7:16" x14ac:dyDescent="0.25">
      <c r="G2279" t="s">
        <v>894</v>
      </c>
      <c r="H2279">
        <v>2279</v>
      </c>
      <c r="I2279">
        <v>2279</v>
      </c>
      <c r="N2279" t="s">
        <v>895</v>
      </c>
      <c r="O2279">
        <v>2279</v>
      </c>
      <c r="P2279" t="str">
        <f t="shared" si="35"/>
        <v xml:space="preserve">[^ftn2279]: </v>
      </c>
    </row>
    <row r="2280" spans="7:16" x14ac:dyDescent="0.25">
      <c r="G2280" t="s">
        <v>894</v>
      </c>
      <c r="H2280">
        <v>2280</v>
      </c>
      <c r="I2280">
        <v>2280</v>
      </c>
      <c r="N2280" t="s">
        <v>895</v>
      </c>
      <c r="O2280">
        <v>2280</v>
      </c>
      <c r="P2280" t="str">
        <f t="shared" si="35"/>
        <v xml:space="preserve">[^ftn2280]: </v>
      </c>
    </row>
    <row r="2281" spans="7:16" x14ac:dyDescent="0.25">
      <c r="G2281" t="s">
        <v>894</v>
      </c>
      <c r="H2281">
        <v>2281</v>
      </c>
      <c r="I2281">
        <v>2281</v>
      </c>
      <c r="N2281" t="s">
        <v>895</v>
      </c>
      <c r="O2281">
        <v>2281</v>
      </c>
      <c r="P2281" t="str">
        <f t="shared" si="35"/>
        <v xml:space="preserve">[^ftn2281]: </v>
      </c>
    </row>
    <row r="2282" spans="7:16" x14ac:dyDescent="0.25">
      <c r="G2282" t="s">
        <v>894</v>
      </c>
      <c r="H2282">
        <v>2282</v>
      </c>
      <c r="I2282">
        <v>2282</v>
      </c>
      <c r="N2282" t="s">
        <v>895</v>
      </c>
      <c r="O2282">
        <v>2282</v>
      </c>
      <c r="P2282" t="str">
        <f t="shared" si="35"/>
        <v xml:space="preserve">[^ftn2282]: </v>
      </c>
    </row>
    <row r="2283" spans="7:16" x14ac:dyDescent="0.25">
      <c r="G2283" t="s">
        <v>894</v>
      </c>
      <c r="H2283">
        <v>2283</v>
      </c>
      <c r="I2283">
        <v>2283</v>
      </c>
      <c r="N2283" t="s">
        <v>895</v>
      </c>
      <c r="O2283">
        <v>2283</v>
      </c>
      <c r="P2283" t="str">
        <f t="shared" si="35"/>
        <v xml:space="preserve">[^ftn2283]: </v>
      </c>
    </row>
    <row r="2284" spans="7:16" x14ac:dyDescent="0.25">
      <c r="G2284" t="s">
        <v>894</v>
      </c>
      <c r="H2284">
        <v>2284</v>
      </c>
      <c r="I2284">
        <v>2284</v>
      </c>
      <c r="N2284" t="s">
        <v>895</v>
      </c>
      <c r="O2284">
        <v>2284</v>
      </c>
      <c r="P2284" t="str">
        <f t="shared" si="35"/>
        <v xml:space="preserve">[^ftn2284]: </v>
      </c>
    </row>
    <row r="2285" spans="7:16" x14ac:dyDescent="0.25">
      <c r="G2285" t="s">
        <v>894</v>
      </c>
      <c r="H2285">
        <v>2285</v>
      </c>
      <c r="I2285">
        <v>2285</v>
      </c>
      <c r="N2285" t="s">
        <v>895</v>
      </c>
      <c r="O2285">
        <v>2285</v>
      </c>
      <c r="P2285" t="str">
        <f t="shared" si="35"/>
        <v xml:space="preserve">[^ftn2285]: </v>
      </c>
    </row>
    <row r="2286" spans="7:16" x14ac:dyDescent="0.25">
      <c r="G2286" t="s">
        <v>894</v>
      </c>
      <c r="H2286">
        <v>2286</v>
      </c>
      <c r="I2286">
        <v>2286</v>
      </c>
      <c r="N2286" t="s">
        <v>895</v>
      </c>
      <c r="O2286">
        <v>2286</v>
      </c>
      <c r="P2286" t="str">
        <f t="shared" si="35"/>
        <v xml:space="preserve">[^ftn2286]: </v>
      </c>
    </row>
    <row r="2287" spans="7:16" x14ac:dyDescent="0.25">
      <c r="G2287" t="s">
        <v>894</v>
      </c>
      <c r="H2287">
        <v>2287</v>
      </c>
      <c r="I2287">
        <v>2287</v>
      </c>
      <c r="N2287" t="s">
        <v>895</v>
      </c>
      <c r="O2287">
        <v>2287</v>
      </c>
      <c r="P2287" t="str">
        <f t="shared" si="35"/>
        <v xml:space="preserve">[^ftn2287]: </v>
      </c>
    </row>
    <row r="2288" spans="7:16" x14ac:dyDescent="0.25">
      <c r="G2288" t="s">
        <v>894</v>
      </c>
      <c r="H2288">
        <v>2288</v>
      </c>
      <c r="I2288">
        <v>2288</v>
      </c>
      <c r="N2288" t="s">
        <v>895</v>
      </c>
      <c r="O2288">
        <v>2288</v>
      </c>
      <c r="P2288" t="str">
        <f t="shared" si="35"/>
        <v xml:space="preserve">[^ftn2288]: </v>
      </c>
    </row>
    <row r="2289" spans="7:16" x14ac:dyDescent="0.25">
      <c r="G2289" t="s">
        <v>894</v>
      </c>
      <c r="H2289">
        <v>2289</v>
      </c>
      <c r="I2289">
        <v>2289</v>
      </c>
      <c r="N2289" t="s">
        <v>895</v>
      </c>
      <c r="O2289">
        <v>2289</v>
      </c>
      <c r="P2289" t="str">
        <f t="shared" si="35"/>
        <v xml:space="preserve">[^ftn2289]: </v>
      </c>
    </row>
    <row r="2290" spans="7:16" x14ac:dyDescent="0.25">
      <c r="G2290" t="s">
        <v>894</v>
      </c>
      <c r="H2290">
        <v>2290</v>
      </c>
      <c r="I2290">
        <v>2290</v>
      </c>
      <c r="N2290" t="s">
        <v>895</v>
      </c>
      <c r="O2290">
        <v>2290</v>
      </c>
      <c r="P2290" t="str">
        <f t="shared" si="35"/>
        <v xml:space="preserve">[^ftn2290]: </v>
      </c>
    </row>
    <row r="2291" spans="7:16" x14ac:dyDescent="0.25">
      <c r="G2291" t="s">
        <v>894</v>
      </c>
      <c r="H2291">
        <v>2291</v>
      </c>
      <c r="I2291">
        <v>2291</v>
      </c>
      <c r="N2291" t="s">
        <v>895</v>
      </c>
      <c r="O2291">
        <v>2291</v>
      </c>
      <c r="P2291" t="str">
        <f t="shared" si="35"/>
        <v xml:space="preserve">[^ftn2291]: </v>
      </c>
    </row>
    <row r="2292" spans="7:16" x14ac:dyDescent="0.25">
      <c r="G2292" t="s">
        <v>894</v>
      </c>
      <c r="H2292">
        <v>2292</v>
      </c>
      <c r="I2292">
        <v>2292</v>
      </c>
      <c r="N2292" t="s">
        <v>895</v>
      </c>
      <c r="O2292">
        <v>2292</v>
      </c>
      <c r="P2292" t="str">
        <f t="shared" si="35"/>
        <v xml:space="preserve">[^ftn2292]: </v>
      </c>
    </row>
    <row r="2293" spans="7:16" x14ac:dyDescent="0.25">
      <c r="G2293" t="s">
        <v>894</v>
      </c>
      <c r="H2293">
        <v>2293</v>
      </c>
      <c r="I2293">
        <v>2293</v>
      </c>
      <c r="N2293" t="s">
        <v>895</v>
      </c>
      <c r="O2293">
        <v>2293</v>
      </c>
      <c r="P2293" t="str">
        <f t="shared" si="35"/>
        <v xml:space="preserve">[^ftn2293]: </v>
      </c>
    </row>
    <row r="2294" spans="7:16" x14ac:dyDescent="0.25">
      <c r="G2294" t="s">
        <v>894</v>
      </c>
      <c r="H2294">
        <v>2294</v>
      </c>
      <c r="I2294">
        <v>2294</v>
      </c>
      <c r="N2294" t="s">
        <v>895</v>
      </c>
      <c r="O2294">
        <v>2294</v>
      </c>
      <c r="P2294" t="str">
        <f t="shared" si="35"/>
        <v xml:space="preserve">[^ftn2294]: </v>
      </c>
    </row>
    <row r="2295" spans="7:16" x14ac:dyDescent="0.25">
      <c r="G2295" t="s">
        <v>894</v>
      </c>
      <c r="H2295">
        <v>2295</v>
      </c>
      <c r="I2295">
        <v>2295</v>
      </c>
      <c r="N2295" t="s">
        <v>895</v>
      </c>
      <c r="O2295">
        <v>2295</v>
      </c>
      <c r="P2295" t="str">
        <f t="shared" si="35"/>
        <v xml:space="preserve">[^ftn2295]: </v>
      </c>
    </row>
    <row r="2296" spans="7:16" x14ac:dyDescent="0.25">
      <c r="G2296" t="s">
        <v>894</v>
      </c>
      <c r="H2296">
        <v>2296</v>
      </c>
      <c r="I2296">
        <v>2296</v>
      </c>
      <c r="N2296" t="s">
        <v>895</v>
      </c>
      <c r="O2296">
        <v>2296</v>
      </c>
      <c r="P2296" t="str">
        <f t="shared" si="35"/>
        <v xml:space="preserve">[^ftn2296]: </v>
      </c>
    </row>
    <row r="2297" spans="7:16" x14ac:dyDescent="0.25">
      <c r="G2297" t="s">
        <v>894</v>
      </c>
      <c r="H2297">
        <v>2297</v>
      </c>
      <c r="I2297">
        <v>2297</v>
      </c>
      <c r="N2297" t="s">
        <v>895</v>
      </c>
      <c r="O2297">
        <v>2297</v>
      </c>
      <c r="P2297" t="str">
        <f t="shared" si="35"/>
        <v xml:space="preserve">[^ftn2297]: </v>
      </c>
    </row>
    <row r="2298" spans="7:16" x14ac:dyDescent="0.25">
      <c r="G2298" t="s">
        <v>894</v>
      </c>
      <c r="H2298">
        <v>2298</v>
      </c>
      <c r="I2298">
        <v>2298</v>
      </c>
      <c r="N2298" t="s">
        <v>895</v>
      </c>
      <c r="O2298">
        <v>2298</v>
      </c>
      <c r="P2298" t="str">
        <f t="shared" si="35"/>
        <v xml:space="preserve">[^ftn2298]: </v>
      </c>
    </row>
    <row r="2299" spans="7:16" x14ac:dyDescent="0.25">
      <c r="G2299" t="s">
        <v>894</v>
      </c>
      <c r="H2299">
        <v>2299</v>
      </c>
      <c r="I2299">
        <v>2299</v>
      </c>
      <c r="N2299" t="s">
        <v>895</v>
      </c>
      <c r="O2299">
        <v>2299</v>
      </c>
      <c r="P2299" t="str">
        <f t="shared" si="35"/>
        <v xml:space="preserve">[^ftn2299]: </v>
      </c>
    </row>
    <row r="2300" spans="7:16" x14ac:dyDescent="0.25">
      <c r="G2300" t="s">
        <v>894</v>
      </c>
      <c r="H2300">
        <v>2300</v>
      </c>
      <c r="I2300">
        <v>2300</v>
      </c>
      <c r="N2300" t="s">
        <v>895</v>
      </c>
      <c r="O2300">
        <v>2300</v>
      </c>
      <c r="P2300" t="str">
        <f t="shared" si="35"/>
        <v xml:space="preserve">[^ftn2300]: </v>
      </c>
    </row>
    <row r="2301" spans="7:16" x14ac:dyDescent="0.25">
      <c r="G2301" t="s">
        <v>894</v>
      </c>
      <c r="H2301">
        <v>2301</v>
      </c>
      <c r="I2301">
        <v>2301</v>
      </c>
      <c r="N2301" t="s">
        <v>895</v>
      </c>
      <c r="O2301">
        <v>2301</v>
      </c>
      <c r="P2301" t="str">
        <f t="shared" si="35"/>
        <v xml:space="preserve">[^ftn2301]: </v>
      </c>
    </row>
    <row r="2302" spans="7:16" x14ac:dyDescent="0.25">
      <c r="G2302" t="s">
        <v>894</v>
      </c>
      <c r="H2302">
        <v>2302</v>
      </c>
      <c r="I2302">
        <v>2302</v>
      </c>
      <c r="N2302" t="s">
        <v>895</v>
      </c>
      <c r="O2302">
        <v>2302</v>
      </c>
      <c r="P2302" t="str">
        <f t="shared" si="35"/>
        <v xml:space="preserve">[^ftn2302]: </v>
      </c>
    </row>
    <row r="2303" spans="7:16" x14ac:dyDescent="0.25">
      <c r="G2303" t="s">
        <v>894</v>
      </c>
      <c r="H2303">
        <v>2303</v>
      </c>
      <c r="I2303">
        <v>2303</v>
      </c>
      <c r="N2303" t="s">
        <v>895</v>
      </c>
      <c r="O2303">
        <v>2303</v>
      </c>
      <c r="P2303" t="str">
        <f t="shared" si="35"/>
        <v xml:space="preserve">[^ftn2303]: </v>
      </c>
    </row>
    <row r="2304" spans="7:16" x14ac:dyDescent="0.25">
      <c r="G2304" t="s">
        <v>894</v>
      </c>
      <c r="H2304">
        <v>2304</v>
      </c>
      <c r="I2304">
        <v>2304</v>
      </c>
      <c r="N2304" t="s">
        <v>895</v>
      </c>
      <c r="O2304">
        <v>2304</v>
      </c>
      <c r="P2304" t="str">
        <f t="shared" si="35"/>
        <v xml:space="preserve">[^ftn2304]: </v>
      </c>
    </row>
    <row r="2305" spans="7:16" x14ac:dyDescent="0.25">
      <c r="G2305" t="s">
        <v>894</v>
      </c>
      <c r="H2305">
        <v>2305</v>
      </c>
      <c r="I2305">
        <v>2305</v>
      </c>
      <c r="N2305" t="s">
        <v>895</v>
      </c>
      <c r="O2305">
        <v>2305</v>
      </c>
      <c r="P2305" t="str">
        <f t="shared" si="35"/>
        <v xml:space="preserve">[^ftn2305]: </v>
      </c>
    </row>
    <row r="2306" spans="7:16" x14ac:dyDescent="0.25">
      <c r="G2306" t="s">
        <v>894</v>
      </c>
      <c r="H2306">
        <v>2306</v>
      </c>
      <c r="I2306">
        <v>2306</v>
      </c>
      <c r="N2306" t="s">
        <v>895</v>
      </c>
      <c r="O2306">
        <v>2306</v>
      </c>
      <c r="P2306" t="str">
        <f t="shared" ref="P2306:P2369" si="36">_xlfn.CONCAT("[^ftn",O2306,"]: ",)</f>
        <v xml:space="preserve">[^ftn2306]: </v>
      </c>
    </row>
    <row r="2307" spans="7:16" x14ac:dyDescent="0.25">
      <c r="G2307" t="s">
        <v>894</v>
      </c>
      <c r="H2307">
        <v>2307</v>
      </c>
      <c r="I2307">
        <v>2307</v>
      </c>
      <c r="N2307" t="s">
        <v>895</v>
      </c>
      <c r="O2307">
        <v>2307</v>
      </c>
      <c r="P2307" t="str">
        <f t="shared" si="36"/>
        <v xml:space="preserve">[^ftn2307]: </v>
      </c>
    </row>
    <row r="2308" spans="7:16" x14ac:dyDescent="0.25">
      <c r="G2308" t="s">
        <v>894</v>
      </c>
      <c r="H2308">
        <v>2308</v>
      </c>
      <c r="I2308">
        <v>2308</v>
      </c>
      <c r="N2308" t="s">
        <v>895</v>
      </c>
      <c r="O2308">
        <v>2308</v>
      </c>
      <c r="P2308" t="str">
        <f t="shared" si="36"/>
        <v xml:space="preserve">[^ftn2308]: </v>
      </c>
    </row>
    <row r="2309" spans="7:16" x14ac:dyDescent="0.25">
      <c r="G2309" t="s">
        <v>894</v>
      </c>
      <c r="H2309">
        <v>2309</v>
      </c>
      <c r="I2309">
        <v>2309</v>
      </c>
      <c r="N2309" t="s">
        <v>895</v>
      </c>
      <c r="O2309">
        <v>2309</v>
      </c>
      <c r="P2309" t="str">
        <f t="shared" si="36"/>
        <v xml:space="preserve">[^ftn2309]: </v>
      </c>
    </row>
    <row r="2310" spans="7:16" x14ac:dyDescent="0.25">
      <c r="G2310" t="s">
        <v>894</v>
      </c>
      <c r="H2310">
        <v>2310</v>
      </c>
      <c r="I2310">
        <v>2310</v>
      </c>
      <c r="N2310" t="s">
        <v>895</v>
      </c>
      <c r="O2310">
        <v>2310</v>
      </c>
      <c r="P2310" t="str">
        <f t="shared" si="36"/>
        <v xml:space="preserve">[^ftn2310]: </v>
      </c>
    </row>
    <row r="2311" spans="7:16" x14ac:dyDescent="0.25">
      <c r="G2311" t="s">
        <v>894</v>
      </c>
      <c r="H2311">
        <v>2311</v>
      </c>
      <c r="I2311">
        <v>2311</v>
      </c>
      <c r="N2311" t="s">
        <v>895</v>
      </c>
      <c r="O2311">
        <v>2311</v>
      </c>
      <c r="P2311" t="str">
        <f t="shared" si="36"/>
        <v xml:space="preserve">[^ftn2311]: </v>
      </c>
    </row>
    <row r="2312" spans="7:16" x14ac:dyDescent="0.25">
      <c r="G2312" t="s">
        <v>894</v>
      </c>
      <c r="H2312">
        <v>2312</v>
      </c>
      <c r="I2312">
        <v>2312</v>
      </c>
      <c r="N2312" t="s">
        <v>895</v>
      </c>
      <c r="O2312">
        <v>2312</v>
      </c>
      <c r="P2312" t="str">
        <f t="shared" si="36"/>
        <v xml:space="preserve">[^ftn2312]: </v>
      </c>
    </row>
    <row r="2313" spans="7:16" x14ac:dyDescent="0.25">
      <c r="G2313" t="s">
        <v>894</v>
      </c>
      <c r="H2313">
        <v>2313</v>
      </c>
      <c r="I2313">
        <v>2313</v>
      </c>
      <c r="N2313" t="s">
        <v>895</v>
      </c>
      <c r="O2313">
        <v>2313</v>
      </c>
      <c r="P2313" t="str">
        <f t="shared" si="36"/>
        <v xml:space="preserve">[^ftn2313]: </v>
      </c>
    </row>
    <row r="2314" spans="7:16" x14ac:dyDescent="0.25">
      <c r="G2314" t="s">
        <v>894</v>
      </c>
      <c r="H2314">
        <v>2314</v>
      </c>
      <c r="I2314">
        <v>2314</v>
      </c>
      <c r="N2314" t="s">
        <v>895</v>
      </c>
      <c r="O2314">
        <v>2314</v>
      </c>
      <c r="P2314" t="str">
        <f t="shared" si="36"/>
        <v xml:space="preserve">[^ftn2314]: </v>
      </c>
    </row>
    <row r="2315" spans="7:16" x14ac:dyDescent="0.25">
      <c r="G2315" t="s">
        <v>894</v>
      </c>
      <c r="H2315">
        <v>2315</v>
      </c>
      <c r="I2315">
        <v>2315</v>
      </c>
      <c r="N2315" t="s">
        <v>895</v>
      </c>
      <c r="O2315">
        <v>2315</v>
      </c>
      <c r="P2315" t="str">
        <f t="shared" si="36"/>
        <v xml:space="preserve">[^ftn2315]: </v>
      </c>
    </row>
    <row r="2316" spans="7:16" x14ac:dyDescent="0.25">
      <c r="G2316" t="s">
        <v>894</v>
      </c>
      <c r="H2316">
        <v>2316</v>
      </c>
      <c r="I2316">
        <v>2316</v>
      </c>
      <c r="N2316" t="s">
        <v>895</v>
      </c>
      <c r="O2316">
        <v>2316</v>
      </c>
      <c r="P2316" t="str">
        <f t="shared" si="36"/>
        <v xml:space="preserve">[^ftn2316]: </v>
      </c>
    </row>
    <row r="2317" spans="7:16" x14ac:dyDescent="0.25">
      <c r="G2317" t="s">
        <v>894</v>
      </c>
      <c r="H2317">
        <v>2317</v>
      </c>
      <c r="I2317">
        <v>2317</v>
      </c>
      <c r="N2317" t="s">
        <v>895</v>
      </c>
      <c r="O2317">
        <v>2317</v>
      </c>
      <c r="P2317" t="str">
        <f t="shared" si="36"/>
        <v xml:space="preserve">[^ftn2317]: </v>
      </c>
    </row>
    <row r="2318" spans="7:16" x14ac:dyDescent="0.25">
      <c r="G2318" t="s">
        <v>894</v>
      </c>
      <c r="H2318">
        <v>2318</v>
      </c>
      <c r="I2318">
        <v>2318</v>
      </c>
      <c r="N2318" t="s">
        <v>895</v>
      </c>
      <c r="O2318">
        <v>2318</v>
      </c>
      <c r="P2318" t="str">
        <f t="shared" si="36"/>
        <v xml:space="preserve">[^ftn2318]: </v>
      </c>
    </row>
    <row r="2319" spans="7:16" x14ac:dyDescent="0.25">
      <c r="G2319" t="s">
        <v>894</v>
      </c>
      <c r="H2319">
        <v>2319</v>
      </c>
      <c r="I2319">
        <v>2319</v>
      </c>
      <c r="N2319" t="s">
        <v>895</v>
      </c>
      <c r="O2319">
        <v>2319</v>
      </c>
      <c r="P2319" t="str">
        <f t="shared" si="36"/>
        <v xml:space="preserve">[^ftn2319]: </v>
      </c>
    </row>
    <row r="2320" spans="7:16" x14ac:dyDescent="0.25">
      <c r="G2320" t="s">
        <v>894</v>
      </c>
      <c r="H2320">
        <v>2320</v>
      </c>
      <c r="I2320">
        <v>2320</v>
      </c>
      <c r="N2320" t="s">
        <v>895</v>
      </c>
      <c r="O2320">
        <v>2320</v>
      </c>
      <c r="P2320" t="str">
        <f t="shared" si="36"/>
        <v xml:space="preserve">[^ftn2320]: </v>
      </c>
    </row>
    <row r="2321" spans="7:16" x14ac:dyDescent="0.25">
      <c r="G2321" t="s">
        <v>894</v>
      </c>
      <c r="H2321">
        <v>2321</v>
      </c>
      <c r="I2321">
        <v>2321</v>
      </c>
      <c r="N2321" t="s">
        <v>895</v>
      </c>
      <c r="O2321">
        <v>2321</v>
      </c>
      <c r="P2321" t="str">
        <f t="shared" si="36"/>
        <v xml:space="preserve">[^ftn2321]: </v>
      </c>
    </row>
    <row r="2322" spans="7:16" x14ac:dyDescent="0.25">
      <c r="G2322" t="s">
        <v>894</v>
      </c>
      <c r="H2322">
        <v>2322</v>
      </c>
      <c r="I2322">
        <v>2322</v>
      </c>
      <c r="N2322" t="s">
        <v>895</v>
      </c>
      <c r="O2322">
        <v>2322</v>
      </c>
      <c r="P2322" t="str">
        <f t="shared" si="36"/>
        <v xml:space="preserve">[^ftn2322]: </v>
      </c>
    </row>
    <row r="2323" spans="7:16" x14ac:dyDescent="0.25">
      <c r="G2323" t="s">
        <v>894</v>
      </c>
      <c r="H2323">
        <v>2323</v>
      </c>
      <c r="I2323">
        <v>2323</v>
      </c>
      <c r="N2323" t="s">
        <v>895</v>
      </c>
      <c r="O2323">
        <v>2323</v>
      </c>
      <c r="P2323" t="str">
        <f t="shared" si="36"/>
        <v xml:space="preserve">[^ftn2323]: </v>
      </c>
    </row>
    <row r="2324" spans="7:16" x14ac:dyDescent="0.25">
      <c r="G2324" t="s">
        <v>894</v>
      </c>
      <c r="H2324">
        <v>2324</v>
      </c>
      <c r="I2324">
        <v>2324</v>
      </c>
      <c r="N2324" t="s">
        <v>895</v>
      </c>
      <c r="O2324">
        <v>2324</v>
      </c>
      <c r="P2324" t="str">
        <f t="shared" si="36"/>
        <v xml:space="preserve">[^ftn2324]: </v>
      </c>
    </row>
    <row r="2325" spans="7:16" x14ac:dyDescent="0.25">
      <c r="G2325" t="s">
        <v>894</v>
      </c>
      <c r="H2325">
        <v>2325</v>
      </c>
      <c r="I2325">
        <v>2325</v>
      </c>
      <c r="N2325" t="s">
        <v>895</v>
      </c>
      <c r="O2325">
        <v>2325</v>
      </c>
      <c r="P2325" t="str">
        <f t="shared" si="36"/>
        <v xml:space="preserve">[^ftn2325]: </v>
      </c>
    </row>
    <row r="2326" spans="7:16" x14ac:dyDescent="0.25">
      <c r="G2326" t="s">
        <v>894</v>
      </c>
      <c r="H2326">
        <v>2326</v>
      </c>
      <c r="I2326">
        <v>2326</v>
      </c>
      <c r="N2326" t="s">
        <v>895</v>
      </c>
      <c r="O2326">
        <v>2326</v>
      </c>
      <c r="P2326" t="str">
        <f t="shared" si="36"/>
        <v xml:space="preserve">[^ftn2326]: </v>
      </c>
    </row>
    <row r="2327" spans="7:16" x14ac:dyDescent="0.25">
      <c r="G2327" t="s">
        <v>894</v>
      </c>
      <c r="H2327">
        <v>2327</v>
      </c>
      <c r="I2327">
        <v>2327</v>
      </c>
      <c r="N2327" t="s">
        <v>895</v>
      </c>
      <c r="O2327">
        <v>2327</v>
      </c>
      <c r="P2327" t="str">
        <f t="shared" si="36"/>
        <v xml:space="preserve">[^ftn2327]: </v>
      </c>
    </row>
    <row r="2328" spans="7:16" x14ac:dyDescent="0.25">
      <c r="G2328" t="s">
        <v>894</v>
      </c>
      <c r="H2328">
        <v>2328</v>
      </c>
      <c r="I2328">
        <v>2328</v>
      </c>
      <c r="N2328" t="s">
        <v>895</v>
      </c>
      <c r="O2328">
        <v>2328</v>
      </c>
      <c r="P2328" t="str">
        <f t="shared" si="36"/>
        <v xml:space="preserve">[^ftn2328]: </v>
      </c>
    </row>
    <row r="2329" spans="7:16" x14ac:dyDescent="0.25">
      <c r="G2329" t="s">
        <v>894</v>
      </c>
      <c r="H2329">
        <v>2329</v>
      </c>
      <c r="I2329">
        <v>2329</v>
      </c>
      <c r="N2329" t="s">
        <v>895</v>
      </c>
      <c r="O2329">
        <v>2329</v>
      </c>
      <c r="P2329" t="str">
        <f t="shared" si="36"/>
        <v xml:space="preserve">[^ftn2329]: </v>
      </c>
    </row>
    <row r="2330" spans="7:16" x14ac:dyDescent="0.25">
      <c r="G2330" t="s">
        <v>894</v>
      </c>
      <c r="H2330">
        <v>2330</v>
      </c>
      <c r="I2330">
        <v>2330</v>
      </c>
      <c r="N2330" t="s">
        <v>895</v>
      </c>
      <c r="O2330">
        <v>2330</v>
      </c>
      <c r="P2330" t="str">
        <f t="shared" si="36"/>
        <v xml:space="preserve">[^ftn2330]: </v>
      </c>
    </row>
    <row r="2331" spans="7:16" x14ac:dyDescent="0.25">
      <c r="G2331" t="s">
        <v>894</v>
      </c>
      <c r="H2331">
        <v>2331</v>
      </c>
      <c r="I2331">
        <v>2331</v>
      </c>
      <c r="N2331" t="s">
        <v>895</v>
      </c>
      <c r="O2331">
        <v>2331</v>
      </c>
      <c r="P2331" t="str">
        <f t="shared" si="36"/>
        <v xml:space="preserve">[^ftn2331]: </v>
      </c>
    </row>
    <row r="2332" spans="7:16" x14ac:dyDescent="0.25">
      <c r="G2332" t="s">
        <v>894</v>
      </c>
      <c r="H2332">
        <v>2332</v>
      </c>
      <c r="I2332">
        <v>2332</v>
      </c>
      <c r="N2332" t="s">
        <v>895</v>
      </c>
      <c r="O2332">
        <v>2332</v>
      </c>
      <c r="P2332" t="str">
        <f t="shared" si="36"/>
        <v xml:space="preserve">[^ftn2332]: </v>
      </c>
    </row>
    <row r="2333" spans="7:16" x14ac:dyDescent="0.25">
      <c r="G2333" t="s">
        <v>894</v>
      </c>
      <c r="H2333">
        <v>2333</v>
      </c>
      <c r="I2333">
        <v>2333</v>
      </c>
      <c r="N2333" t="s">
        <v>895</v>
      </c>
      <c r="O2333">
        <v>2333</v>
      </c>
      <c r="P2333" t="str">
        <f t="shared" si="36"/>
        <v xml:space="preserve">[^ftn2333]: </v>
      </c>
    </row>
    <row r="2334" spans="7:16" x14ac:dyDescent="0.25">
      <c r="G2334" t="s">
        <v>894</v>
      </c>
      <c r="H2334">
        <v>2334</v>
      </c>
      <c r="I2334">
        <v>2334</v>
      </c>
      <c r="N2334" t="s">
        <v>895</v>
      </c>
      <c r="O2334">
        <v>2334</v>
      </c>
      <c r="P2334" t="str">
        <f t="shared" si="36"/>
        <v xml:space="preserve">[^ftn2334]: </v>
      </c>
    </row>
    <row r="2335" spans="7:16" x14ac:dyDescent="0.25">
      <c r="G2335" t="s">
        <v>894</v>
      </c>
      <c r="H2335">
        <v>2335</v>
      </c>
      <c r="I2335">
        <v>2335</v>
      </c>
      <c r="N2335" t="s">
        <v>895</v>
      </c>
      <c r="O2335">
        <v>2335</v>
      </c>
      <c r="P2335" t="str">
        <f t="shared" si="36"/>
        <v xml:space="preserve">[^ftn2335]: </v>
      </c>
    </row>
    <row r="2336" spans="7:16" x14ac:dyDescent="0.25">
      <c r="G2336" t="s">
        <v>894</v>
      </c>
      <c r="H2336">
        <v>2336</v>
      </c>
      <c r="I2336">
        <v>2336</v>
      </c>
      <c r="N2336" t="s">
        <v>895</v>
      </c>
      <c r="O2336">
        <v>2336</v>
      </c>
      <c r="P2336" t="str">
        <f t="shared" si="36"/>
        <v xml:space="preserve">[^ftn2336]: </v>
      </c>
    </row>
    <row r="2337" spans="7:16" x14ac:dyDescent="0.25">
      <c r="G2337" t="s">
        <v>894</v>
      </c>
      <c r="H2337">
        <v>2337</v>
      </c>
      <c r="I2337">
        <v>2337</v>
      </c>
      <c r="N2337" t="s">
        <v>895</v>
      </c>
      <c r="O2337">
        <v>2337</v>
      </c>
      <c r="P2337" t="str">
        <f t="shared" si="36"/>
        <v xml:space="preserve">[^ftn2337]: </v>
      </c>
    </row>
    <row r="2338" spans="7:16" x14ac:dyDescent="0.25">
      <c r="G2338" t="s">
        <v>894</v>
      </c>
      <c r="H2338">
        <v>2338</v>
      </c>
      <c r="I2338">
        <v>2338</v>
      </c>
      <c r="N2338" t="s">
        <v>895</v>
      </c>
      <c r="O2338">
        <v>2338</v>
      </c>
      <c r="P2338" t="str">
        <f t="shared" si="36"/>
        <v xml:space="preserve">[^ftn2338]: </v>
      </c>
    </row>
    <row r="2339" spans="7:16" x14ac:dyDescent="0.25">
      <c r="G2339" t="s">
        <v>894</v>
      </c>
      <c r="H2339">
        <v>2339</v>
      </c>
      <c r="I2339">
        <v>2339</v>
      </c>
      <c r="N2339" t="s">
        <v>895</v>
      </c>
      <c r="O2339">
        <v>2339</v>
      </c>
      <c r="P2339" t="str">
        <f t="shared" si="36"/>
        <v xml:space="preserve">[^ftn2339]: </v>
      </c>
    </row>
    <row r="2340" spans="7:16" x14ac:dyDescent="0.25">
      <c r="G2340" t="s">
        <v>894</v>
      </c>
      <c r="H2340">
        <v>2340</v>
      </c>
      <c r="I2340">
        <v>2340</v>
      </c>
      <c r="N2340" t="s">
        <v>895</v>
      </c>
      <c r="O2340">
        <v>2340</v>
      </c>
      <c r="P2340" t="str">
        <f t="shared" si="36"/>
        <v xml:space="preserve">[^ftn2340]: </v>
      </c>
    </row>
    <row r="2341" spans="7:16" x14ac:dyDescent="0.25">
      <c r="G2341" t="s">
        <v>894</v>
      </c>
      <c r="H2341">
        <v>2341</v>
      </c>
      <c r="I2341">
        <v>2341</v>
      </c>
      <c r="N2341" t="s">
        <v>895</v>
      </c>
      <c r="O2341">
        <v>2341</v>
      </c>
      <c r="P2341" t="str">
        <f t="shared" si="36"/>
        <v xml:space="preserve">[^ftn2341]: </v>
      </c>
    </row>
    <row r="2342" spans="7:16" x14ac:dyDescent="0.25">
      <c r="G2342" t="s">
        <v>894</v>
      </c>
      <c r="H2342">
        <v>2342</v>
      </c>
      <c r="I2342">
        <v>2342</v>
      </c>
      <c r="N2342" t="s">
        <v>895</v>
      </c>
      <c r="O2342">
        <v>2342</v>
      </c>
      <c r="P2342" t="str">
        <f t="shared" si="36"/>
        <v xml:space="preserve">[^ftn2342]: </v>
      </c>
    </row>
    <row r="2343" spans="7:16" x14ac:dyDescent="0.25">
      <c r="G2343" t="s">
        <v>894</v>
      </c>
      <c r="H2343">
        <v>2343</v>
      </c>
      <c r="I2343">
        <v>2343</v>
      </c>
      <c r="N2343" t="s">
        <v>895</v>
      </c>
      <c r="O2343">
        <v>2343</v>
      </c>
      <c r="P2343" t="str">
        <f t="shared" si="36"/>
        <v xml:space="preserve">[^ftn2343]: </v>
      </c>
    </row>
    <row r="2344" spans="7:16" x14ac:dyDescent="0.25">
      <c r="G2344" t="s">
        <v>894</v>
      </c>
      <c r="H2344">
        <v>2344</v>
      </c>
      <c r="I2344">
        <v>2344</v>
      </c>
      <c r="N2344" t="s">
        <v>895</v>
      </c>
      <c r="O2344">
        <v>2344</v>
      </c>
      <c r="P2344" t="str">
        <f t="shared" si="36"/>
        <v xml:space="preserve">[^ftn2344]: </v>
      </c>
    </row>
    <row r="2345" spans="7:16" x14ac:dyDescent="0.25">
      <c r="G2345" t="s">
        <v>894</v>
      </c>
      <c r="H2345">
        <v>2345</v>
      </c>
      <c r="I2345">
        <v>2345</v>
      </c>
      <c r="N2345" t="s">
        <v>895</v>
      </c>
      <c r="O2345">
        <v>2345</v>
      </c>
      <c r="P2345" t="str">
        <f t="shared" si="36"/>
        <v xml:space="preserve">[^ftn2345]: </v>
      </c>
    </row>
    <row r="2346" spans="7:16" x14ac:dyDescent="0.25">
      <c r="G2346" t="s">
        <v>894</v>
      </c>
      <c r="H2346">
        <v>2346</v>
      </c>
      <c r="I2346">
        <v>2346</v>
      </c>
      <c r="N2346" t="s">
        <v>895</v>
      </c>
      <c r="O2346">
        <v>2346</v>
      </c>
      <c r="P2346" t="str">
        <f t="shared" si="36"/>
        <v xml:space="preserve">[^ftn2346]: </v>
      </c>
    </row>
    <row r="2347" spans="7:16" x14ac:dyDescent="0.25">
      <c r="G2347" t="s">
        <v>894</v>
      </c>
      <c r="H2347">
        <v>2347</v>
      </c>
      <c r="I2347">
        <v>2347</v>
      </c>
      <c r="N2347" t="s">
        <v>895</v>
      </c>
      <c r="O2347">
        <v>2347</v>
      </c>
      <c r="P2347" t="str">
        <f t="shared" si="36"/>
        <v xml:space="preserve">[^ftn2347]: </v>
      </c>
    </row>
    <row r="2348" spans="7:16" x14ac:dyDescent="0.25">
      <c r="G2348" t="s">
        <v>894</v>
      </c>
      <c r="H2348">
        <v>2348</v>
      </c>
      <c r="I2348">
        <v>2348</v>
      </c>
      <c r="N2348" t="s">
        <v>895</v>
      </c>
      <c r="O2348">
        <v>2348</v>
      </c>
      <c r="P2348" t="str">
        <f t="shared" si="36"/>
        <v xml:space="preserve">[^ftn2348]: </v>
      </c>
    </row>
    <row r="2349" spans="7:16" x14ac:dyDescent="0.25">
      <c r="G2349" t="s">
        <v>894</v>
      </c>
      <c r="H2349">
        <v>2349</v>
      </c>
      <c r="I2349">
        <v>2349</v>
      </c>
      <c r="N2349" t="s">
        <v>895</v>
      </c>
      <c r="O2349">
        <v>2349</v>
      </c>
      <c r="P2349" t="str">
        <f t="shared" si="36"/>
        <v xml:space="preserve">[^ftn2349]: </v>
      </c>
    </row>
    <row r="2350" spans="7:16" x14ac:dyDescent="0.25">
      <c r="G2350" t="s">
        <v>894</v>
      </c>
      <c r="H2350">
        <v>2350</v>
      </c>
      <c r="I2350">
        <v>2350</v>
      </c>
      <c r="N2350" t="s">
        <v>895</v>
      </c>
      <c r="O2350">
        <v>2350</v>
      </c>
      <c r="P2350" t="str">
        <f t="shared" si="36"/>
        <v xml:space="preserve">[^ftn2350]: </v>
      </c>
    </row>
    <row r="2351" spans="7:16" x14ac:dyDescent="0.25">
      <c r="G2351" t="s">
        <v>894</v>
      </c>
      <c r="H2351">
        <v>2351</v>
      </c>
      <c r="I2351">
        <v>2351</v>
      </c>
      <c r="N2351" t="s">
        <v>895</v>
      </c>
      <c r="O2351">
        <v>2351</v>
      </c>
      <c r="P2351" t="str">
        <f t="shared" si="36"/>
        <v xml:space="preserve">[^ftn2351]: </v>
      </c>
    </row>
    <row r="2352" spans="7:16" x14ac:dyDescent="0.25">
      <c r="G2352" t="s">
        <v>894</v>
      </c>
      <c r="H2352">
        <v>2352</v>
      </c>
      <c r="I2352">
        <v>2352</v>
      </c>
      <c r="N2352" t="s">
        <v>895</v>
      </c>
      <c r="O2352">
        <v>2352</v>
      </c>
      <c r="P2352" t="str">
        <f t="shared" si="36"/>
        <v xml:space="preserve">[^ftn2352]: </v>
      </c>
    </row>
    <row r="2353" spans="7:16" x14ac:dyDescent="0.25">
      <c r="G2353" t="s">
        <v>894</v>
      </c>
      <c r="H2353">
        <v>2353</v>
      </c>
      <c r="I2353">
        <v>2353</v>
      </c>
      <c r="N2353" t="s">
        <v>895</v>
      </c>
      <c r="O2353">
        <v>2353</v>
      </c>
      <c r="P2353" t="str">
        <f t="shared" si="36"/>
        <v xml:space="preserve">[^ftn2353]: </v>
      </c>
    </row>
    <row r="2354" spans="7:16" x14ac:dyDescent="0.25">
      <c r="G2354" t="s">
        <v>894</v>
      </c>
      <c r="H2354">
        <v>2354</v>
      </c>
      <c r="I2354">
        <v>2354</v>
      </c>
      <c r="N2354" t="s">
        <v>895</v>
      </c>
      <c r="O2354">
        <v>2354</v>
      </c>
      <c r="P2354" t="str">
        <f t="shared" si="36"/>
        <v xml:space="preserve">[^ftn2354]: </v>
      </c>
    </row>
    <row r="2355" spans="7:16" x14ac:dyDescent="0.25">
      <c r="G2355" t="s">
        <v>894</v>
      </c>
      <c r="H2355">
        <v>2355</v>
      </c>
      <c r="I2355">
        <v>2355</v>
      </c>
      <c r="N2355" t="s">
        <v>895</v>
      </c>
      <c r="O2355">
        <v>2355</v>
      </c>
      <c r="P2355" t="str">
        <f t="shared" si="36"/>
        <v xml:space="preserve">[^ftn2355]: </v>
      </c>
    </row>
    <row r="2356" spans="7:16" x14ac:dyDescent="0.25">
      <c r="G2356" t="s">
        <v>894</v>
      </c>
      <c r="H2356">
        <v>2356</v>
      </c>
      <c r="I2356">
        <v>2356</v>
      </c>
      <c r="N2356" t="s">
        <v>895</v>
      </c>
      <c r="O2356">
        <v>2356</v>
      </c>
      <c r="P2356" t="str">
        <f t="shared" si="36"/>
        <v xml:space="preserve">[^ftn2356]: </v>
      </c>
    </row>
    <row r="2357" spans="7:16" x14ac:dyDescent="0.25">
      <c r="G2357" t="s">
        <v>894</v>
      </c>
      <c r="H2357">
        <v>2357</v>
      </c>
      <c r="I2357">
        <v>2357</v>
      </c>
      <c r="N2357" t="s">
        <v>895</v>
      </c>
      <c r="O2357">
        <v>2357</v>
      </c>
      <c r="P2357" t="str">
        <f t="shared" si="36"/>
        <v xml:space="preserve">[^ftn2357]: </v>
      </c>
    </row>
    <row r="2358" spans="7:16" x14ac:dyDescent="0.25">
      <c r="G2358" t="s">
        <v>894</v>
      </c>
      <c r="H2358">
        <v>2358</v>
      </c>
      <c r="I2358">
        <v>2358</v>
      </c>
      <c r="N2358" t="s">
        <v>895</v>
      </c>
      <c r="O2358">
        <v>2358</v>
      </c>
      <c r="P2358" t="str">
        <f t="shared" si="36"/>
        <v xml:space="preserve">[^ftn2358]: </v>
      </c>
    </row>
    <row r="2359" spans="7:16" x14ac:dyDescent="0.25">
      <c r="G2359" t="s">
        <v>894</v>
      </c>
      <c r="H2359">
        <v>2359</v>
      </c>
      <c r="I2359">
        <v>2359</v>
      </c>
      <c r="N2359" t="s">
        <v>895</v>
      </c>
      <c r="O2359">
        <v>2359</v>
      </c>
      <c r="P2359" t="str">
        <f t="shared" si="36"/>
        <v xml:space="preserve">[^ftn2359]: </v>
      </c>
    </row>
    <row r="2360" spans="7:16" x14ac:dyDescent="0.25">
      <c r="G2360" t="s">
        <v>894</v>
      </c>
      <c r="H2360">
        <v>2360</v>
      </c>
      <c r="I2360">
        <v>2360</v>
      </c>
      <c r="N2360" t="s">
        <v>895</v>
      </c>
      <c r="O2360">
        <v>2360</v>
      </c>
      <c r="P2360" t="str">
        <f t="shared" si="36"/>
        <v xml:space="preserve">[^ftn2360]: </v>
      </c>
    </row>
    <row r="2361" spans="7:16" x14ac:dyDescent="0.25">
      <c r="G2361" t="s">
        <v>894</v>
      </c>
      <c r="H2361">
        <v>2361</v>
      </c>
      <c r="I2361">
        <v>2361</v>
      </c>
      <c r="N2361" t="s">
        <v>895</v>
      </c>
      <c r="O2361">
        <v>2361</v>
      </c>
      <c r="P2361" t="str">
        <f t="shared" si="36"/>
        <v xml:space="preserve">[^ftn2361]: </v>
      </c>
    </row>
    <row r="2362" spans="7:16" x14ac:dyDescent="0.25">
      <c r="G2362" t="s">
        <v>894</v>
      </c>
      <c r="H2362">
        <v>2362</v>
      </c>
      <c r="I2362">
        <v>2362</v>
      </c>
      <c r="N2362" t="s">
        <v>895</v>
      </c>
      <c r="O2362">
        <v>2362</v>
      </c>
      <c r="P2362" t="str">
        <f t="shared" si="36"/>
        <v xml:space="preserve">[^ftn2362]: </v>
      </c>
    </row>
    <row r="2363" spans="7:16" x14ac:dyDescent="0.25">
      <c r="G2363" t="s">
        <v>894</v>
      </c>
      <c r="H2363">
        <v>2363</v>
      </c>
      <c r="I2363">
        <v>2363</v>
      </c>
      <c r="N2363" t="s">
        <v>895</v>
      </c>
      <c r="O2363">
        <v>2363</v>
      </c>
      <c r="P2363" t="str">
        <f t="shared" si="36"/>
        <v xml:space="preserve">[^ftn2363]: </v>
      </c>
    </row>
    <row r="2364" spans="7:16" x14ac:dyDescent="0.25">
      <c r="G2364" t="s">
        <v>894</v>
      </c>
      <c r="H2364">
        <v>2364</v>
      </c>
      <c r="I2364">
        <v>2364</v>
      </c>
      <c r="N2364" t="s">
        <v>895</v>
      </c>
      <c r="O2364">
        <v>2364</v>
      </c>
      <c r="P2364" t="str">
        <f t="shared" si="36"/>
        <v xml:space="preserve">[^ftn2364]: </v>
      </c>
    </row>
    <row r="2365" spans="7:16" x14ac:dyDescent="0.25">
      <c r="G2365" t="s">
        <v>894</v>
      </c>
      <c r="H2365">
        <v>2365</v>
      </c>
      <c r="I2365">
        <v>2365</v>
      </c>
      <c r="N2365" t="s">
        <v>895</v>
      </c>
      <c r="O2365">
        <v>2365</v>
      </c>
      <c r="P2365" t="str">
        <f t="shared" si="36"/>
        <v xml:space="preserve">[^ftn2365]: </v>
      </c>
    </row>
    <row r="2366" spans="7:16" x14ac:dyDescent="0.25">
      <c r="G2366" t="s">
        <v>894</v>
      </c>
      <c r="H2366">
        <v>2366</v>
      </c>
      <c r="I2366">
        <v>2366</v>
      </c>
      <c r="N2366" t="s">
        <v>895</v>
      </c>
      <c r="O2366">
        <v>2366</v>
      </c>
      <c r="P2366" t="str">
        <f t="shared" si="36"/>
        <v xml:space="preserve">[^ftn2366]: </v>
      </c>
    </row>
    <row r="2367" spans="7:16" x14ac:dyDescent="0.25">
      <c r="G2367" t="s">
        <v>894</v>
      </c>
      <c r="H2367">
        <v>2367</v>
      </c>
      <c r="I2367">
        <v>2367</v>
      </c>
      <c r="N2367" t="s">
        <v>895</v>
      </c>
      <c r="O2367">
        <v>2367</v>
      </c>
      <c r="P2367" t="str">
        <f t="shared" si="36"/>
        <v xml:space="preserve">[^ftn2367]: </v>
      </c>
    </row>
    <row r="2368" spans="7:16" x14ac:dyDescent="0.25">
      <c r="G2368" t="s">
        <v>894</v>
      </c>
      <c r="H2368">
        <v>2368</v>
      </c>
      <c r="I2368">
        <v>2368</v>
      </c>
      <c r="N2368" t="s">
        <v>895</v>
      </c>
      <c r="O2368">
        <v>2368</v>
      </c>
      <c r="P2368" t="str">
        <f t="shared" si="36"/>
        <v xml:space="preserve">[^ftn2368]: </v>
      </c>
    </row>
    <row r="2369" spans="7:16" x14ac:dyDescent="0.25">
      <c r="G2369" t="s">
        <v>894</v>
      </c>
      <c r="H2369">
        <v>2369</v>
      </c>
      <c r="I2369">
        <v>2369</v>
      </c>
      <c r="N2369" t="s">
        <v>895</v>
      </c>
      <c r="O2369">
        <v>2369</v>
      </c>
      <c r="P2369" t="str">
        <f t="shared" si="36"/>
        <v xml:space="preserve">[^ftn2369]: </v>
      </c>
    </row>
    <row r="2370" spans="7:16" x14ac:dyDescent="0.25">
      <c r="G2370" t="s">
        <v>894</v>
      </c>
      <c r="H2370">
        <v>2370</v>
      </c>
      <c r="I2370">
        <v>2370</v>
      </c>
      <c r="N2370" t="s">
        <v>895</v>
      </c>
      <c r="O2370">
        <v>2370</v>
      </c>
      <c r="P2370" t="str">
        <f t="shared" ref="P2370:P2433" si="37">_xlfn.CONCAT("[^ftn",O2370,"]: ",)</f>
        <v xml:space="preserve">[^ftn2370]: </v>
      </c>
    </row>
    <row r="2371" spans="7:16" x14ac:dyDescent="0.25">
      <c r="G2371" t="s">
        <v>894</v>
      </c>
      <c r="H2371">
        <v>2371</v>
      </c>
      <c r="I2371">
        <v>2371</v>
      </c>
      <c r="N2371" t="s">
        <v>895</v>
      </c>
      <c r="O2371">
        <v>2371</v>
      </c>
      <c r="P2371" t="str">
        <f t="shared" si="37"/>
        <v xml:space="preserve">[^ftn2371]: </v>
      </c>
    </row>
    <row r="2372" spans="7:16" x14ac:dyDescent="0.25">
      <c r="G2372" t="s">
        <v>894</v>
      </c>
      <c r="H2372">
        <v>2372</v>
      </c>
      <c r="I2372">
        <v>2372</v>
      </c>
      <c r="N2372" t="s">
        <v>895</v>
      </c>
      <c r="O2372">
        <v>2372</v>
      </c>
      <c r="P2372" t="str">
        <f t="shared" si="37"/>
        <v xml:space="preserve">[^ftn2372]: </v>
      </c>
    </row>
    <row r="2373" spans="7:16" x14ac:dyDescent="0.25">
      <c r="G2373" t="s">
        <v>894</v>
      </c>
      <c r="H2373">
        <v>2373</v>
      </c>
      <c r="I2373">
        <v>2373</v>
      </c>
      <c r="N2373" t="s">
        <v>895</v>
      </c>
      <c r="O2373">
        <v>2373</v>
      </c>
      <c r="P2373" t="str">
        <f t="shared" si="37"/>
        <v xml:space="preserve">[^ftn2373]: </v>
      </c>
    </row>
    <row r="2374" spans="7:16" x14ac:dyDescent="0.25">
      <c r="G2374" t="s">
        <v>894</v>
      </c>
      <c r="H2374">
        <v>2374</v>
      </c>
      <c r="I2374">
        <v>2374</v>
      </c>
      <c r="N2374" t="s">
        <v>895</v>
      </c>
      <c r="O2374">
        <v>2374</v>
      </c>
      <c r="P2374" t="str">
        <f t="shared" si="37"/>
        <v xml:space="preserve">[^ftn2374]: </v>
      </c>
    </row>
    <row r="2375" spans="7:16" x14ac:dyDescent="0.25">
      <c r="G2375" t="s">
        <v>894</v>
      </c>
      <c r="H2375">
        <v>2375</v>
      </c>
      <c r="I2375">
        <v>2375</v>
      </c>
      <c r="N2375" t="s">
        <v>895</v>
      </c>
      <c r="O2375">
        <v>2375</v>
      </c>
      <c r="P2375" t="str">
        <f t="shared" si="37"/>
        <v xml:space="preserve">[^ftn2375]: </v>
      </c>
    </row>
    <row r="2376" spans="7:16" x14ac:dyDescent="0.25">
      <c r="G2376" t="s">
        <v>894</v>
      </c>
      <c r="H2376">
        <v>2376</v>
      </c>
      <c r="I2376">
        <v>2376</v>
      </c>
      <c r="N2376" t="s">
        <v>895</v>
      </c>
      <c r="O2376">
        <v>2376</v>
      </c>
      <c r="P2376" t="str">
        <f t="shared" si="37"/>
        <v xml:space="preserve">[^ftn2376]: </v>
      </c>
    </row>
    <row r="2377" spans="7:16" x14ac:dyDescent="0.25">
      <c r="G2377" t="s">
        <v>894</v>
      </c>
      <c r="H2377">
        <v>2377</v>
      </c>
      <c r="I2377">
        <v>2377</v>
      </c>
      <c r="N2377" t="s">
        <v>895</v>
      </c>
      <c r="O2377">
        <v>2377</v>
      </c>
      <c r="P2377" t="str">
        <f t="shared" si="37"/>
        <v xml:space="preserve">[^ftn2377]: </v>
      </c>
    </row>
    <row r="2378" spans="7:16" x14ac:dyDescent="0.25">
      <c r="G2378" t="s">
        <v>894</v>
      </c>
      <c r="H2378">
        <v>2378</v>
      </c>
      <c r="I2378">
        <v>2378</v>
      </c>
      <c r="N2378" t="s">
        <v>895</v>
      </c>
      <c r="O2378">
        <v>2378</v>
      </c>
      <c r="P2378" t="str">
        <f t="shared" si="37"/>
        <v xml:space="preserve">[^ftn2378]: </v>
      </c>
    </row>
    <row r="2379" spans="7:16" x14ac:dyDescent="0.25">
      <c r="G2379" t="s">
        <v>894</v>
      </c>
      <c r="H2379">
        <v>2379</v>
      </c>
      <c r="I2379">
        <v>2379</v>
      </c>
      <c r="N2379" t="s">
        <v>895</v>
      </c>
      <c r="O2379">
        <v>2379</v>
      </c>
      <c r="P2379" t="str">
        <f t="shared" si="37"/>
        <v xml:space="preserve">[^ftn2379]: </v>
      </c>
    </row>
    <row r="2380" spans="7:16" x14ac:dyDescent="0.25">
      <c r="G2380" t="s">
        <v>894</v>
      </c>
      <c r="H2380">
        <v>2380</v>
      </c>
      <c r="I2380">
        <v>2380</v>
      </c>
      <c r="N2380" t="s">
        <v>895</v>
      </c>
      <c r="O2380">
        <v>2380</v>
      </c>
      <c r="P2380" t="str">
        <f t="shared" si="37"/>
        <v xml:space="preserve">[^ftn2380]: </v>
      </c>
    </row>
    <row r="2381" spans="7:16" x14ac:dyDescent="0.25">
      <c r="G2381" t="s">
        <v>894</v>
      </c>
      <c r="H2381">
        <v>2381</v>
      </c>
      <c r="I2381">
        <v>2381</v>
      </c>
      <c r="N2381" t="s">
        <v>895</v>
      </c>
      <c r="O2381">
        <v>2381</v>
      </c>
      <c r="P2381" t="str">
        <f t="shared" si="37"/>
        <v xml:space="preserve">[^ftn2381]: </v>
      </c>
    </row>
    <row r="2382" spans="7:16" x14ac:dyDescent="0.25">
      <c r="G2382" t="s">
        <v>894</v>
      </c>
      <c r="H2382">
        <v>2382</v>
      </c>
      <c r="I2382">
        <v>2382</v>
      </c>
      <c r="N2382" t="s">
        <v>895</v>
      </c>
      <c r="O2382">
        <v>2382</v>
      </c>
      <c r="P2382" t="str">
        <f t="shared" si="37"/>
        <v xml:space="preserve">[^ftn2382]: </v>
      </c>
    </row>
    <row r="2383" spans="7:16" x14ac:dyDescent="0.25">
      <c r="G2383" t="s">
        <v>894</v>
      </c>
      <c r="H2383">
        <v>2383</v>
      </c>
      <c r="I2383">
        <v>2383</v>
      </c>
      <c r="N2383" t="s">
        <v>895</v>
      </c>
      <c r="O2383">
        <v>2383</v>
      </c>
      <c r="P2383" t="str">
        <f t="shared" si="37"/>
        <v xml:space="preserve">[^ftn2383]: </v>
      </c>
    </row>
    <row r="2384" spans="7:16" x14ac:dyDescent="0.25">
      <c r="G2384" t="s">
        <v>894</v>
      </c>
      <c r="H2384">
        <v>2384</v>
      </c>
      <c r="I2384">
        <v>2384</v>
      </c>
      <c r="N2384" t="s">
        <v>895</v>
      </c>
      <c r="O2384">
        <v>2384</v>
      </c>
      <c r="P2384" t="str">
        <f t="shared" si="37"/>
        <v xml:space="preserve">[^ftn2384]: </v>
      </c>
    </row>
    <row r="2385" spans="7:16" x14ac:dyDescent="0.25">
      <c r="G2385" t="s">
        <v>894</v>
      </c>
      <c r="H2385">
        <v>2385</v>
      </c>
      <c r="I2385">
        <v>2385</v>
      </c>
      <c r="N2385" t="s">
        <v>895</v>
      </c>
      <c r="O2385">
        <v>2385</v>
      </c>
      <c r="P2385" t="str">
        <f t="shared" si="37"/>
        <v xml:space="preserve">[^ftn2385]: </v>
      </c>
    </row>
    <row r="2386" spans="7:16" x14ac:dyDescent="0.25">
      <c r="G2386" t="s">
        <v>894</v>
      </c>
      <c r="H2386">
        <v>2386</v>
      </c>
      <c r="I2386">
        <v>2386</v>
      </c>
      <c r="N2386" t="s">
        <v>895</v>
      </c>
      <c r="O2386">
        <v>2386</v>
      </c>
      <c r="P2386" t="str">
        <f t="shared" si="37"/>
        <v xml:space="preserve">[^ftn2386]: </v>
      </c>
    </row>
    <row r="2387" spans="7:16" x14ac:dyDescent="0.25">
      <c r="G2387" t="s">
        <v>894</v>
      </c>
      <c r="H2387">
        <v>2387</v>
      </c>
      <c r="I2387">
        <v>2387</v>
      </c>
      <c r="N2387" t="s">
        <v>895</v>
      </c>
      <c r="O2387">
        <v>2387</v>
      </c>
      <c r="P2387" t="str">
        <f t="shared" si="37"/>
        <v xml:space="preserve">[^ftn2387]: </v>
      </c>
    </row>
    <row r="2388" spans="7:16" x14ac:dyDescent="0.25">
      <c r="G2388" t="s">
        <v>894</v>
      </c>
      <c r="H2388">
        <v>2388</v>
      </c>
      <c r="I2388">
        <v>2388</v>
      </c>
      <c r="N2388" t="s">
        <v>895</v>
      </c>
      <c r="O2388">
        <v>2388</v>
      </c>
      <c r="P2388" t="str">
        <f t="shared" si="37"/>
        <v xml:space="preserve">[^ftn2388]: </v>
      </c>
    </row>
    <row r="2389" spans="7:16" x14ac:dyDescent="0.25">
      <c r="G2389" t="s">
        <v>894</v>
      </c>
      <c r="H2389">
        <v>2389</v>
      </c>
      <c r="I2389">
        <v>2389</v>
      </c>
      <c r="N2389" t="s">
        <v>895</v>
      </c>
      <c r="O2389">
        <v>2389</v>
      </c>
      <c r="P2389" t="str">
        <f t="shared" si="37"/>
        <v xml:space="preserve">[^ftn2389]: </v>
      </c>
    </row>
    <row r="2390" spans="7:16" x14ac:dyDescent="0.25">
      <c r="G2390" t="s">
        <v>894</v>
      </c>
      <c r="H2390">
        <v>2390</v>
      </c>
      <c r="I2390">
        <v>2390</v>
      </c>
      <c r="N2390" t="s">
        <v>895</v>
      </c>
      <c r="O2390">
        <v>2390</v>
      </c>
      <c r="P2390" t="str">
        <f t="shared" si="37"/>
        <v xml:space="preserve">[^ftn2390]: </v>
      </c>
    </row>
    <row r="2391" spans="7:16" x14ac:dyDescent="0.25">
      <c r="G2391" t="s">
        <v>894</v>
      </c>
      <c r="H2391">
        <v>2391</v>
      </c>
      <c r="I2391">
        <v>2391</v>
      </c>
      <c r="N2391" t="s">
        <v>895</v>
      </c>
      <c r="O2391">
        <v>2391</v>
      </c>
      <c r="P2391" t="str">
        <f t="shared" si="37"/>
        <v xml:space="preserve">[^ftn2391]: </v>
      </c>
    </row>
    <row r="2392" spans="7:16" x14ac:dyDescent="0.25">
      <c r="G2392" t="s">
        <v>894</v>
      </c>
      <c r="H2392">
        <v>2392</v>
      </c>
      <c r="I2392">
        <v>2392</v>
      </c>
      <c r="N2392" t="s">
        <v>895</v>
      </c>
      <c r="O2392">
        <v>2392</v>
      </c>
      <c r="P2392" t="str">
        <f t="shared" si="37"/>
        <v xml:space="preserve">[^ftn2392]: </v>
      </c>
    </row>
    <row r="2393" spans="7:16" x14ac:dyDescent="0.25">
      <c r="G2393" t="s">
        <v>894</v>
      </c>
      <c r="H2393">
        <v>2393</v>
      </c>
      <c r="I2393">
        <v>2393</v>
      </c>
      <c r="N2393" t="s">
        <v>895</v>
      </c>
      <c r="O2393">
        <v>2393</v>
      </c>
      <c r="P2393" t="str">
        <f t="shared" si="37"/>
        <v xml:space="preserve">[^ftn2393]: </v>
      </c>
    </row>
    <row r="2394" spans="7:16" x14ac:dyDescent="0.25">
      <c r="G2394" t="s">
        <v>894</v>
      </c>
      <c r="H2394">
        <v>2394</v>
      </c>
      <c r="I2394">
        <v>2394</v>
      </c>
      <c r="N2394" t="s">
        <v>895</v>
      </c>
      <c r="O2394">
        <v>2394</v>
      </c>
      <c r="P2394" t="str">
        <f t="shared" si="37"/>
        <v xml:space="preserve">[^ftn2394]: </v>
      </c>
    </row>
    <row r="2395" spans="7:16" x14ac:dyDescent="0.25">
      <c r="G2395" t="s">
        <v>894</v>
      </c>
      <c r="H2395">
        <v>2395</v>
      </c>
      <c r="I2395">
        <v>2395</v>
      </c>
      <c r="N2395" t="s">
        <v>895</v>
      </c>
      <c r="O2395">
        <v>2395</v>
      </c>
      <c r="P2395" t="str">
        <f t="shared" si="37"/>
        <v xml:space="preserve">[^ftn2395]: </v>
      </c>
    </row>
    <row r="2396" spans="7:16" x14ac:dyDescent="0.25">
      <c r="G2396" t="s">
        <v>894</v>
      </c>
      <c r="H2396">
        <v>2396</v>
      </c>
      <c r="I2396">
        <v>2396</v>
      </c>
      <c r="N2396" t="s">
        <v>895</v>
      </c>
      <c r="O2396">
        <v>2396</v>
      </c>
      <c r="P2396" t="str">
        <f t="shared" si="37"/>
        <v xml:space="preserve">[^ftn2396]: </v>
      </c>
    </row>
    <row r="2397" spans="7:16" x14ac:dyDescent="0.25">
      <c r="G2397" t="s">
        <v>894</v>
      </c>
      <c r="H2397">
        <v>2397</v>
      </c>
      <c r="I2397">
        <v>2397</v>
      </c>
      <c r="N2397" t="s">
        <v>895</v>
      </c>
      <c r="O2397">
        <v>2397</v>
      </c>
      <c r="P2397" t="str">
        <f t="shared" si="37"/>
        <v xml:space="preserve">[^ftn2397]: </v>
      </c>
    </row>
    <row r="2398" spans="7:16" x14ac:dyDescent="0.25">
      <c r="G2398" t="s">
        <v>894</v>
      </c>
      <c r="H2398">
        <v>2398</v>
      </c>
      <c r="I2398">
        <v>2398</v>
      </c>
      <c r="N2398" t="s">
        <v>895</v>
      </c>
      <c r="O2398">
        <v>2398</v>
      </c>
      <c r="P2398" t="str">
        <f t="shared" si="37"/>
        <v xml:space="preserve">[^ftn2398]: </v>
      </c>
    </row>
    <row r="2399" spans="7:16" x14ac:dyDescent="0.25">
      <c r="G2399" t="s">
        <v>894</v>
      </c>
      <c r="H2399">
        <v>2399</v>
      </c>
      <c r="I2399">
        <v>2399</v>
      </c>
      <c r="N2399" t="s">
        <v>895</v>
      </c>
      <c r="O2399">
        <v>2399</v>
      </c>
      <c r="P2399" t="str">
        <f t="shared" si="37"/>
        <v xml:space="preserve">[^ftn2399]: </v>
      </c>
    </row>
    <row r="2400" spans="7:16" x14ac:dyDescent="0.25">
      <c r="G2400" t="s">
        <v>894</v>
      </c>
      <c r="H2400">
        <v>2400</v>
      </c>
      <c r="I2400">
        <v>2400</v>
      </c>
      <c r="K2400" t="str">
        <f>_xlfn.CONCAT("###### ",I2400,)</f>
        <v>###### 2400</v>
      </c>
      <c r="N2400" t="s">
        <v>895</v>
      </c>
      <c r="O2400">
        <v>2400</v>
      </c>
      <c r="P2400" t="str">
        <f t="shared" si="37"/>
        <v xml:space="preserve">[^ftn2400]: </v>
      </c>
    </row>
    <row r="2401" spans="7:16" x14ac:dyDescent="0.25">
      <c r="G2401" s="4" t="s">
        <v>894</v>
      </c>
      <c r="H2401" s="4">
        <v>2401</v>
      </c>
      <c r="I2401">
        <v>2401</v>
      </c>
      <c r="J2401" t="str">
        <f>_xlfn.CONCAT("[",I2401,".]",)</f>
        <v>[2401.]</v>
      </c>
      <c r="K2401" t="str">
        <f>_xlfn.CONCAT("###### ",I2401,)</f>
        <v>###### 2401</v>
      </c>
      <c r="N2401" t="s">
        <v>895</v>
      </c>
      <c r="O2401">
        <v>2401</v>
      </c>
      <c r="P2401" t="str">
        <f t="shared" si="37"/>
        <v xml:space="preserve">[^ftn2401]: </v>
      </c>
    </row>
    <row r="2402" spans="7:16" x14ac:dyDescent="0.25">
      <c r="G2402" s="4" t="s">
        <v>894</v>
      </c>
      <c r="H2402" s="4">
        <v>2402</v>
      </c>
      <c r="I2402">
        <v>2402</v>
      </c>
      <c r="K2402" t="str">
        <f>_xlfn.CONCAT("###### ",I2402,)</f>
        <v>###### 2402</v>
      </c>
      <c r="N2402" t="s">
        <v>895</v>
      </c>
      <c r="O2402">
        <v>2402</v>
      </c>
      <c r="P2402" t="str">
        <f t="shared" si="37"/>
        <v xml:space="preserve">[^ftn2402]: </v>
      </c>
    </row>
    <row r="2403" spans="7:16" x14ac:dyDescent="0.25">
      <c r="G2403" t="s">
        <v>894</v>
      </c>
      <c r="H2403">
        <v>2403</v>
      </c>
      <c r="I2403">
        <v>2403</v>
      </c>
      <c r="N2403" t="s">
        <v>895</v>
      </c>
      <c r="O2403">
        <v>2403</v>
      </c>
      <c r="P2403" t="str">
        <f t="shared" si="37"/>
        <v xml:space="preserve">[^ftn2403]: </v>
      </c>
    </row>
    <row r="2404" spans="7:16" x14ac:dyDescent="0.25">
      <c r="G2404" t="s">
        <v>894</v>
      </c>
      <c r="H2404">
        <v>2404</v>
      </c>
      <c r="I2404">
        <v>2404</v>
      </c>
      <c r="N2404" t="s">
        <v>895</v>
      </c>
      <c r="O2404">
        <v>2404</v>
      </c>
      <c r="P2404" t="str">
        <f t="shared" si="37"/>
        <v xml:space="preserve">[^ftn2404]: </v>
      </c>
    </row>
    <row r="2405" spans="7:16" x14ac:dyDescent="0.25">
      <c r="G2405" t="s">
        <v>894</v>
      </c>
      <c r="H2405">
        <v>2405</v>
      </c>
      <c r="I2405">
        <v>2405</v>
      </c>
      <c r="N2405" t="s">
        <v>895</v>
      </c>
      <c r="O2405">
        <v>2405</v>
      </c>
      <c r="P2405" t="str">
        <f t="shared" si="37"/>
        <v xml:space="preserve">[^ftn2405]: </v>
      </c>
    </row>
    <row r="2406" spans="7:16" x14ac:dyDescent="0.25">
      <c r="G2406" t="s">
        <v>894</v>
      </c>
      <c r="H2406">
        <v>2406</v>
      </c>
      <c r="I2406">
        <v>2406</v>
      </c>
      <c r="N2406" t="s">
        <v>895</v>
      </c>
      <c r="O2406">
        <v>2406</v>
      </c>
      <c r="P2406" t="str">
        <f t="shared" si="37"/>
        <v xml:space="preserve">[^ftn2406]: </v>
      </c>
    </row>
    <row r="2407" spans="7:16" x14ac:dyDescent="0.25">
      <c r="G2407" t="s">
        <v>894</v>
      </c>
      <c r="H2407">
        <v>2407</v>
      </c>
      <c r="I2407">
        <v>2407</v>
      </c>
      <c r="N2407" t="s">
        <v>895</v>
      </c>
      <c r="O2407">
        <v>2407</v>
      </c>
      <c r="P2407" t="str">
        <f t="shared" si="37"/>
        <v xml:space="preserve">[^ftn2407]: </v>
      </c>
    </row>
    <row r="2408" spans="7:16" x14ac:dyDescent="0.25">
      <c r="G2408" t="s">
        <v>894</v>
      </c>
      <c r="H2408">
        <v>2408</v>
      </c>
      <c r="I2408">
        <v>2408</v>
      </c>
      <c r="N2408" t="s">
        <v>895</v>
      </c>
      <c r="O2408">
        <v>2408</v>
      </c>
      <c r="P2408" t="str">
        <f t="shared" si="37"/>
        <v xml:space="preserve">[^ftn2408]: </v>
      </c>
    </row>
    <row r="2409" spans="7:16" x14ac:dyDescent="0.25">
      <c r="G2409" t="s">
        <v>894</v>
      </c>
      <c r="H2409">
        <v>2409</v>
      </c>
      <c r="I2409">
        <v>2409</v>
      </c>
      <c r="N2409" t="s">
        <v>895</v>
      </c>
      <c r="O2409">
        <v>2409</v>
      </c>
      <c r="P2409" t="str">
        <f t="shared" si="37"/>
        <v xml:space="preserve">[^ftn2409]: </v>
      </c>
    </row>
    <row r="2410" spans="7:16" x14ac:dyDescent="0.25">
      <c r="G2410" t="s">
        <v>894</v>
      </c>
      <c r="H2410">
        <v>2410</v>
      </c>
      <c r="I2410">
        <v>2410</v>
      </c>
      <c r="N2410" t="s">
        <v>895</v>
      </c>
      <c r="O2410">
        <v>2410</v>
      </c>
      <c r="P2410" t="str">
        <f t="shared" si="37"/>
        <v xml:space="preserve">[^ftn2410]: </v>
      </c>
    </row>
    <row r="2411" spans="7:16" x14ac:dyDescent="0.25">
      <c r="G2411" t="s">
        <v>894</v>
      </c>
      <c r="H2411">
        <v>2411</v>
      </c>
      <c r="I2411">
        <v>2411</v>
      </c>
      <c r="N2411" t="s">
        <v>895</v>
      </c>
      <c r="O2411">
        <v>2411</v>
      </c>
      <c r="P2411" t="str">
        <f t="shared" si="37"/>
        <v xml:space="preserve">[^ftn2411]: </v>
      </c>
    </row>
    <row r="2412" spans="7:16" x14ac:dyDescent="0.25">
      <c r="G2412" t="s">
        <v>894</v>
      </c>
      <c r="H2412">
        <v>2412</v>
      </c>
      <c r="I2412">
        <v>2412</v>
      </c>
      <c r="N2412" t="s">
        <v>895</v>
      </c>
      <c r="O2412">
        <v>2412</v>
      </c>
      <c r="P2412" t="str">
        <f t="shared" si="37"/>
        <v xml:space="preserve">[^ftn2412]: </v>
      </c>
    </row>
    <row r="2413" spans="7:16" x14ac:dyDescent="0.25">
      <c r="G2413" t="s">
        <v>894</v>
      </c>
      <c r="H2413">
        <v>2413</v>
      </c>
      <c r="I2413">
        <v>2413</v>
      </c>
      <c r="N2413" t="s">
        <v>895</v>
      </c>
      <c r="O2413">
        <v>2413</v>
      </c>
      <c r="P2413" t="str">
        <f t="shared" si="37"/>
        <v xml:space="preserve">[^ftn2413]: </v>
      </c>
    </row>
    <row r="2414" spans="7:16" x14ac:dyDescent="0.25">
      <c r="G2414" t="s">
        <v>894</v>
      </c>
      <c r="H2414">
        <v>2414</v>
      </c>
      <c r="I2414">
        <v>2414</v>
      </c>
      <c r="N2414" t="s">
        <v>895</v>
      </c>
      <c r="O2414">
        <v>2414</v>
      </c>
      <c r="P2414" t="str">
        <f t="shared" si="37"/>
        <v xml:space="preserve">[^ftn2414]: </v>
      </c>
    </row>
    <row r="2415" spans="7:16" x14ac:dyDescent="0.25">
      <c r="G2415" t="s">
        <v>894</v>
      </c>
      <c r="H2415">
        <v>2415</v>
      </c>
      <c r="I2415">
        <v>2415</v>
      </c>
      <c r="N2415" t="s">
        <v>895</v>
      </c>
      <c r="O2415">
        <v>2415</v>
      </c>
      <c r="P2415" t="str">
        <f t="shared" si="37"/>
        <v xml:space="preserve">[^ftn2415]: </v>
      </c>
    </row>
    <row r="2416" spans="7:16" x14ac:dyDescent="0.25">
      <c r="G2416" t="s">
        <v>894</v>
      </c>
      <c r="H2416">
        <v>2416</v>
      </c>
      <c r="I2416">
        <v>2416</v>
      </c>
      <c r="N2416" t="s">
        <v>895</v>
      </c>
      <c r="O2416">
        <v>2416</v>
      </c>
      <c r="P2416" t="str">
        <f t="shared" si="37"/>
        <v xml:space="preserve">[^ftn2416]: </v>
      </c>
    </row>
    <row r="2417" spans="7:16" x14ac:dyDescent="0.25">
      <c r="G2417" t="s">
        <v>894</v>
      </c>
      <c r="H2417">
        <v>2417</v>
      </c>
      <c r="I2417">
        <v>2417</v>
      </c>
      <c r="N2417" t="s">
        <v>895</v>
      </c>
      <c r="O2417">
        <v>2417</v>
      </c>
      <c r="P2417" t="str">
        <f t="shared" si="37"/>
        <v xml:space="preserve">[^ftn2417]: </v>
      </c>
    </row>
    <row r="2418" spans="7:16" x14ac:dyDescent="0.25">
      <c r="G2418" t="s">
        <v>894</v>
      </c>
      <c r="H2418">
        <v>2418</v>
      </c>
      <c r="I2418">
        <v>2418</v>
      </c>
      <c r="N2418" t="s">
        <v>895</v>
      </c>
      <c r="O2418">
        <v>2418</v>
      </c>
      <c r="P2418" t="str">
        <f t="shared" si="37"/>
        <v xml:space="preserve">[^ftn2418]: </v>
      </c>
    </row>
    <row r="2419" spans="7:16" x14ac:dyDescent="0.25">
      <c r="G2419" t="s">
        <v>894</v>
      </c>
      <c r="H2419">
        <v>2419</v>
      </c>
      <c r="I2419">
        <v>2419</v>
      </c>
      <c r="N2419" t="s">
        <v>895</v>
      </c>
      <c r="O2419">
        <v>2419</v>
      </c>
      <c r="P2419" t="str">
        <f t="shared" si="37"/>
        <v xml:space="preserve">[^ftn2419]: </v>
      </c>
    </row>
    <row r="2420" spans="7:16" x14ac:dyDescent="0.25">
      <c r="G2420" t="s">
        <v>894</v>
      </c>
      <c r="H2420">
        <v>2420</v>
      </c>
      <c r="I2420">
        <v>2420</v>
      </c>
      <c r="N2420" t="s">
        <v>895</v>
      </c>
      <c r="O2420">
        <v>2420</v>
      </c>
      <c r="P2420" t="str">
        <f t="shared" si="37"/>
        <v xml:space="preserve">[^ftn2420]: </v>
      </c>
    </row>
    <row r="2421" spans="7:16" x14ac:dyDescent="0.25">
      <c r="G2421" t="s">
        <v>894</v>
      </c>
      <c r="H2421">
        <v>2421</v>
      </c>
      <c r="I2421">
        <v>2421</v>
      </c>
      <c r="N2421" t="s">
        <v>895</v>
      </c>
      <c r="O2421">
        <v>2421</v>
      </c>
      <c r="P2421" t="str">
        <f t="shared" si="37"/>
        <v xml:space="preserve">[^ftn2421]: </v>
      </c>
    </row>
    <row r="2422" spans="7:16" x14ac:dyDescent="0.25">
      <c r="G2422" t="s">
        <v>894</v>
      </c>
      <c r="H2422">
        <v>2422</v>
      </c>
      <c r="I2422">
        <v>2422</v>
      </c>
      <c r="N2422" t="s">
        <v>895</v>
      </c>
      <c r="O2422">
        <v>2422</v>
      </c>
      <c r="P2422" t="str">
        <f t="shared" si="37"/>
        <v xml:space="preserve">[^ftn2422]: </v>
      </c>
    </row>
    <row r="2423" spans="7:16" x14ac:dyDescent="0.25">
      <c r="G2423" t="s">
        <v>894</v>
      </c>
      <c r="H2423">
        <v>2423</v>
      </c>
      <c r="I2423">
        <v>2423</v>
      </c>
      <c r="N2423" t="s">
        <v>895</v>
      </c>
      <c r="O2423">
        <v>2423</v>
      </c>
      <c r="P2423" t="str">
        <f t="shared" si="37"/>
        <v xml:space="preserve">[^ftn2423]: </v>
      </c>
    </row>
    <row r="2424" spans="7:16" x14ac:dyDescent="0.25">
      <c r="G2424" t="s">
        <v>894</v>
      </c>
      <c r="H2424">
        <v>2424</v>
      </c>
      <c r="I2424">
        <v>2424</v>
      </c>
      <c r="N2424" t="s">
        <v>895</v>
      </c>
      <c r="O2424">
        <v>2424</v>
      </c>
      <c r="P2424" t="str">
        <f t="shared" si="37"/>
        <v xml:space="preserve">[^ftn2424]: </v>
      </c>
    </row>
    <row r="2425" spans="7:16" x14ac:dyDescent="0.25">
      <c r="G2425" t="s">
        <v>894</v>
      </c>
      <c r="H2425">
        <v>2425</v>
      </c>
      <c r="I2425">
        <v>2425</v>
      </c>
      <c r="N2425" t="s">
        <v>895</v>
      </c>
      <c r="O2425">
        <v>2425</v>
      </c>
      <c r="P2425" t="str">
        <f t="shared" si="37"/>
        <v xml:space="preserve">[^ftn2425]: </v>
      </c>
    </row>
    <row r="2426" spans="7:16" x14ac:dyDescent="0.25">
      <c r="G2426" t="s">
        <v>894</v>
      </c>
      <c r="H2426">
        <v>2426</v>
      </c>
      <c r="I2426">
        <v>2426</v>
      </c>
      <c r="N2426" t="s">
        <v>895</v>
      </c>
      <c r="O2426">
        <v>2426</v>
      </c>
      <c r="P2426" t="str">
        <f t="shared" si="37"/>
        <v xml:space="preserve">[^ftn2426]: </v>
      </c>
    </row>
    <row r="2427" spans="7:16" x14ac:dyDescent="0.25">
      <c r="G2427" t="s">
        <v>894</v>
      </c>
      <c r="H2427">
        <v>2427</v>
      </c>
      <c r="I2427">
        <v>2427</v>
      </c>
      <c r="N2427" t="s">
        <v>895</v>
      </c>
      <c r="O2427">
        <v>2427</v>
      </c>
      <c r="P2427" t="str">
        <f t="shared" si="37"/>
        <v xml:space="preserve">[^ftn2427]: </v>
      </c>
    </row>
    <row r="2428" spans="7:16" x14ac:dyDescent="0.25">
      <c r="G2428" t="s">
        <v>894</v>
      </c>
      <c r="H2428">
        <v>2428</v>
      </c>
      <c r="I2428">
        <v>2428</v>
      </c>
      <c r="N2428" t="s">
        <v>895</v>
      </c>
      <c r="O2428">
        <v>2428</v>
      </c>
      <c r="P2428" t="str">
        <f t="shared" si="37"/>
        <v xml:space="preserve">[^ftn2428]: </v>
      </c>
    </row>
    <row r="2429" spans="7:16" x14ac:dyDescent="0.25">
      <c r="G2429" t="s">
        <v>894</v>
      </c>
      <c r="H2429">
        <v>2429</v>
      </c>
      <c r="I2429">
        <v>2429</v>
      </c>
      <c r="N2429" t="s">
        <v>895</v>
      </c>
      <c r="O2429">
        <v>2429</v>
      </c>
      <c r="P2429" t="str">
        <f t="shared" si="37"/>
        <v xml:space="preserve">[^ftn2429]: </v>
      </c>
    </row>
    <row r="2430" spans="7:16" x14ac:dyDescent="0.25">
      <c r="G2430" t="s">
        <v>894</v>
      </c>
      <c r="H2430">
        <v>2430</v>
      </c>
      <c r="I2430">
        <v>2430</v>
      </c>
      <c r="N2430" t="s">
        <v>895</v>
      </c>
      <c r="O2430">
        <v>2430</v>
      </c>
      <c r="P2430" t="str">
        <f t="shared" si="37"/>
        <v xml:space="preserve">[^ftn2430]: </v>
      </c>
    </row>
    <row r="2431" spans="7:16" x14ac:dyDescent="0.25">
      <c r="G2431" t="s">
        <v>894</v>
      </c>
      <c r="H2431">
        <v>2431</v>
      </c>
      <c r="I2431">
        <v>2431</v>
      </c>
      <c r="N2431" t="s">
        <v>895</v>
      </c>
      <c r="O2431">
        <v>2431</v>
      </c>
      <c r="P2431" t="str">
        <f t="shared" si="37"/>
        <v xml:space="preserve">[^ftn2431]: </v>
      </c>
    </row>
    <row r="2432" spans="7:16" x14ac:dyDescent="0.25">
      <c r="G2432" t="s">
        <v>894</v>
      </c>
      <c r="H2432">
        <v>2432</v>
      </c>
      <c r="I2432">
        <v>2432</v>
      </c>
      <c r="N2432" t="s">
        <v>895</v>
      </c>
      <c r="O2432">
        <v>2432</v>
      </c>
      <c r="P2432" t="str">
        <f t="shared" si="37"/>
        <v xml:space="preserve">[^ftn2432]: </v>
      </c>
    </row>
    <row r="2433" spans="7:16" x14ac:dyDescent="0.25">
      <c r="G2433" t="s">
        <v>894</v>
      </c>
      <c r="H2433">
        <v>2433</v>
      </c>
      <c r="I2433">
        <v>2433</v>
      </c>
      <c r="N2433" t="s">
        <v>895</v>
      </c>
      <c r="O2433">
        <v>2433</v>
      </c>
      <c r="P2433" t="str">
        <f t="shared" si="37"/>
        <v xml:space="preserve">[^ftn2433]: </v>
      </c>
    </row>
    <row r="2434" spans="7:16" x14ac:dyDescent="0.25">
      <c r="G2434" t="s">
        <v>894</v>
      </c>
      <c r="H2434">
        <v>2434</v>
      </c>
      <c r="I2434">
        <v>2434</v>
      </c>
      <c r="N2434" t="s">
        <v>895</v>
      </c>
      <c r="O2434">
        <v>2434</v>
      </c>
      <c r="P2434" t="str">
        <f t="shared" ref="P2434:P2497" si="38">_xlfn.CONCAT("[^ftn",O2434,"]: ",)</f>
        <v xml:space="preserve">[^ftn2434]: </v>
      </c>
    </row>
    <row r="2435" spans="7:16" x14ac:dyDescent="0.25">
      <c r="G2435" t="s">
        <v>894</v>
      </c>
      <c r="H2435">
        <v>2435</v>
      </c>
      <c r="I2435">
        <v>2435</v>
      </c>
      <c r="N2435" t="s">
        <v>895</v>
      </c>
      <c r="O2435">
        <v>2435</v>
      </c>
      <c r="P2435" t="str">
        <f t="shared" si="38"/>
        <v xml:space="preserve">[^ftn2435]: </v>
      </c>
    </row>
    <row r="2436" spans="7:16" x14ac:dyDescent="0.25">
      <c r="G2436" t="s">
        <v>894</v>
      </c>
      <c r="H2436">
        <v>2436</v>
      </c>
      <c r="I2436">
        <v>2436</v>
      </c>
      <c r="N2436" t="s">
        <v>895</v>
      </c>
      <c r="O2436">
        <v>2436</v>
      </c>
      <c r="P2436" t="str">
        <f t="shared" si="38"/>
        <v xml:space="preserve">[^ftn2436]: </v>
      </c>
    </row>
    <row r="2437" spans="7:16" x14ac:dyDescent="0.25">
      <c r="G2437" t="s">
        <v>894</v>
      </c>
      <c r="H2437">
        <v>2437</v>
      </c>
      <c r="I2437">
        <v>2437</v>
      </c>
      <c r="N2437" t="s">
        <v>895</v>
      </c>
      <c r="O2437">
        <v>2437</v>
      </c>
      <c r="P2437" t="str">
        <f t="shared" si="38"/>
        <v xml:space="preserve">[^ftn2437]: </v>
      </c>
    </row>
    <row r="2438" spans="7:16" x14ac:dyDescent="0.25">
      <c r="G2438" t="s">
        <v>894</v>
      </c>
      <c r="H2438">
        <v>2438</v>
      </c>
      <c r="I2438">
        <v>2438</v>
      </c>
      <c r="N2438" t="s">
        <v>895</v>
      </c>
      <c r="O2438">
        <v>2438</v>
      </c>
      <c r="P2438" t="str">
        <f t="shared" si="38"/>
        <v xml:space="preserve">[^ftn2438]: </v>
      </c>
    </row>
    <row r="2439" spans="7:16" x14ac:dyDescent="0.25">
      <c r="G2439" t="s">
        <v>894</v>
      </c>
      <c r="H2439">
        <v>2439</v>
      </c>
      <c r="I2439">
        <v>2439</v>
      </c>
      <c r="N2439" t="s">
        <v>895</v>
      </c>
      <c r="O2439">
        <v>2439</v>
      </c>
      <c r="P2439" t="str">
        <f t="shared" si="38"/>
        <v xml:space="preserve">[^ftn2439]: </v>
      </c>
    </row>
    <row r="2440" spans="7:16" x14ac:dyDescent="0.25">
      <c r="G2440" t="s">
        <v>894</v>
      </c>
      <c r="H2440">
        <v>2440</v>
      </c>
      <c r="I2440">
        <v>2440</v>
      </c>
      <c r="N2440" t="s">
        <v>895</v>
      </c>
      <c r="O2440">
        <v>2440</v>
      </c>
      <c r="P2440" t="str">
        <f t="shared" si="38"/>
        <v xml:space="preserve">[^ftn2440]: </v>
      </c>
    </row>
    <row r="2441" spans="7:16" x14ac:dyDescent="0.25">
      <c r="G2441" t="s">
        <v>894</v>
      </c>
      <c r="H2441">
        <v>2441</v>
      </c>
      <c r="I2441">
        <v>2441</v>
      </c>
      <c r="N2441" t="s">
        <v>895</v>
      </c>
      <c r="O2441">
        <v>2441</v>
      </c>
      <c r="P2441" t="str">
        <f t="shared" si="38"/>
        <v xml:space="preserve">[^ftn2441]: </v>
      </c>
    </row>
    <row r="2442" spans="7:16" x14ac:dyDescent="0.25">
      <c r="G2442" t="s">
        <v>894</v>
      </c>
      <c r="H2442">
        <v>2442</v>
      </c>
      <c r="I2442">
        <v>2442</v>
      </c>
      <c r="N2442" t="s">
        <v>895</v>
      </c>
      <c r="O2442">
        <v>2442</v>
      </c>
      <c r="P2442" t="str">
        <f t="shared" si="38"/>
        <v xml:space="preserve">[^ftn2442]: </v>
      </c>
    </row>
    <row r="2443" spans="7:16" x14ac:dyDescent="0.25">
      <c r="G2443" t="s">
        <v>894</v>
      </c>
      <c r="H2443">
        <v>2443</v>
      </c>
      <c r="I2443">
        <v>2443</v>
      </c>
      <c r="N2443" t="s">
        <v>895</v>
      </c>
      <c r="O2443">
        <v>2443</v>
      </c>
      <c r="P2443" t="str">
        <f t="shared" si="38"/>
        <v xml:space="preserve">[^ftn2443]: </v>
      </c>
    </row>
    <row r="2444" spans="7:16" x14ac:dyDescent="0.25">
      <c r="G2444" t="s">
        <v>894</v>
      </c>
      <c r="H2444">
        <v>2444</v>
      </c>
      <c r="I2444">
        <v>2444</v>
      </c>
      <c r="N2444" t="s">
        <v>895</v>
      </c>
      <c r="O2444">
        <v>2444</v>
      </c>
      <c r="P2444" t="str">
        <f t="shared" si="38"/>
        <v xml:space="preserve">[^ftn2444]: </v>
      </c>
    </row>
    <row r="2445" spans="7:16" x14ac:dyDescent="0.25">
      <c r="G2445" t="s">
        <v>894</v>
      </c>
      <c r="H2445">
        <v>2445</v>
      </c>
      <c r="I2445">
        <v>2445</v>
      </c>
      <c r="N2445" t="s">
        <v>895</v>
      </c>
      <c r="O2445">
        <v>2445</v>
      </c>
      <c r="P2445" t="str">
        <f t="shared" si="38"/>
        <v xml:space="preserve">[^ftn2445]: </v>
      </c>
    </row>
    <row r="2446" spans="7:16" x14ac:dyDescent="0.25">
      <c r="G2446" t="s">
        <v>894</v>
      </c>
      <c r="H2446">
        <v>2446</v>
      </c>
      <c r="I2446">
        <v>2446</v>
      </c>
      <c r="N2446" t="s">
        <v>895</v>
      </c>
      <c r="O2446">
        <v>2446</v>
      </c>
      <c r="P2446" t="str">
        <f t="shared" si="38"/>
        <v xml:space="preserve">[^ftn2446]: </v>
      </c>
    </row>
    <row r="2447" spans="7:16" x14ac:dyDescent="0.25">
      <c r="G2447" t="s">
        <v>894</v>
      </c>
      <c r="H2447">
        <v>2447</v>
      </c>
      <c r="I2447">
        <v>2447</v>
      </c>
      <c r="N2447" t="s">
        <v>895</v>
      </c>
      <c r="O2447">
        <v>2447</v>
      </c>
      <c r="P2447" t="str">
        <f t="shared" si="38"/>
        <v xml:space="preserve">[^ftn2447]: </v>
      </c>
    </row>
    <row r="2448" spans="7:16" x14ac:dyDescent="0.25">
      <c r="G2448" t="s">
        <v>894</v>
      </c>
      <c r="H2448">
        <v>2448</v>
      </c>
      <c r="I2448">
        <v>2448</v>
      </c>
      <c r="N2448" t="s">
        <v>895</v>
      </c>
      <c r="O2448">
        <v>2448</v>
      </c>
      <c r="P2448" t="str">
        <f t="shared" si="38"/>
        <v xml:space="preserve">[^ftn2448]: </v>
      </c>
    </row>
    <row r="2449" spans="7:16" x14ac:dyDescent="0.25">
      <c r="G2449" t="s">
        <v>894</v>
      </c>
      <c r="H2449">
        <v>2449</v>
      </c>
      <c r="I2449">
        <v>2449</v>
      </c>
      <c r="N2449" t="s">
        <v>895</v>
      </c>
      <c r="O2449">
        <v>2449</v>
      </c>
      <c r="P2449" t="str">
        <f t="shared" si="38"/>
        <v xml:space="preserve">[^ftn2449]: </v>
      </c>
    </row>
    <row r="2450" spans="7:16" x14ac:dyDescent="0.25">
      <c r="G2450" t="s">
        <v>894</v>
      </c>
      <c r="H2450">
        <v>2450</v>
      </c>
      <c r="I2450">
        <v>2450</v>
      </c>
      <c r="N2450" t="s">
        <v>895</v>
      </c>
      <c r="O2450">
        <v>2450</v>
      </c>
      <c r="P2450" t="str">
        <f t="shared" si="38"/>
        <v xml:space="preserve">[^ftn2450]: </v>
      </c>
    </row>
    <row r="2451" spans="7:16" x14ac:dyDescent="0.25">
      <c r="G2451" t="s">
        <v>894</v>
      </c>
      <c r="H2451">
        <v>2451</v>
      </c>
      <c r="I2451">
        <v>2451</v>
      </c>
      <c r="N2451" t="s">
        <v>895</v>
      </c>
      <c r="O2451">
        <v>2451</v>
      </c>
      <c r="P2451" t="str">
        <f t="shared" si="38"/>
        <v xml:space="preserve">[^ftn2451]: </v>
      </c>
    </row>
    <row r="2452" spans="7:16" x14ac:dyDescent="0.25">
      <c r="G2452" t="s">
        <v>894</v>
      </c>
      <c r="H2452">
        <v>2452</v>
      </c>
      <c r="I2452">
        <v>2452</v>
      </c>
      <c r="N2452" t="s">
        <v>895</v>
      </c>
      <c r="O2452">
        <v>2452</v>
      </c>
      <c r="P2452" t="str">
        <f t="shared" si="38"/>
        <v xml:space="preserve">[^ftn2452]: </v>
      </c>
    </row>
    <row r="2453" spans="7:16" x14ac:dyDescent="0.25">
      <c r="G2453" t="s">
        <v>894</v>
      </c>
      <c r="H2453">
        <v>2453</v>
      </c>
      <c r="I2453">
        <v>2453</v>
      </c>
      <c r="N2453" t="s">
        <v>895</v>
      </c>
      <c r="O2453">
        <v>2453</v>
      </c>
      <c r="P2453" t="str">
        <f t="shared" si="38"/>
        <v xml:space="preserve">[^ftn2453]: </v>
      </c>
    </row>
    <row r="2454" spans="7:16" x14ac:dyDescent="0.25">
      <c r="G2454" t="s">
        <v>894</v>
      </c>
      <c r="H2454">
        <v>2454</v>
      </c>
      <c r="I2454">
        <v>2454</v>
      </c>
      <c r="N2454" t="s">
        <v>895</v>
      </c>
      <c r="O2454">
        <v>2454</v>
      </c>
      <c r="P2454" t="str">
        <f t="shared" si="38"/>
        <v xml:space="preserve">[^ftn2454]: </v>
      </c>
    </row>
    <row r="2455" spans="7:16" x14ac:dyDescent="0.25">
      <c r="G2455" t="s">
        <v>894</v>
      </c>
      <c r="H2455">
        <v>2455</v>
      </c>
      <c r="I2455">
        <v>2455</v>
      </c>
      <c r="N2455" t="s">
        <v>895</v>
      </c>
      <c r="O2455">
        <v>2455</v>
      </c>
      <c r="P2455" t="str">
        <f t="shared" si="38"/>
        <v xml:space="preserve">[^ftn2455]: </v>
      </c>
    </row>
    <row r="2456" spans="7:16" x14ac:dyDescent="0.25">
      <c r="G2456" t="s">
        <v>894</v>
      </c>
      <c r="H2456">
        <v>2456</v>
      </c>
      <c r="I2456">
        <v>2456</v>
      </c>
      <c r="N2456" t="s">
        <v>895</v>
      </c>
      <c r="O2456">
        <v>2456</v>
      </c>
      <c r="P2456" t="str">
        <f t="shared" si="38"/>
        <v xml:space="preserve">[^ftn2456]: </v>
      </c>
    </row>
    <row r="2457" spans="7:16" x14ac:dyDescent="0.25">
      <c r="G2457" t="s">
        <v>894</v>
      </c>
      <c r="H2457">
        <v>2457</v>
      </c>
      <c r="I2457">
        <v>2457</v>
      </c>
      <c r="N2457" t="s">
        <v>895</v>
      </c>
      <c r="O2457">
        <v>2457</v>
      </c>
      <c r="P2457" t="str">
        <f t="shared" si="38"/>
        <v xml:space="preserve">[^ftn2457]: </v>
      </c>
    </row>
    <row r="2458" spans="7:16" x14ac:dyDescent="0.25">
      <c r="G2458" t="s">
        <v>894</v>
      </c>
      <c r="H2458">
        <v>2458</v>
      </c>
      <c r="I2458">
        <v>2458</v>
      </c>
      <c r="N2458" t="s">
        <v>895</v>
      </c>
      <c r="O2458">
        <v>2458</v>
      </c>
      <c r="P2458" t="str">
        <f t="shared" si="38"/>
        <v xml:space="preserve">[^ftn2458]: </v>
      </c>
    </row>
    <row r="2459" spans="7:16" x14ac:dyDescent="0.25">
      <c r="G2459" t="s">
        <v>894</v>
      </c>
      <c r="H2459">
        <v>2459</v>
      </c>
      <c r="I2459">
        <v>2459</v>
      </c>
      <c r="N2459" t="s">
        <v>895</v>
      </c>
      <c r="O2459">
        <v>2459</v>
      </c>
      <c r="P2459" t="str">
        <f t="shared" si="38"/>
        <v xml:space="preserve">[^ftn2459]: </v>
      </c>
    </row>
    <row r="2460" spans="7:16" x14ac:dyDescent="0.25">
      <c r="G2460" t="s">
        <v>894</v>
      </c>
      <c r="H2460">
        <v>2460</v>
      </c>
      <c r="I2460">
        <v>2460</v>
      </c>
      <c r="N2460" t="s">
        <v>895</v>
      </c>
      <c r="O2460">
        <v>2460</v>
      </c>
      <c r="P2460" t="str">
        <f t="shared" si="38"/>
        <v xml:space="preserve">[^ftn2460]: </v>
      </c>
    </row>
    <row r="2461" spans="7:16" x14ac:dyDescent="0.25">
      <c r="G2461" t="s">
        <v>894</v>
      </c>
      <c r="H2461">
        <v>2461</v>
      </c>
      <c r="I2461">
        <v>2461</v>
      </c>
      <c r="N2461" t="s">
        <v>895</v>
      </c>
      <c r="O2461">
        <v>2461</v>
      </c>
      <c r="P2461" t="str">
        <f t="shared" si="38"/>
        <v xml:space="preserve">[^ftn2461]: </v>
      </c>
    </row>
    <row r="2462" spans="7:16" x14ac:dyDescent="0.25">
      <c r="G2462" t="s">
        <v>894</v>
      </c>
      <c r="H2462">
        <v>2462</v>
      </c>
      <c r="I2462">
        <v>2462</v>
      </c>
      <c r="N2462" t="s">
        <v>895</v>
      </c>
      <c r="O2462">
        <v>2462</v>
      </c>
      <c r="P2462" t="str">
        <f t="shared" si="38"/>
        <v xml:space="preserve">[^ftn2462]: </v>
      </c>
    </row>
    <row r="2463" spans="7:16" x14ac:dyDescent="0.25">
      <c r="G2463" t="s">
        <v>894</v>
      </c>
      <c r="H2463">
        <v>2463</v>
      </c>
      <c r="I2463">
        <v>2463</v>
      </c>
      <c r="N2463" t="s">
        <v>895</v>
      </c>
      <c r="O2463">
        <v>2463</v>
      </c>
      <c r="P2463" t="str">
        <f t="shared" si="38"/>
        <v xml:space="preserve">[^ftn2463]: </v>
      </c>
    </row>
    <row r="2464" spans="7:16" x14ac:dyDescent="0.25">
      <c r="G2464" t="s">
        <v>894</v>
      </c>
      <c r="H2464">
        <v>2464</v>
      </c>
      <c r="I2464">
        <v>2464</v>
      </c>
      <c r="N2464" t="s">
        <v>895</v>
      </c>
      <c r="O2464">
        <v>2464</v>
      </c>
      <c r="P2464" t="str">
        <f t="shared" si="38"/>
        <v xml:space="preserve">[^ftn2464]: </v>
      </c>
    </row>
    <row r="2465" spans="7:16" x14ac:dyDescent="0.25">
      <c r="G2465" t="s">
        <v>894</v>
      </c>
      <c r="H2465">
        <v>2465</v>
      </c>
      <c r="I2465">
        <v>2465</v>
      </c>
      <c r="N2465" t="s">
        <v>895</v>
      </c>
      <c r="O2465">
        <v>2465</v>
      </c>
      <c r="P2465" t="str">
        <f t="shared" si="38"/>
        <v xml:space="preserve">[^ftn2465]: </v>
      </c>
    </row>
    <row r="2466" spans="7:16" x14ac:dyDescent="0.25">
      <c r="G2466" t="s">
        <v>894</v>
      </c>
      <c r="H2466">
        <v>2466</v>
      </c>
      <c r="I2466">
        <v>2466</v>
      </c>
      <c r="N2466" t="s">
        <v>895</v>
      </c>
      <c r="O2466">
        <v>2466</v>
      </c>
      <c r="P2466" t="str">
        <f t="shared" si="38"/>
        <v xml:space="preserve">[^ftn2466]: </v>
      </c>
    </row>
    <row r="2467" spans="7:16" x14ac:dyDescent="0.25">
      <c r="G2467" t="s">
        <v>894</v>
      </c>
      <c r="H2467">
        <v>2467</v>
      </c>
      <c r="I2467">
        <v>2467</v>
      </c>
      <c r="N2467" t="s">
        <v>895</v>
      </c>
      <c r="O2467">
        <v>2467</v>
      </c>
      <c r="P2467" t="str">
        <f t="shared" si="38"/>
        <v xml:space="preserve">[^ftn2467]: </v>
      </c>
    </row>
    <row r="2468" spans="7:16" x14ac:dyDescent="0.25">
      <c r="G2468" t="s">
        <v>894</v>
      </c>
      <c r="H2468">
        <v>2468</v>
      </c>
      <c r="I2468">
        <v>2468</v>
      </c>
      <c r="N2468" t="s">
        <v>895</v>
      </c>
      <c r="O2468">
        <v>2468</v>
      </c>
      <c r="P2468" t="str">
        <f t="shared" si="38"/>
        <v xml:space="preserve">[^ftn2468]: </v>
      </c>
    </row>
    <row r="2469" spans="7:16" x14ac:dyDescent="0.25">
      <c r="G2469" t="s">
        <v>894</v>
      </c>
      <c r="H2469">
        <v>2469</v>
      </c>
      <c r="I2469">
        <v>2469</v>
      </c>
      <c r="N2469" t="s">
        <v>895</v>
      </c>
      <c r="O2469">
        <v>2469</v>
      </c>
      <c r="P2469" t="str">
        <f t="shared" si="38"/>
        <v xml:space="preserve">[^ftn2469]: </v>
      </c>
    </row>
    <row r="2470" spans="7:16" x14ac:dyDescent="0.25">
      <c r="G2470" t="s">
        <v>894</v>
      </c>
      <c r="H2470">
        <v>2470</v>
      </c>
      <c r="I2470">
        <v>2470</v>
      </c>
      <c r="N2470" t="s">
        <v>895</v>
      </c>
      <c r="O2470">
        <v>2470</v>
      </c>
      <c r="P2470" t="str">
        <f t="shared" si="38"/>
        <v xml:space="preserve">[^ftn2470]: </v>
      </c>
    </row>
    <row r="2471" spans="7:16" x14ac:dyDescent="0.25">
      <c r="G2471" t="s">
        <v>894</v>
      </c>
      <c r="H2471">
        <v>2471</v>
      </c>
      <c r="I2471">
        <v>2471</v>
      </c>
      <c r="N2471" t="s">
        <v>895</v>
      </c>
      <c r="O2471">
        <v>2471</v>
      </c>
      <c r="P2471" t="str">
        <f t="shared" si="38"/>
        <v xml:space="preserve">[^ftn2471]: </v>
      </c>
    </row>
    <row r="2472" spans="7:16" x14ac:dyDescent="0.25">
      <c r="G2472" t="s">
        <v>894</v>
      </c>
      <c r="H2472">
        <v>2472</v>
      </c>
      <c r="I2472">
        <v>2472</v>
      </c>
      <c r="N2472" t="s">
        <v>895</v>
      </c>
      <c r="O2472">
        <v>2472</v>
      </c>
      <c r="P2472" t="str">
        <f t="shared" si="38"/>
        <v xml:space="preserve">[^ftn2472]: </v>
      </c>
    </row>
    <row r="2473" spans="7:16" x14ac:dyDescent="0.25">
      <c r="G2473" t="s">
        <v>894</v>
      </c>
      <c r="H2473">
        <v>2473</v>
      </c>
      <c r="I2473">
        <v>2473</v>
      </c>
      <c r="N2473" t="s">
        <v>895</v>
      </c>
      <c r="O2473">
        <v>2473</v>
      </c>
      <c r="P2473" t="str">
        <f t="shared" si="38"/>
        <v xml:space="preserve">[^ftn2473]: </v>
      </c>
    </row>
    <row r="2474" spans="7:16" x14ac:dyDescent="0.25">
      <c r="G2474" t="s">
        <v>894</v>
      </c>
      <c r="H2474">
        <v>2474</v>
      </c>
      <c r="I2474">
        <v>2474</v>
      </c>
      <c r="N2474" t="s">
        <v>895</v>
      </c>
      <c r="O2474">
        <v>2474</v>
      </c>
      <c r="P2474" t="str">
        <f t="shared" si="38"/>
        <v xml:space="preserve">[^ftn2474]: </v>
      </c>
    </row>
    <row r="2475" spans="7:16" x14ac:dyDescent="0.25">
      <c r="G2475" t="s">
        <v>894</v>
      </c>
      <c r="H2475">
        <v>2475</v>
      </c>
      <c r="I2475">
        <v>2475</v>
      </c>
      <c r="N2475" t="s">
        <v>895</v>
      </c>
      <c r="O2475">
        <v>2475</v>
      </c>
      <c r="P2475" t="str">
        <f t="shared" si="38"/>
        <v xml:space="preserve">[^ftn2475]: </v>
      </c>
    </row>
    <row r="2476" spans="7:16" x14ac:dyDescent="0.25">
      <c r="G2476" t="s">
        <v>894</v>
      </c>
      <c r="H2476">
        <v>2476</v>
      </c>
      <c r="I2476">
        <v>2476</v>
      </c>
      <c r="N2476" t="s">
        <v>895</v>
      </c>
      <c r="O2476">
        <v>2476</v>
      </c>
      <c r="P2476" t="str">
        <f t="shared" si="38"/>
        <v xml:space="preserve">[^ftn2476]: </v>
      </c>
    </row>
    <row r="2477" spans="7:16" x14ac:dyDescent="0.25">
      <c r="G2477" t="s">
        <v>894</v>
      </c>
      <c r="H2477">
        <v>2477</v>
      </c>
      <c r="I2477">
        <v>2477</v>
      </c>
      <c r="N2477" t="s">
        <v>895</v>
      </c>
      <c r="O2477">
        <v>2477</v>
      </c>
      <c r="P2477" t="str">
        <f t="shared" si="38"/>
        <v xml:space="preserve">[^ftn2477]: </v>
      </c>
    </row>
    <row r="2478" spans="7:16" x14ac:dyDescent="0.25">
      <c r="G2478" t="s">
        <v>894</v>
      </c>
      <c r="H2478">
        <v>2478</v>
      </c>
      <c r="I2478">
        <v>2478</v>
      </c>
      <c r="N2478" t="s">
        <v>895</v>
      </c>
      <c r="O2478">
        <v>2478</v>
      </c>
      <c r="P2478" t="str">
        <f t="shared" si="38"/>
        <v xml:space="preserve">[^ftn2478]: </v>
      </c>
    </row>
    <row r="2479" spans="7:16" x14ac:dyDescent="0.25">
      <c r="G2479" t="s">
        <v>894</v>
      </c>
      <c r="H2479">
        <v>2479</v>
      </c>
      <c r="I2479">
        <v>2479</v>
      </c>
      <c r="N2479" t="s">
        <v>895</v>
      </c>
      <c r="O2479">
        <v>2479</v>
      </c>
      <c r="P2479" t="str">
        <f t="shared" si="38"/>
        <v xml:space="preserve">[^ftn2479]: </v>
      </c>
    </row>
    <row r="2480" spans="7:16" x14ac:dyDescent="0.25">
      <c r="G2480" t="s">
        <v>894</v>
      </c>
      <c r="H2480">
        <v>2480</v>
      </c>
      <c r="I2480">
        <v>2480</v>
      </c>
      <c r="N2480" t="s">
        <v>895</v>
      </c>
      <c r="O2480">
        <v>2480</v>
      </c>
      <c r="P2480" t="str">
        <f t="shared" si="38"/>
        <v xml:space="preserve">[^ftn2480]: </v>
      </c>
    </row>
    <row r="2481" spans="7:16" x14ac:dyDescent="0.25">
      <c r="G2481" t="s">
        <v>894</v>
      </c>
      <c r="H2481">
        <v>2481</v>
      </c>
      <c r="I2481">
        <v>2481</v>
      </c>
      <c r="N2481" t="s">
        <v>895</v>
      </c>
      <c r="O2481">
        <v>2481</v>
      </c>
      <c r="P2481" t="str">
        <f t="shared" si="38"/>
        <v xml:space="preserve">[^ftn2481]: </v>
      </c>
    </row>
    <row r="2482" spans="7:16" x14ac:dyDescent="0.25">
      <c r="G2482" t="s">
        <v>894</v>
      </c>
      <c r="H2482">
        <v>2482</v>
      </c>
      <c r="I2482">
        <v>2482</v>
      </c>
      <c r="N2482" t="s">
        <v>895</v>
      </c>
      <c r="O2482">
        <v>2482</v>
      </c>
      <c r="P2482" t="str">
        <f t="shared" si="38"/>
        <v xml:space="preserve">[^ftn2482]: </v>
      </c>
    </row>
    <row r="2483" spans="7:16" x14ac:dyDescent="0.25">
      <c r="G2483" t="s">
        <v>894</v>
      </c>
      <c r="H2483">
        <v>2483</v>
      </c>
      <c r="I2483">
        <v>2483</v>
      </c>
      <c r="N2483" t="s">
        <v>895</v>
      </c>
      <c r="O2483">
        <v>2483</v>
      </c>
      <c r="P2483" t="str">
        <f t="shared" si="38"/>
        <v xml:space="preserve">[^ftn2483]: </v>
      </c>
    </row>
    <row r="2484" spans="7:16" x14ac:dyDescent="0.25">
      <c r="G2484" t="s">
        <v>894</v>
      </c>
      <c r="H2484">
        <v>2484</v>
      </c>
      <c r="I2484">
        <v>2484</v>
      </c>
      <c r="N2484" t="s">
        <v>895</v>
      </c>
      <c r="O2484">
        <v>2484</v>
      </c>
      <c r="P2484" t="str">
        <f t="shared" si="38"/>
        <v xml:space="preserve">[^ftn2484]: </v>
      </c>
    </row>
    <row r="2485" spans="7:16" x14ac:dyDescent="0.25">
      <c r="G2485" t="s">
        <v>894</v>
      </c>
      <c r="H2485">
        <v>2485</v>
      </c>
      <c r="I2485">
        <v>2485</v>
      </c>
      <c r="N2485" t="s">
        <v>895</v>
      </c>
      <c r="O2485">
        <v>2485</v>
      </c>
      <c r="P2485" t="str">
        <f t="shared" si="38"/>
        <v xml:space="preserve">[^ftn2485]: </v>
      </c>
    </row>
    <row r="2486" spans="7:16" x14ac:dyDescent="0.25">
      <c r="G2486" t="s">
        <v>894</v>
      </c>
      <c r="H2486">
        <v>2486</v>
      </c>
      <c r="I2486">
        <v>2486</v>
      </c>
      <c r="N2486" t="s">
        <v>895</v>
      </c>
      <c r="O2486">
        <v>2486</v>
      </c>
      <c r="P2486" t="str">
        <f t="shared" si="38"/>
        <v xml:space="preserve">[^ftn2486]: </v>
      </c>
    </row>
    <row r="2487" spans="7:16" x14ac:dyDescent="0.25">
      <c r="G2487" t="s">
        <v>894</v>
      </c>
      <c r="H2487">
        <v>2487</v>
      </c>
      <c r="I2487">
        <v>2487</v>
      </c>
      <c r="N2487" t="s">
        <v>895</v>
      </c>
      <c r="O2487">
        <v>2487</v>
      </c>
      <c r="P2487" t="str">
        <f t="shared" si="38"/>
        <v xml:space="preserve">[^ftn2487]: </v>
      </c>
    </row>
    <row r="2488" spans="7:16" x14ac:dyDescent="0.25">
      <c r="G2488" t="s">
        <v>894</v>
      </c>
      <c r="H2488">
        <v>2488</v>
      </c>
      <c r="I2488">
        <v>2488</v>
      </c>
      <c r="N2488" t="s">
        <v>895</v>
      </c>
      <c r="O2488">
        <v>2488</v>
      </c>
      <c r="P2488" t="str">
        <f t="shared" si="38"/>
        <v xml:space="preserve">[^ftn2488]: </v>
      </c>
    </row>
    <row r="2489" spans="7:16" x14ac:dyDescent="0.25">
      <c r="G2489" t="s">
        <v>894</v>
      </c>
      <c r="H2489">
        <v>2489</v>
      </c>
      <c r="I2489">
        <v>2489</v>
      </c>
      <c r="N2489" t="s">
        <v>895</v>
      </c>
      <c r="O2489">
        <v>2489</v>
      </c>
      <c r="P2489" t="str">
        <f t="shared" si="38"/>
        <v xml:space="preserve">[^ftn2489]: </v>
      </c>
    </row>
    <row r="2490" spans="7:16" x14ac:dyDescent="0.25">
      <c r="G2490" t="s">
        <v>894</v>
      </c>
      <c r="H2490">
        <v>2490</v>
      </c>
      <c r="I2490">
        <v>2490</v>
      </c>
      <c r="N2490" t="s">
        <v>895</v>
      </c>
      <c r="O2490">
        <v>2490</v>
      </c>
      <c r="P2490" t="str">
        <f t="shared" si="38"/>
        <v xml:space="preserve">[^ftn2490]: </v>
      </c>
    </row>
    <row r="2491" spans="7:16" x14ac:dyDescent="0.25">
      <c r="G2491" t="s">
        <v>894</v>
      </c>
      <c r="H2491">
        <v>2491</v>
      </c>
      <c r="I2491">
        <v>2491</v>
      </c>
      <c r="N2491" t="s">
        <v>895</v>
      </c>
      <c r="O2491">
        <v>2491</v>
      </c>
      <c r="P2491" t="str">
        <f t="shared" si="38"/>
        <v xml:space="preserve">[^ftn2491]: </v>
      </c>
    </row>
    <row r="2492" spans="7:16" x14ac:dyDescent="0.25">
      <c r="G2492" t="s">
        <v>894</v>
      </c>
      <c r="H2492">
        <v>2492</v>
      </c>
      <c r="I2492">
        <v>2492</v>
      </c>
      <c r="N2492" t="s">
        <v>895</v>
      </c>
      <c r="O2492">
        <v>2492</v>
      </c>
      <c r="P2492" t="str">
        <f t="shared" si="38"/>
        <v xml:space="preserve">[^ftn2492]: </v>
      </c>
    </row>
    <row r="2493" spans="7:16" x14ac:dyDescent="0.25">
      <c r="G2493" t="s">
        <v>894</v>
      </c>
      <c r="H2493">
        <v>2493</v>
      </c>
      <c r="I2493">
        <v>2493</v>
      </c>
      <c r="N2493" t="s">
        <v>895</v>
      </c>
      <c r="O2493">
        <v>2493</v>
      </c>
      <c r="P2493" t="str">
        <f t="shared" si="38"/>
        <v xml:space="preserve">[^ftn2493]: </v>
      </c>
    </row>
    <row r="2494" spans="7:16" x14ac:dyDescent="0.25">
      <c r="G2494" t="s">
        <v>894</v>
      </c>
      <c r="H2494">
        <v>2494</v>
      </c>
      <c r="I2494">
        <v>2494</v>
      </c>
      <c r="N2494" t="s">
        <v>895</v>
      </c>
      <c r="O2494">
        <v>2494</v>
      </c>
      <c r="P2494" t="str">
        <f t="shared" si="38"/>
        <v xml:space="preserve">[^ftn2494]: </v>
      </c>
    </row>
    <row r="2495" spans="7:16" x14ac:dyDescent="0.25">
      <c r="G2495" t="s">
        <v>894</v>
      </c>
      <c r="H2495">
        <v>2495</v>
      </c>
      <c r="I2495">
        <v>2495</v>
      </c>
      <c r="N2495" t="s">
        <v>895</v>
      </c>
      <c r="O2495">
        <v>2495</v>
      </c>
      <c r="P2495" t="str">
        <f t="shared" si="38"/>
        <v xml:space="preserve">[^ftn2495]: </v>
      </c>
    </row>
    <row r="2496" spans="7:16" x14ac:dyDescent="0.25">
      <c r="G2496" t="s">
        <v>894</v>
      </c>
      <c r="H2496">
        <v>2496</v>
      </c>
      <c r="I2496">
        <v>2496</v>
      </c>
      <c r="N2496" t="s">
        <v>895</v>
      </c>
      <c r="O2496">
        <v>2496</v>
      </c>
      <c r="P2496" t="str">
        <f t="shared" si="38"/>
        <v xml:space="preserve">[^ftn2496]: </v>
      </c>
    </row>
    <row r="2497" spans="7:16" x14ac:dyDescent="0.25">
      <c r="G2497" t="s">
        <v>894</v>
      </c>
      <c r="H2497">
        <v>2497</v>
      </c>
      <c r="I2497">
        <v>2497</v>
      </c>
      <c r="N2497" t="s">
        <v>895</v>
      </c>
      <c r="O2497">
        <v>2497</v>
      </c>
      <c r="P2497" t="str">
        <f t="shared" si="38"/>
        <v xml:space="preserve">[^ftn2497]: </v>
      </c>
    </row>
    <row r="2498" spans="7:16" x14ac:dyDescent="0.25">
      <c r="G2498" t="s">
        <v>894</v>
      </c>
      <c r="H2498">
        <v>2498</v>
      </c>
      <c r="I2498">
        <v>2498</v>
      </c>
      <c r="N2498" t="s">
        <v>895</v>
      </c>
      <c r="O2498">
        <v>2498</v>
      </c>
      <c r="P2498" t="str">
        <f t="shared" ref="P2498:P2561" si="39">_xlfn.CONCAT("[^ftn",O2498,"]: ",)</f>
        <v xml:space="preserve">[^ftn2498]: </v>
      </c>
    </row>
    <row r="2499" spans="7:16" x14ac:dyDescent="0.25">
      <c r="G2499" t="s">
        <v>894</v>
      </c>
      <c r="H2499">
        <v>2499</v>
      </c>
      <c r="I2499">
        <v>2499</v>
      </c>
      <c r="N2499" t="s">
        <v>895</v>
      </c>
      <c r="O2499">
        <v>2499</v>
      </c>
      <c r="P2499" t="str">
        <f t="shared" si="39"/>
        <v xml:space="preserve">[^ftn2499]: </v>
      </c>
    </row>
    <row r="2500" spans="7:16" x14ac:dyDescent="0.25">
      <c r="G2500" t="s">
        <v>894</v>
      </c>
      <c r="H2500">
        <v>2500</v>
      </c>
      <c r="I2500">
        <v>2500</v>
      </c>
      <c r="N2500" t="s">
        <v>895</v>
      </c>
      <c r="O2500">
        <v>2500</v>
      </c>
      <c r="P2500" t="str">
        <f t="shared" si="39"/>
        <v xml:space="preserve">[^ftn2500]: </v>
      </c>
    </row>
    <row r="2501" spans="7:16" x14ac:dyDescent="0.25">
      <c r="N2501" t="s">
        <v>895</v>
      </c>
      <c r="O2501">
        <v>2501</v>
      </c>
      <c r="P2501" t="str">
        <f t="shared" si="39"/>
        <v xml:space="preserve">[^ftn2501]: </v>
      </c>
    </row>
    <row r="2502" spans="7:16" x14ac:dyDescent="0.25">
      <c r="N2502" t="s">
        <v>895</v>
      </c>
      <c r="O2502">
        <v>2502</v>
      </c>
      <c r="P2502" t="str">
        <f t="shared" si="39"/>
        <v xml:space="preserve">[^ftn2502]: </v>
      </c>
    </row>
    <row r="2503" spans="7:16" x14ac:dyDescent="0.25">
      <c r="N2503" t="s">
        <v>895</v>
      </c>
      <c r="O2503">
        <v>2503</v>
      </c>
      <c r="P2503" t="str">
        <f t="shared" si="39"/>
        <v xml:space="preserve">[^ftn2503]: </v>
      </c>
    </row>
    <row r="2504" spans="7:16" x14ac:dyDescent="0.25">
      <c r="N2504" t="s">
        <v>895</v>
      </c>
      <c r="O2504">
        <v>2504</v>
      </c>
      <c r="P2504" t="str">
        <f t="shared" si="39"/>
        <v xml:space="preserve">[^ftn2504]: </v>
      </c>
    </row>
    <row r="2505" spans="7:16" x14ac:dyDescent="0.25">
      <c r="N2505" t="s">
        <v>895</v>
      </c>
      <c r="O2505">
        <v>2505</v>
      </c>
      <c r="P2505" t="str">
        <f t="shared" si="39"/>
        <v xml:space="preserve">[^ftn2505]: </v>
      </c>
    </row>
    <row r="2506" spans="7:16" x14ac:dyDescent="0.25">
      <c r="N2506" t="s">
        <v>895</v>
      </c>
      <c r="O2506">
        <v>2506</v>
      </c>
      <c r="P2506" t="str">
        <f t="shared" si="39"/>
        <v xml:space="preserve">[^ftn2506]: </v>
      </c>
    </row>
    <row r="2507" spans="7:16" x14ac:dyDescent="0.25">
      <c r="N2507" t="s">
        <v>895</v>
      </c>
      <c r="O2507">
        <v>2507</v>
      </c>
      <c r="P2507" t="str">
        <f t="shared" si="39"/>
        <v xml:space="preserve">[^ftn2507]: </v>
      </c>
    </row>
    <row r="2508" spans="7:16" x14ac:dyDescent="0.25">
      <c r="N2508" t="s">
        <v>895</v>
      </c>
      <c r="O2508">
        <v>2508</v>
      </c>
      <c r="P2508" t="str">
        <f t="shared" si="39"/>
        <v xml:space="preserve">[^ftn2508]: </v>
      </c>
    </row>
    <row r="2509" spans="7:16" x14ac:dyDescent="0.25">
      <c r="N2509" t="s">
        <v>895</v>
      </c>
      <c r="O2509">
        <v>2509</v>
      </c>
      <c r="P2509" t="str">
        <f t="shared" si="39"/>
        <v xml:space="preserve">[^ftn2509]: </v>
      </c>
    </row>
    <row r="2510" spans="7:16" x14ac:dyDescent="0.25">
      <c r="N2510" t="s">
        <v>895</v>
      </c>
      <c r="O2510">
        <v>2510</v>
      </c>
      <c r="P2510" t="str">
        <f t="shared" si="39"/>
        <v xml:space="preserve">[^ftn2510]: </v>
      </c>
    </row>
    <row r="2511" spans="7:16" x14ac:dyDescent="0.25">
      <c r="N2511" t="s">
        <v>895</v>
      </c>
      <c r="O2511">
        <v>2511</v>
      </c>
      <c r="P2511" t="str">
        <f t="shared" si="39"/>
        <v xml:space="preserve">[^ftn2511]: </v>
      </c>
    </row>
    <row r="2512" spans="7:16" x14ac:dyDescent="0.25">
      <c r="N2512" t="s">
        <v>895</v>
      </c>
      <c r="O2512">
        <v>2512</v>
      </c>
      <c r="P2512" t="str">
        <f t="shared" si="39"/>
        <v xml:space="preserve">[^ftn2512]: </v>
      </c>
    </row>
    <row r="2513" spans="14:16" x14ac:dyDescent="0.25">
      <c r="N2513" t="s">
        <v>895</v>
      </c>
      <c r="O2513">
        <v>2513</v>
      </c>
      <c r="P2513" t="str">
        <f t="shared" si="39"/>
        <v xml:space="preserve">[^ftn2513]: </v>
      </c>
    </row>
    <row r="2514" spans="14:16" x14ac:dyDescent="0.25">
      <c r="N2514" t="s">
        <v>895</v>
      </c>
      <c r="O2514">
        <v>2514</v>
      </c>
      <c r="P2514" t="str">
        <f t="shared" si="39"/>
        <v xml:space="preserve">[^ftn2514]: </v>
      </c>
    </row>
    <row r="2515" spans="14:16" x14ac:dyDescent="0.25">
      <c r="N2515" t="s">
        <v>895</v>
      </c>
      <c r="O2515">
        <v>2515</v>
      </c>
      <c r="P2515" t="str">
        <f t="shared" si="39"/>
        <v xml:space="preserve">[^ftn2515]: </v>
      </c>
    </row>
    <row r="2516" spans="14:16" x14ac:dyDescent="0.25">
      <c r="N2516" t="s">
        <v>895</v>
      </c>
      <c r="O2516">
        <v>2516</v>
      </c>
      <c r="P2516" t="str">
        <f t="shared" si="39"/>
        <v xml:space="preserve">[^ftn2516]: </v>
      </c>
    </row>
    <row r="2517" spans="14:16" x14ac:dyDescent="0.25">
      <c r="N2517" t="s">
        <v>895</v>
      </c>
      <c r="O2517">
        <v>2517</v>
      </c>
      <c r="P2517" t="str">
        <f t="shared" si="39"/>
        <v xml:space="preserve">[^ftn2517]: </v>
      </c>
    </row>
    <row r="2518" spans="14:16" x14ac:dyDescent="0.25">
      <c r="N2518" t="s">
        <v>895</v>
      </c>
      <c r="O2518">
        <v>2518</v>
      </c>
      <c r="P2518" t="str">
        <f t="shared" si="39"/>
        <v xml:space="preserve">[^ftn2518]: </v>
      </c>
    </row>
    <row r="2519" spans="14:16" x14ac:dyDescent="0.25">
      <c r="N2519" t="s">
        <v>895</v>
      </c>
      <c r="O2519">
        <v>2519</v>
      </c>
      <c r="P2519" t="str">
        <f t="shared" si="39"/>
        <v xml:space="preserve">[^ftn2519]: </v>
      </c>
    </row>
    <row r="2520" spans="14:16" x14ac:dyDescent="0.25">
      <c r="N2520" t="s">
        <v>895</v>
      </c>
      <c r="O2520">
        <v>2520</v>
      </c>
      <c r="P2520" t="str">
        <f t="shared" si="39"/>
        <v xml:space="preserve">[^ftn2520]: </v>
      </c>
    </row>
    <row r="2521" spans="14:16" x14ac:dyDescent="0.25">
      <c r="N2521" t="s">
        <v>895</v>
      </c>
      <c r="O2521">
        <v>2521</v>
      </c>
      <c r="P2521" t="str">
        <f t="shared" si="39"/>
        <v xml:space="preserve">[^ftn2521]: </v>
      </c>
    </row>
    <row r="2522" spans="14:16" x14ac:dyDescent="0.25">
      <c r="N2522" t="s">
        <v>895</v>
      </c>
      <c r="O2522">
        <v>2522</v>
      </c>
      <c r="P2522" t="str">
        <f t="shared" si="39"/>
        <v xml:space="preserve">[^ftn2522]: </v>
      </c>
    </row>
    <row r="2523" spans="14:16" x14ac:dyDescent="0.25">
      <c r="N2523" t="s">
        <v>895</v>
      </c>
      <c r="O2523">
        <v>2523</v>
      </c>
      <c r="P2523" t="str">
        <f t="shared" si="39"/>
        <v xml:space="preserve">[^ftn2523]: </v>
      </c>
    </row>
    <row r="2524" spans="14:16" x14ac:dyDescent="0.25">
      <c r="N2524" t="s">
        <v>895</v>
      </c>
      <c r="O2524">
        <v>2524</v>
      </c>
      <c r="P2524" t="str">
        <f t="shared" si="39"/>
        <v xml:space="preserve">[^ftn2524]: </v>
      </c>
    </row>
    <row r="2525" spans="14:16" x14ac:dyDescent="0.25">
      <c r="N2525" t="s">
        <v>895</v>
      </c>
      <c r="O2525">
        <v>2525</v>
      </c>
      <c r="P2525" t="str">
        <f t="shared" si="39"/>
        <v xml:space="preserve">[^ftn2525]: </v>
      </c>
    </row>
    <row r="2526" spans="14:16" x14ac:dyDescent="0.25">
      <c r="N2526" t="s">
        <v>895</v>
      </c>
      <c r="O2526">
        <v>2526</v>
      </c>
      <c r="P2526" t="str">
        <f t="shared" si="39"/>
        <v xml:space="preserve">[^ftn2526]: </v>
      </c>
    </row>
    <row r="2527" spans="14:16" x14ac:dyDescent="0.25">
      <c r="N2527" t="s">
        <v>895</v>
      </c>
      <c r="O2527">
        <v>2527</v>
      </c>
      <c r="P2527" t="str">
        <f t="shared" si="39"/>
        <v xml:space="preserve">[^ftn2527]: </v>
      </c>
    </row>
    <row r="2528" spans="14:16" x14ac:dyDescent="0.25">
      <c r="N2528" t="s">
        <v>895</v>
      </c>
      <c r="O2528">
        <v>2528</v>
      </c>
      <c r="P2528" t="str">
        <f t="shared" si="39"/>
        <v xml:space="preserve">[^ftn2528]: </v>
      </c>
    </row>
    <row r="2529" spans="14:16" x14ac:dyDescent="0.25">
      <c r="N2529" t="s">
        <v>895</v>
      </c>
      <c r="O2529">
        <v>2529</v>
      </c>
      <c r="P2529" t="str">
        <f t="shared" si="39"/>
        <v xml:space="preserve">[^ftn2529]: </v>
      </c>
    </row>
    <row r="2530" spans="14:16" x14ac:dyDescent="0.25">
      <c r="N2530" t="s">
        <v>895</v>
      </c>
      <c r="O2530">
        <v>2530</v>
      </c>
      <c r="P2530" t="str">
        <f t="shared" si="39"/>
        <v xml:space="preserve">[^ftn2530]: </v>
      </c>
    </row>
    <row r="2531" spans="14:16" x14ac:dyDescent="0.25">
      <c r="N2531" t="s">
        <v>895</v>
      </c>
      <c r="O2531">
        <v>2531</v>
      </c>
      <c r="P2531" t="str">
        <f t="shared" si="39"/>
        <v xml:space="preserve">[^ftn2531]: </v>
      </c>
    </row>
    <row r="2532" spans="14:16" x14ac:dyDescent="0.25">
      <c r="N2532" t="s">
        <v>895</v>
      </c>
      <c r="O2532">
        <v>2532</v>
      </c>
      <c r="P2532" t="str">
        <f t="shared" si="39"/>
        <v xml:space="preserve">[^ftn2532]: </v>
      </c>
    </row>
    <row r="2533" spans="14:16" x14ac:dyDescent="0.25">
      <c r="N2533" t="s">
        <v>895</v>
      </c>
      <c r="O2533">
        <v>2533</v>
      </c>
      <c r="P2533" t="str">
        <f t="shared" si="39"/>
        <v xml:space="preserve">[^ftn2533]: </v>
      </c>
    </row>
    <row r="2534" spans="14:16" x14ac:dyDescent="0.25">
      <c r="N2534" t="s">
        <v>895</v>
      </c>
      <c r="O2534">
        <v>2534</v>
      </c>
      <c r="P2534" t="str">
        <f t="shared" si="39"/>
        <v xml:space="preserve">[^ftn2534]: </v>
      </c>
    </row>
    <row r="2535" spans="14:16" x14ac:dyDescent="0.25">
      <c r="N2535" t="s">
        <v>895</v>
      </c>
      <c r="O2535">
        <v>2535</v>
      </c>
      <c r="P2535" t="str">
        <f t="shared" si="39"/>
        <v xml:space="preserve">[^ftn2535]: </v>
      </c>
    </row>
    <row r="2536" spans="14:16" x14ac:dyDescent="0.25">
      <c r="N2536" t="s">
        <v>895</v>
      </c>
      <c r="O2536">
        <v>2536</v>
      </c>
      <c r="P2536" t="str">
        <f t="shared" si="39"/>
        <v xml:space="preserve">[^ftn2536]: </v>
      </c>
    </row>
    <row r="2537" spans="14:16" x14ac:dyDescent="0.25">
      <c r="N2537" t="s">
        <v>895</v>
      </c>
      <c r="O2537">
        <v>2537</v>
      </c>
      <c r="P2537" t="str">
        <f t="shared" si="39"/>
        <v xml:space="preserve">[^ftn2537]: </v>
      </c>
    </row>
    <row r="2538" spans="14:16" x14ac:dyDescent="0.25">
      <c r="N2538" t="s">
        <v>895</v>
      </c>
      <c r="O2538">
        <v>2538</v>
      </c>
      <c r="P2538" t="str">
        <f t="shared" si="39"/>
        <v xml:space="preserve">[^ftn2538]: </v>
      </c>
    </row>
    <row r="2539" spans="14:16" x14ac:dyDescent="0.25">
      <c r="N2539" t="s">
        <v>895</v>
      </c>
      <c r="O2539">
        <v>2539</v>
      </c>
      <c r="P2539" t="str">
        <f t="shared" si="39"/>
        <v xml:space="preserve">[^ftn2539]: </v>
      </c>
    </row>
    <row r="2540" spans="14:16" x14ac:dyDescent="0.25">
      <c r="N2540" t="s">
        <v>895</v>
      </c>
      <c r="O2540">
        <v>2540</v>
      </c>
      <c r="P2540" t="str">
        <f t="shared" si="39"/>
        <v xml:space="preserve">[^ftn2540]: </v>
      </c>
    </row>
    <row r="2541" spans="14:16" x14ac:dyDescent="0.25">
      <c r="N2541" t="s">
        <v>895</v>
      </c>
      <c r="O2541">
        <v>2541</v>
      </c>
      <c r="P2541" t="str">
        <f t="shared" si="39"/>
        <v xml:space="preserve">[^ftn2541]: </v>
      </c>
    </row>
    <row r="2542" spans="14:16" x14ac:dyDescent="0.25">
      <c r="N2542" t="s">
        <v>895</v>
      </c>
      <c r="O2542">
        <v>2542</v>
      </c>
      <c r="P2542" t="str">
        <f t="shared" si="39"/>
        <v xml:space="preserve">[^ftn2542]: </v>
      </c>
    </row>
    <row r="2543" spans="14:16" x14ac:dyDescent="0.25">
      <c r="N2543" t="s">
        <v>895</v>
      </c>
      <c r="O2543">
        <v>2543</v>
      </c>
      <c r="P2543" t="str">
        <f t="shared" si="39"/>
        <v xml:space="preserve">[^ftn2543]: </v>
      </c>
    </row>
    <row r="2544" spans="14:16" x14ac:dyDescent="0.25">
      <c r="N2544" t="s">
        <v>895</v>
      </c>
      <c r="O2544">
        <v>2544</v>
      </c>
      <c r="P2544" t="str">
        <f t="shared" si="39"/>
        <v xml:space="preserve">[^ftn2544]: </v>
      </c>
    </row>
    <row r="2545" spans="14:16" x14ac:dyDescent="0.25">
      <c r="N2545" t="s">
        <v>895</v>
      </c>
      <c r="O2545">
        <v>2545</v>
      </c>
      <c r="P2545" t="str">
        <f t="shared" si="39"/>
        <v xml:space="preserve">[^ftn2545]: </v>
      </c>
    </row>
    <row r="2546" spans="14:16" x14ac:dyDescent="0.25">
      <c r="N2546" t="s">
        <v>895</v>
      </c>
      <c r="O2546">
        <v>2546</v>
      </c>
      <c r="P2546" t="str">
        <f t="shared" si="39"/>
        <v xml:space="preserve">[^ftn2546]: </v>
      </c>
    </row>
    <row r="2547" spans="14:16" x14ac:dyDescent="0.25">
      <c r="N2547" t="s">
        <v>895</v>
      </c>
      <c r="O2547">
        <v>2547</v>
      </c>
      <c r="P2547" t="str">
        <f t="shared" si="39"/>
        <v xml:space="preserve">[^ftn2547]: </v>
      </c>
    </row>
    <row r="2548" spans="14:16" x14ac:dyDescent="0.25">
      <c r="N2548" t="s">
        <v>895</v>
      </c>
      <c r="O2548">
        <v>2548</v>
      </c>
      <c r="P2548" t="str">
        <f t="shared" si="39"/>
        <v xml:space="preserve">[^ftn2548]: </v>
      </c>
    </row>
    <row r="2549" spans="14:16" x14ac:dyDescent="0.25">
      <c r="N2549" t="s">
        <v>895</v>
      </c>
      <c r="O2549">
        <v>2549</v>
      </c>
      <c r="P2549" t="str">
        <f t="shared" si="39"/>
        <v xml:space="preserve">[^ftn2549]: </v>
      </c>
    </row>
    <row r="2550" spans="14:16" x14ac:dyDescent="0.25">
      <c r="N2550" t="s">
        <v>895</v>
      </c>
      <c r="O2550">
        <v>2550</v>
      </c>
      <c r="P2550" t="str">
        <f t="shared" si="39"/>
        <v xml:space="preserve">[^ftn2550]: </v>
      </c>
    </row>
    <row r="2551" spans="14:16" x14ac:dyDescent="0.25">
      <c r="N2551" t="s">
        <v>895</v>
      </c>
      <c r="O2551">
        <v>2551</v>
      </c>
      <c r="P2551" t="str">
        <f t="shared" si="39"/>
        <v xml:space="preserve">[^ftn2551]: </v>
      </c>
    </row>
    <row r="2552" spans="14:16" x14ac:dyDescent="0.25">
      <c r="N2552" t="s">
        <v>895</v>
      </c>
      <c r="O2552">
        <v>2552</v>
      </c>
      <c r="P2552" t="str">
        <f t="shared" si="39"/>
        <v xml:space="preserve">[^ftn2552]: </v>
      </c>
    </row>
    <row r="2553" spans="14:16" x14ac:dyDescent="0.25">
      <c r="N2553" t="s">
        <v>895</v>
      </c>
      <c r="O2553">
        <v>2553</v>
      </c>
      <c r="P2553" t="str">
        <f t="shared" si="39"/>
        <v xml:space="preserve">[^ftn2553]: </v>
      </c>
    </row>
    <row r="2554" spans="14:16" x14ac:dyDescent="0.25">
      <c r="N2554" t="s">
        <v>895</v>
      </c>
      <c r="O2554">
        <v>2554</v>
      </c>
      <c r="P2554" t="str">
        <f t="shared" si="39"/>
        <v xml:space="preserve">[^ftn2554]: </v>
      </c>
    </row>
    <row r="2555" spans="14:16" x14ac:dyDescent="0.25">
      <c r="N2555" t="s">
        <v>895</v>
      </c>
      <c r="O2555">
        <v>2555</v>
      </c>
      <c r="P2555" t="str">
        <f t="shared" si="39"/>
        <v xml:space="preserve">[^ftn2555]: </v>
      </c>
    </row>
    <row r="2556" spans="14:16" x14ac:dyDescent="0.25">
      <c r="N2556" t="s">
        <v>895</v>
      </c>
      <c r="O2556">
        <v>2556</v>
      </c>
      <c r="P2556" t="str">
        <f t="shared" si="39"/>
        <v xml:space="preserve">[^ftn2556]: </v>
      </c>
    </row>
    <row r="2557" spans="14:16" x14ac:dyDescent="0.25">
      <c r="N2557" t="s">
        <v>895</v>
      </c>
      <c r="O2557">
        <v>2557</v>
      </c>
      <c r="P2557" t="str">
        <f t="shared" si="39"/>
        <v xml:space="preserve">[^ftn2557]: </v>
      </c>
    </row>
    <row r="2558" spans="14:16" x14ac:dyDescent="0.25">
      <c r="N2558" t="s">
        <v>895</v>
      </c>
      <c r="O2558">
        <v>2558</v>
      </c>
      <c r="P2558" t="str">
        <f t="shared" si="39"/>
        <v xml:space="preserve">[^ftn2558]: </v>
      </c>
    </row>
    <row r="2559" spans="14:16" x14ac:dyDescent="0.25">
      <c r="N2559" t="s">
        <v>895</v>
      </c>
      <c r="O2559">
        <v>2559</v>
      </c>
      <c r="P2559" t="str">
        <f t="shared" si="39"/>
        <v xml:space="preserve">[^ftn2559]: </v>
      </c>
    </row>
    <row r="2560" spans="14:16" x14ac:dyDescent="0.25">
      <c r="N2560" t="s">
        <v>895</v>
      </c>
      <c r="O2560">
        <v>2560</v>
      </c>
      <c r="P2560" t="str">
        <f t="shared" si="39"/>
        <v xml:space="preserve">[^ftn2560]: </v>
      </c>
    </row>
    <row r="2561" spans="14:16" x14ac:dyDescent="0.25">
      <c r="N2561" t="s">
        <v>895</v>
      </c>
      <c r="O2561">
        <v>2561</v>
      </c>
      <c r="P2561" t="str">
        <f t="shared" si="39"/>
        <v xml:space="preserve">[^ftn2561]: </v>
      </c>
    </row>
    <row r="2562" spans="14:16" x14ac:dyDescent="0.25">
      <c r="N2562" t="s">
        <v>895</v>
      </c>
      <c r="O2562">
        <v>2562</v>
      </c>
      <c r="P2562" t="str">
        <f t="shared" ref="P2562:P2625" si="40">_xlfn.CONCAT("[^ftn",O2562,"]: ",)</f>
        <v xml:space="preserve">[^ftn2562]: </v>
      </c>
    </row>
    <row r="2563" spans="14:16" x14ac:dyDescent="0.25">
      <c r="N2563" t="s">
        <v>895</v>
      </c>
      <c r="O2563">
        <v>2563</v>
      </c>
      <c r="P2563" t="str">
        <f t="shared" si="40"/>
        <v xml:space="preserve">[^ftn2563]: </v>
      </c>
    </row>
    <row r="2564" spans="14:16" x14ac:dyDescent="0.25">
      <c r="N2564" t="s">
        <v>895</v>
      </c>
      <c r="O2564">
        <v>2564</v>
      </c>
      <c r="P2564" t="str">
        <f t="shared" si="40"/>
        <v xml:space="preserve">[^ftn2564]: </v>
      </c>
    </row>
    <row r="2565" spans="14:16" x14ac:dyDescent="0.25">
      <c r="N2565" t="s">
        <v>895</v>
      </c>
      <c r="O2565">
        <v>2565</v>
      </c>
      <c r="P2565" t="str">
        <f t="shared" si="40"/>
        <v xml:space="preserve">[^ftn2565]: </v>
      </c>
    </row>
    <row r="2566" spans="14:16" x14ac:dyDescent="0.25">
      <c r="N2566" t="s">
        <v>895</v>
      </c>
      <c r="O2566">
        <v>2566</v>
      </c>
      <c r="P2566" t="str">
        <f t="shared" si="40"/>
        <v xml:space="preserve">[^ftn2566]: </v>
      </c>
    </row>
    <row r="2567" spans="14:16" x14ac:dyDescent="0.25">
      <c r="N2567" t="s">
        <v>895</v>
      </c>
      <c r="O2567">
        <v>2567</v>
      </c>
      <c r="P2567" t="str">
        <f t="shared" si="40"/>
        <v xml:space="preserve">[^ftn2567]: </v>
      </c>
    </row>
    <row r="2568" spans="14:16" x14ac:dyDescent="0.25">
      <c r="N2568" t="s">
        <v>895</v>
      </c>
      <c r="O2568">
        <v>2568</v>
      </c>
      <c r="P2568" t="str">
        <f t="shared" si="40"/>
        <v xml:space="preserve">[^ftn2568]: </v>
      </c>
    </row>
    <row r="2569" spans="14:16" x14ac:dyDescent="0.25">
      <c r="N2569" t="s">
        <v>895</v>
      </c>
      <c r="O2569">
        <v>2569</v>
      </c>
      <c r="P2569" t="str">
        <f t="shared" si="40"/>
        <v xml:space="preserve">[^ftn2569]: </v>
      </c>
    </row>
    <row r="2570" spans="14:16" x14ac:dyDescent="0.25">
      <c r="N2570" t="s">
        <v>895</v>
      </c>
      <c r="O2570">
        <v>2570</v>
      </c>
      <c r="P2570" t="str">
        <f t="shared" si="40"/>
        <v xml:space="preserve">[^ftn2570]: </v>
      </c>
    </row>
    <row r="2571" spans="14:16" x14ac:dyDescent="0.25">
      <c r="N2571" t="s">
        <v>895</v>
      </c>
      <c r="O2571">
        <v>2571</v>
      </c>
      <c r="P2571" t="str">
        <f t="shared" si="40"/>
        <v xml:space="preserve">[^ftn2571]: </v>
      </c>
    </row>
    <row r="2572" spans="14:16" x14ac:dyDescent="0.25">
      <c r="N2572" t="s">
        <v>895</v>
      </c>
      <c r="O2572">
        <v>2572</v>
      </c>
      <c r="P2572" t="str">
        <f t="shared" si="40"/>
        <v xml:space="preserve">[^ftn2572]: </v>
      </c>
    </row>
    <row r="2573" spans="14:16" x14ac:dyDescent="0.25">
      <c r="N2573" t="s">
        <v>895</v>
      </c>
      <c r="O2573">
        <v>2573</v>
      </c>
      <c r="P2573" t="str">
        <f t="shared" si="40"/>
        <v xml:space="preserve">[^ftn2573]: </v>
      </c>
    </row>
    <row r="2574" spans="14:16" x14ac:dyDescent="0.25">
      <c r="N2574" t="s">
        <v>895</v>
      </c>
      <c r="O2574">
        <v>2574</v>
      </c>
      <c r="P2574" t="str">
        <f t="shared" si="40"/>
        <v xml:space="preserve">[^ftn2574]: </v>
      </c>
    </row>
    <row r="2575" spans="14:16" x14ac:dyDescent="0.25">
      <c r="N2575" t="s">
        <v>895</v>
      </c>
      <c r="O2575">
        <v>2575</v>
      </c>
      <c r="P2575" t="str">
        <f t="shared" si="40"/>
        <v xml:space="preserve">[^ftn2575]: </v>
      </c>
    </row>
    <row r="2576" spans="14:16" x14ac:dyDescent="0.25">
      <c r="N2576" t="s">
        <v>895</v>
      </c>
      <c r="O2576">
        <v>2576</v>
      </c>
      <c r="P2576" t="str">
        <f t="shared" si="40"/>
        <v xml:space="preserve">[^ftn2576]: </v>
      </c>
    </row>
    <row r="2577" spans="14:16" x14ac:dyDescent="0.25">
      <c r="N2577" t="s">
        <v>895</v>
      </c>
      <c r="O2577">
        <v>2577</v>
      </c>
      <c r="P2577" t="str">
        <f t="shared" si="40"/>
        <v xml:space="preserve">[^ftn2577]: </v>
      </c>
    </row>
    <row r="2578" spans="14:16" x14ac:dyDescent="0.25">
      <c r="N2578" t="s">
        <v>895</v>
      </c>
      <c r="O2578">
        <v>2578</v>
      </c>
      <c r="P2578" t="str">
        <f t="shared" si="40"/>
        <v xml:space="preserve">[^ftn2578]: </v>
      </c>
    </row>
    <row r="2579" spans="14:16" x14ac:dyDescent="0.25">
      <c r="N2579" t="s">
        <v>895</v>
      </c>
      <c r="O2579">
        <v>2579</v>
      </c>
      <c r="P2579" t="str">
        <f t="shared" si="40"/>
        <v xml:space="preserve">[^ftn2579]: </v>
      </c>
    </row>
    <row r="2580" spans="14:16" x14ac:dyDescent="0.25">
      <c r="N2580" t="s">
        <v>895</v>
      </c>
      <c r="O2580">
        <v>2580</v>
      </c>
      <c r="P2580" t="str">
        <f t="shared" si="40"/>
        <v xml:space="preserve">[^ftn2580]: </v>
      </c>
    </row>
    <row r="2581" spans="14:16" x14ac:dyDescent="0.25">
      <c r="N2581" t="s">
        <v>895</v>
      </c>
      <c r="O2581">
        <v>2581</v>
      </c>
      <c r="P2581" t="str">
        <f t="shared" si="40"/>
        <v xml:space="preserve">[^ftn2581]: </v>
      </c>
    </row>
    <row r="2582" spans="14:16" x14ac:dyDescent="0.25">
      <c r="N2582" t="s">
        <v>895</v>
      </c>
      <c r="O2582">
        <v>2582</v>
      </c>
      <c r="P2582" t="str">
        <f t="shared" si="40"/>
        <v xml:space="preserve">[^ftn2582]: </v>
      </c>
    </row>
    <row r="2583" spans="14:16" x14ac:dyDescent="0.25">
      <c r="N2583" t="s">
        <v>895</v>
      </c>
      <c r="O2583">
        <v>2583</v>
      </c>
      <c r="P2583" t="str">
        <f t="shared" si="40"/>
        <v xml:space="preserve">[^ftn2583]: </v>
      </c>
    </row>
    <row r="2584" spans="14:16" x14ac:dyDescent="0.25">
      <c r="N2584" t="s">
        <v>895</v>
      </c>
      <c r="O2584">
        <v>2584</v>
      </c>
      <c r="P2584" t="str">
        <f t="shared" si="40"/>
        <v xml:space="preserve">[^ftn2584]: </v>
      </c>
    </row>
    <row r="2585" spans="14:16" x14ac:dyDescent="0.25">
      <c r="N2585" t="s">
        <v>895</v>
      </c>
      <c r="O2585">
        <v>2585</v>
      </c>
      <c r="P2585" t="str">
        <f t="shared" si="40"/>
        <v xml:space="preserve">[^ftn2585]: </v>
      </c>
    </row>
    <row r="2586" spans="14:16" x14ac:dyDescent="0.25">
      <c r="N2586" t="s">
        <v>895</v>
      </c>
      <c r="O2586">
        <v>2586</v>
      </c>
      <c r="P2586" t="str">
        <f t="shared" si="40"/>
        <v xml:space="preserve">[^ftn2586]: </v>
      </c>
    </row>
    <row r="2587" spans="14:16" x14ac:dyDescent="0.25">
      <c r="N2587" t="s">
        <v>895</v>
      </c>
      <c r="O2587">
        <v>2587</v>
      </c>
      <c r="P2587" t="str">
        <f t="shared" si="40"/>
        <v xml:space="preserve">[^ftn2587]: </v>
      </c>
    </row>
    <row r="2588" spans="14:16" x14ac:dyDescent="0.25">
      <c r="N2588" t="s">
        <v>895</v>
      </c>
      <c r="O2588">
        <v>2588</v>
      </c>
      <c r="P2588" t="str">
        <f t="shared" si="40"/>
        <v xml:space="preserve">[^ftn2588]: </v>
      </c>
    </row>
    <row r="2589" spans="14:16" x14ac:dyDescent="0.25">
      <c r="N2589" t="s">
        <v>895</v>
      </c>
      <c r="O2589">
        <v>2589</v>
      </c>
      <c r="P2589" t="str">
        <f t="shared" si="40"/>
        <v xml:space="preserve">[^ftn2589]: </v>
      </c>
    </row>
    <row r="2590" spans="14:16" x14ac:dyDescent="0.25">
      <c r="N2590" t="s">
        <v>895</v>
      </c>
      <c r="O2590">
        <v>2590</v>
      </c>
      <c r="P2590" t="str">
        <f t="shared" si="40"/>
        <v xml:space="preserve">[^ftn2590]: </v>
      </c>
    </row>
    <row r="2591" spans="14:16" x14ac:dyDescent="0.25">
      <c r="N2591" t="s">
        <v>895</v>
      </c>
      <c r="O2591">
        <v>2591</v>
      </c>
      <c r="P2591" t="str">
        <f t="shared" si="40"/>
        <v xml:space="preserve">[^ftn2591]: </v>
      </c>
    </row>
    <row r="2592" spans="14:16" x14ac:dyDescent="0.25">
      <c r="N2592" t="s">
        <v>895</v>
      </c>
      <c r="O2592">
        <v>2592</v>
      </c>
      <c r="P2592" t="str">
        <f t="shared" si="40"/>
        <v xml:space="preserve">[^ftn2592]: </v>
      </c>
    </row>
    <row r="2593" spans="14:16" x14ac:dyDescent="0.25">
      <c r="N2593" t="s">
        <v>895</v>
      </c>
      <c r="O2593">
        <v>2593</v>
      </c>
      <c r="P2593" t="str">
        <f t="shared" si="40"/>
        <v xml:space="preserve">[^ftn2593]: </v>
      </c>
    </row>
    <row r="2594" spans="14:16" x14ac:dyDescent="0.25">
      <c r="N2594" t="s">
        <v>895</v>
      </c>
      <c r="O2594">
        <v>2594</v>
      </c>
      <c r="P2594" t="str">
        <f t="shared" si="40"/>
        <v xml:space="preserve">[^ftn2594]: </v>
      </c>
    </row>
    <row r="2595" spans="14:16" x14ac:dyDescent="0.25">
      <c r="N2595" t="s">
        <v>895</v>
      </c>
      <c r="O2595">
        <v>2595</v>
      </c>
      <c r="P2595" t="str">
        <f t="shared" si="40"/>
        <v xml:space="preserve">[^ftn2595]: </v>
      </c>
    </row>
    <row r="2596" spans="14:16" x14ac:dyDescent="0.25">
      <c r="N2596" t="s">
        <v>895</v>
      </c>
      <c r="O2596">
        <v>2596</v>
      </c>
      <c r="P2596" t="str">
        <f t="shared" si="40"/>
        <v xml:space="preserve">[^ftn2596]: </v>
      </c>
    </row>
    <row r="2597" spans="14:16" x14ac:dyDescent="0.25">
      <c r="N2597" t="s">
        <v>895</v>
      </c>
      <c r="O2597">
        <v>2597</v>
      </c>
      <c r="P2597" t="str">
        <f t="shared" si="40"/>
        <v xml:space="preserve">[^ftn2597]: </v>
      </c>
    </row>
    <row r="2598" spans="14:16" x14ac:dyDescent="0.25">
      <c r="N2598" t="s">
        <v>895</v>
      </c>
      <c r="O2598">
        <v>2598</v>
      </c>
      <c r="P2598" t="str">
        <f t="shared" si="40"/>
        <v xml:space="preserve">[^ftn2598]: </v>
      </c>
    </row>
    <row r="2599" spans="14:16" x14ac:dyDescent="0.25">
      <c r="N2599" t="s">
        <v>895</v>
      </c>
      <c r="O2599">
        <v>2599</v>
      </c>
      <c r="P2599" t="str">
        <f t="shared" si="40"/>
        <v xml:space="preserve">[^ftn2599]: </v>
      </c>
    </row>
    <row r="2600" spans="14:16" x14ac:dyDescent="0.25">
      <c r="N2600" t="s">
        <v>895</v>
      </c>
      <c r="O2600">
        <v>2600</v>
      </c>
      <c r="P2600" t="str">
        <f t="shared" si="40"/>
        <v xml:space="preserve">[^ftn2600]: </v>
      </c>
    </row>
    <row r="2601" spans="14:16" x14ac:dyDescent="0.25">
      <c r="N2601" t="s">
        <v>895</v>
      </c>
      <c r="O2601">
        <v>2601</v>
      </c>
      <c r="P2601" t="str">
        <f t="shared" si="40"/>
        <v xml:space="preserve">[^ftn2601]: </v>
      </c>
    </row>
    <row r="2602" spans="14:16" x14ac:dyDescent="0.25">
      <c r="N2602" t="s">
        <v>895</v>
      </c>
      <c r="O2602">
        <v>2602</v>
      </c>
      <c r="P2602" t="str">
        <f t="shared" si="40"/>
        <v xml:space="preserve">[^ftn2602]: </v>
      </c>
    </row>
    <row r="2603" spans="14:16" x14ac:dyDescent="0.25">
      <c r="N2603" t="s">
        <v>895</v>
      </c>
      <c r="O2603">
        <v>2603</v>
      </c>
      <c r="P2603" t="str">
        <f t="shared" si="40"/>
        <v xml:space="preserve">[^ftn2603]: </v>
      </c>
    </row>
    <row r="2604" spans="14:16" x14ac:dyDescent="0.25">
      <c r="N2604" t="s">
        <v>895</v>
      </c>
      <c r="O2604">
        <v>2604</v>
      </c>
      <c r="P2604" t="str">
        <f t="shared" si="40"/>
        <v xml:space="preserve">[^ftn2604]: </v>
      </c>
    </row>
    <row r="2605" spans="14:16" x14ac:dyDescent="0.25">
      <c r="N2605" t="s">
        <v>895</v>
      </c>
      <c r="O2605">
        <v>2605</v>
      </c>
      <c r="P2605" t="str">
        <f t="shared" si="40"/>
        <v xml:space="preserve">[^ftn2605]: </v>
      </c>
    </row>
    <row r="2606" spans="14:16" x14ac:dyDescent="0.25">
      <c r="N2606" t="s">
        <v>895</v>
      </c>
      <c r="O2606">
        <v>2606</v>
      </c>
      <c r="P2606" t="str">
        <f t="shared" si="40"/>
        <v xml:space="preserve">[^ftn2606]: </v>
      </c>
    </row>
    <row r="2607" spans="14:16" x14ac:dyDescent="0.25">
      <c r="N2607" t="s">
        <v>895</v>
      </c>
      <c r="O2607">
        <v>2607</v>
      </c>
      <c r="P2607" t="str">
        <f t="shared" si="40"/>
        <v xml:space="preserve">[^ftn2607]: </v>
      </c>
    </row>
    <row r="2608" spans="14:16" x14ac:dyDescent="0.25">
      <c r="N2608" t="s">
        <v>895</v>
      </c>
      <c r="O2608">
        <v>2608</v>
      </c>
      <c r="P2608" t="str">
        <f t="shared" si="40"/>
        <v xml:space="preserve">[^ftn2608]: </v>
      </c>
    </row>
    <row r="2609" spans="14:16" x14ac:dyDescent="0.25">
      <c r="N2609" t="s">
        <v>895</v>
      </c>
      <c r="O2609">
        <v>2609</v>
      </c>
      <c r="P2609" t="str">
        <f t="shared" si="40"/>
        <v xml:space="preserve">[^ftn2609]: </v>
      </c>
    </row>
    <row r="2610" spans="14:16" x14ac:dyDescent="0.25">
      <c r="N2610" t="s">
        <v>895</v>
      </c>
      <c r="O2610">
        <v>2610</v>
      </c>
      <c r="P2610" t="str">
        <f t="shared" si="40"/>
        <v xml:space="preserve">[^ftn2610]: </v>
      </c>
    </row>
    <row r="2611" spans="14:16" x14ac:dyDescent="0.25">
      <c r="N2611" t="s">
        <v>895</v>
      </c>
      <c r="O2611">
        <v>2611</v>
      </c>
      <c r="P2611" t="str">
        <f t="shared" si="40"/>
        <v xml:space="preserve">[^ftn2611]: </v>
      </c>
    </row>
    <row r="2612" spans="14:16" x14ac:dyDescent="0.25">
      <c r="N2612" t="s">
        <v>895</v>
      </c>
      <c r="O2612">
        <v>2612</v>
      </c>
      <c r="P2612" t="str">
        <f t="shared" si="40"/>
        <v xml:space="preserve">[^ftn2612]: </v>
      </c>
    </row>
    <row r="2613" spans="14:16" x14ac:dyDescent="0.25">
      <c r="N2613" t="s">
        <v>895</v>
      </c>
      <c r="O2613">
        <v>2613</v>
      </c>
      <c r="P2613" t="str">
        <f t="shared" si="40"/>
        <v xml:space="preserve">[^ftn2613]: </v>
      </c>
    </row>
    <row r="2614" spans="14:16" x14ac:dyDescent="0.25">
      <c r="N2614" t="s">
        <v>895</v>
      </c>
      <c r="O2614">
        <v>2614</v>
      </c>
      <c r="P2614" t="str">
        <f t="shared" si="40"/>
        <v xml:space="preserve">[^ftn2614]: </v>
      </c>
    </row>
    <row r="2615" spans="14:16" x14ac:dyDescent="0.25">
      <c r="N2615" t="s">
        <v>895</v>
      </c>
      <c r="O2615">
        <v>2615</v>
      </c>
      <c r="P2615" t="str">
        <f t="shared" si="40"/>
        <v xml:space="preserve">[^ftn2615]: </v>
      </c>
    </row>
    <row r="2616" spans="14:16" x14ac:dyDescent="0.25">
      <c r="N2616" t="s">
        <v>895</v>
      </c>
      <c r="O2616">
        <v>2616</v>
      </c>
      <c r="P2616" t="str">
        <f t="shared" si="40"/>
        <v xml:space="preserve">[^ftn2616]: </v>
      </c>
    </row>
    <row r="2617" spans="14:16" x14ac:dyDescent="0.25">
      <c r="N2617" t="s">
        <v>895</v>
      </c>
      <c r="O2617">
        <v>2617</v>
      </c>
      <c r="P2617" t="str">
        <f t="shared" si="40"/>
        <v xml:space="preserve">[^ftn2617]: </v>
      </c>
    </row>
    <row r="2618" spans="14:16" x14ac:dyDescent="0.25">
      <c r="N2618" t="s">
        <v>895</v>
      </c>
      <c r="O2618">
        <v>2618</v>
      </c>
      <c r="P2618" t="str">
        <f t="shared" si="40"/>
        <v xml:space="preserve">[^ftn2618]: </v>
      </c>
    </row>
    <row r="2619" spans="14:16" x14ac:dyDescent="0.25">
      <c r="N2619" t="s">
        <v>895</v>
      </c>
      <c r="O2619">
        <v>2619</v>
      </c>
      <c r="P2619" t="str">
        <f t="shared" si="40"/>
        <v xml:space="preserve">[^ftn2619]: </v>
      </c>
    </row>
    <row r="2620" spans="14:16" x14ac:dyDescent="0.25">
      <c r="N2620" t="s">
        <v>895</v>
      </c>
      <c r="O2620">
        <v>2620</v>
      </c>
      <c r="P2620" t="str">
        <f t="shared" si="40"/>
        <v xml:space="preserve">[^ftn2620]: </v>
      </c>
    </row>
    <row r="2621" spans="14:16" x14ac:dyDescent="0.25">
      <c r="N2621" t="s">
        <v>895</v>
      </c>
      <c r="O2621">
        <v>2621</v>
      </c>
      <c r="P2621" t="str">
        <f t="shared" si="40"/>
        <v xml:space="preserve">[^ftn2621]: </v>
      </c>
    </row>
    <row r="2622" spans="14:16" x14ac:dyDescent="0.25">
      <c r="N2622" t="s">
        <v>895</v>
      </c>
      <c r="O2622">
        <v>2622</v>
      </c>
      <c r="P2622" t="str">
        <f t="shared" si="40"/>
        <v xml:space="preserve">[^ftn2622]: </v>
      </c>
    </row>
    <row r="2623" spans="14:16" x14ac:dyDescent="0.25">
      <c r="N2623" t="s">
        <v>895</v>
      </c>
      <c r="O2623">
        <v>2623</v>
      </c>
      <c r="P2623" t="str">
        <f t="shared" si="40"/>
        <v xml:space="preserve">[^ftn2623]: </v>
      </c>
    </row>
    <row r="2624" spans="14:16" x14ac:dyDescent="0.25">
      <c r="N2624" t="s">
        <v>895</v>
      </c>
      <c r="O2624">
        <v>2624</v>
      </c>
      <c r="P2624" t="str">
        <f t="shared" si="40"/>
        <v xml:space="preserve">[^ftn2624]: </v>
      </c>
    </row>
    <row r="2625" spans="14:16" x14ac:dyDescent="0.25">
      <c r="N2625" t="s">
        <v>895</v>
      </c>
      <c r="O2625">
        <v>2625</v>
      </c>
      <c r="P2625" t="str">
        <f t="shared" si="40"/>
        <v xml:space="preserve">[^ftn2625]: </v>
      </c>
    </row>
    <row r="2626" spans="14:16" x14ac:dyDescent="0.25">
      <c r="N2626" t="s">
        <v>895</v>
      </c>
      <c r="O2626">
        <v>2626</v>
      </c>
      <c r="P2626" t="str">
        <f t="shared" ref="P2626:P2689" si="41">_xlfn.CONCAT("[^ftn",O2626,"]: ",)</f>
        <v xml:space="preserve">[^ftn2626]: </v>
      </c>
    </row>
    <row r="2627" spans="14:16" x14ac:dyDescent="0.25">
      <c r="N2627" t="s">
        <v>895</v>
      </c>
      <c r="O2627">
        <v>2627</v>
      </c>
      <c r="P2627" t="str">
        <f t="shared" si="41"/>
        <v xml:space="preserve">[^ftn2627]: </v>
      </c>
    </row>
    <row r="2628" spans="14:16" x14ac:dyDescent="0.25">
      <c r="N2628" t="s">
        <v>895</v>
      </c>
      <c r="O2628">
        <v>2628</v>
      </c>
      <c r="P2628" t="str">
        <f t="shared" si="41"/>
        <v xml:space="preserve">[^ftn2628]: </v>
      </c>
    </row>
    <row r="2629" spans="14:16" x14ac:dyDescent="0.25">
      <c r="N2629" t="s">
        <v>895</v>
      </c>
      <c r="O2629">
        <v>2629</v>
      </c>
      <c r="P2629" t="str">
        <f t="shared" si="41"/>
        <v xml:space="preserve">[^ftn2629]: </v>
      </c>
    </row>
    <row r="2630" spans="14:16" x14ac:dyDescent="0.25">
      <c r="N2630" t="s">
        <v>895</v>
      </c>
      <c r="O2630">
        <v>2630</v>
      </c>
      <c r="P2630" t="str">
        <f t="shared" si="41"/>
        <v xml:space="preserve">[^ftn2630]: </v>
      </c>
    </row>
    <row r="2631" spans="14:16" x14ac:dyDescent="0.25">
      <c r="N2631" t="s">
        <v>895</v>
      </c>
      <c r="O2631">
        <v>2631</v>
      </c>
      <c r="P2631" t="str">
        <f t="shared" si="41"/>
        <v xml:space="preserve">[^ftn2631]: </v>
      </c>
    </row>
    <row r="2632" spans="14:16" x14ac:dyDescent="0.25">
      <c r="N2632" t="s">
        <v>895</v>
      </c>
      <c r="O2632">
        <v>2632</v>
      </c>
      <c r="P2632" t="str">
        <f t="shared" si="41"/>
        <v xml:space="preserve">[^ftn2632]: </v>
      </c>
    </row>
    <row r="2633" spans="14:16" x14ac:dyDescent="0.25">
      <c r="N2633" t="s">
        <v>895</v>
      </c>
      <c r="O2633">
        <v>2633</v>
      </c>
      <c r="P2633" t="str">
        <f t="shared" si="41"/>
        <v xml:space="preserve">[^ftn2633]: </v>
      </c>
    </row>
    <row r="2634" spans="14:16" x14ac:dyDescent="0.25">
      <c r="N2634" t="s">
        <v>895</v>
      </c>
      <c r="O2634">
        <v>2634</v>
      </c>
      <c r="P2634" t="str">
        <f t="shared" si="41"/>
        <v xml:space="preserve">[^ftn2634]: </v>
      </c>
    </row>
    <row r="2635" spans="14:16" x14ac:dyDescent="0.25">
      <c r="N2635" t="s">
        <v>895</v>
      </c>
      <c r="O2635">
        <v>2635</v>
      </c>
      <c r="P2635" t="str">
        <f t="shared" si="41"/>
        <v xml:space="preserve">[^ftn2635]: </v>
      </c>
    </row>
    <row r="2636" spans="14:16" x14ac:dyDescent="0.25">
      <c r="N2636" t="s">
        <v>895</v>
      </c>
      <c r="O2636">
        <v>2636</v>
      </c>
      <c r="P2636" t="str">
        <f t="shared" si="41"/>
        <v xml:space="preserve">[^ftn2636]: </v>
      </c>
    </row>
    <row r="2637" spans="14:16" x14ac:dyDescent="0.25">
      <c r="N2637" t="s">
        <v>895</v>
      </c>
      <c r="O2637">
        <v>2637</v>
      </c>
      <c r="P2637" t="str">
        <f t="shared" si="41"/>
        <v xml:space="preserve">[^ftn2637]: </v>
      </c>
    </row>
    <row r="2638" spans="14:16" x14ac:dyDescent="0.25">
      <c r="N2638" t="s">
        <v>895</v>
      </c>
      <c r="O2638">
        <v>2638</v>
      </c>
      <c r="P2638" t="str">
        <f t="shared" si="41"/>
        <v xml:space="preserve">[^ftn2638]: </v>
      </c>
    </row>
    <row r="2639" spans="14:16" x14ac:dyDescent="0.25">
      <c r="N2639" t="s">
        <v>895</v>
      </c>
      <c r="O2639">
        <v>2639</v>
      </c>
      <c r="P2639" t="str">
        <f t="shared" si="41"/>
        <v xml:space="preserve">[^ftn2639]: </v>
      </c>
    </row>
    <row r="2640" spans="14:16" x14ac:dyDescent="0.25">
      <c r="N2640" t="s">
        <v>895</v>
      </c>
      <c r="O2640">
        <v>2640</v>
      </c>
      <c r="P2640" t="str">
        <f t="shared" si="41"/>
        <v xml:space="preserve">[^ftn2640]: </v>
      </c>
    </row>
    <row r="2641" spans="14:16" x14ac:dyDescent="0.25">
      <c r="N2641" t="s">
        <v>895</v>
      </c>
      <c r="O2641">
        <v>2641</v>
      </c>
      <c r="P2641" t="str">
        <f t="shared" si="41"/>
        <v xml:space="preserve">[^ftn2641]: </v>
      </c>
    </row>
    <row r="2642" spans="14:16" x14ac:dyDescent="0.25">
      <c r="N2642" t="s">
        <v>895</v>
      </c>
      <c r="O2642">
        <v>2642</v>
      </c>
      <c r="P2642" t="str">
        <f t="shared" si="41"/>
        <v xml:space="preserve">[^ftn2642]: </v>
      </c>
    </row>
    <row r="2643" spans="14:16" x14ac:dyDescent="0.25">
      <c r="N2643" t="s">
        <v>895</v>
      </c>
      <c r="O2643">
        <v>2643</v>
      </c>
      <c r="P2643" t="str">
        <f t="shared" si="41"/>
        <v xml:space="preserve">[^ftn2643]: </v>
      </c>
    </row>
    <row r="2644" spans="14:16" x14ac:dyDescent="0.25">
      <c r="N2644" t="s">
        <v>895</v>
      </c>
      <c r="O2644">
        <v>2644</v>
      </c>
      <c r="P2644" t="str">
        <f t="shared" si="41"/>
        <v xml:space="preserve">[^ftn2644]: </v>
      </c>
    </row>
    <row r="2645" spans="14:16" x14ac:dyDescent="0.25">
      <c r="N2645" t="s">
        <v>895</v>
      </c>
      <c r="O2645">
        <v>2645</v>
      </c>
      <c r="P2645" t="str">
        <f t="shared" si="41"/>
        <v xml:space="preserve">[^ftn2645]: </v>
      </c>
    </row>
    <row r="2646" spans="14:16" x14ac:dyDescent="0.25">
      <c r="N2646" t="s">
        <v>895</v>
      </c>
      <c r="O2646">
        <v>2646</v>
      </c>
      <c r="P2646" t="str">
        <f t="shared" si="41"/>
        <v xml:space="preserve">[^ftn2646]: </v>
      </c>
    </row>
    <row r="2647" spans="14:16" x14ac:dyDescent="0.25">
      <c r="N2647" t="s">
        <v>895</v>
      </c>
      <c r="O2647">
        <v>2647</v>
      </c>
      <c r="P2647" t="str">
        <f t="shared" si="41"/>
        <v xml:space="preserve">[^ftn2647]: </v>
      </c>
    </row>
    <row r="2648" spans="14:16" x14ac:dyDescent="0.25">
      <c r="N2648" t="s">
        <v>895</v>
      </c>
      <c r="O2648">
        <v>2648</v>
      </c>
      <c r="P2648" t="str">
        <f t="shared" si="41"/>
        <v xml:space="preserve">[^ftn2648]: </v>
      </c>
    </row>
    <row r="2649" spans="14:16" x14ac:dyDescent="0.25">
      <c r="N2649" t="s">
        <v>895</v>
      </c>
      <c r="O2649">
        <v>2649</v>
      </c>
      <c r="P2649" t="str">
        <f t="shared" si="41"/>
        <v xml:space="preserve">[^ftn2649]: </v>
      </c>
    </row>
    <row r="2650" spans="14:16" x14ac:dyDescent="0.25">
      <c r="N2650" t="s">
        <v>895</v>
      </c>
      <c r="O2650">
        <v>2650</v>
      </c>
      <c r="P2650" t="str">
        <f t="shared" si="41"/>
        <v xml:space="preserve">[^ftn2650]: </v>
      </c>
    </row>
    <row r="2651" spans="14:16" x14ac:dyDescent="0.25">
      <c r="N2651" t="s">
        <v>895</v>
      </c>
      <c r="O2651">
        <v>2651</v>
      </c>
      <c r="P2651" t="str">
        <f t="shared" si="41"/>
        <v xml:space="preserve">[^ftn2651]: </v>
      </c>
    </row>
    <row r="2652" spans="14:16" x14ac:dyDescent="0.25">
      <c r="N2652" t="s">
        <v>895</v>
      </c>
      <c r="O2652">
        <v>2652</v>
      </c>
      <c r="P2652" t="str">
        <f t="shared" si="41"/>
        <v xml:space="preserve">[^ftn2652]: </v>
      </c>
    </row>
    <row r="2653" spans="14:16" x14ac:dyDescent="0.25">
      <c r="N2653" t="s">
        <v>895</v>
      </c>
      <c r="O2653">
        <v>2653</v>
      </c>
      <c r="P2653" t="str">
        <f t="shared" si="41"/>
        <v xml:space="preserve">[^ftn2653]: </v>
      </c>
    </row>
    <row r="2654" spans="14:16" x14ac:dyDescent="0.25">
      <c r="N2654" t="s">
        <v>895</v>
      </c>
      <c r="O2654">
        <v>2654</v>
      </c>
      <c r="P2654" t="str">
        <f t="shared" si="41"/>
        <v xml:space="preserve">[^ftn2654]: </v>
      </c>
    </row>
    <row r="2655" spans="14:16" x14ac:dyDescent="0.25">
      <c r="N2655" t="s">
        <v>895</v>
      </c>
      <c r="O2655">
        <v>2655</v>
      </c>
      <c r="P2655" t="str">
        <f t="shared" si="41"/>
        <v xml:space="preserve">[^ftn2655]: </v>
      </c>
    </row>
    <row r="2656" spans="14:16" x14ac:dyDescent="0.25">
      <c r="N2656" t="s">
        <v>895</v>
      </c>
      <c r="O2656">
        <v>2656</v>
      </c>
      <c r="P2656" t="str">
        <f t="shared" si="41"/>
        <v xml:space="preserve">[^ftn2656]: </v>
      </c>
    </row>
    <row r="2657" spans="14:16" x14ac:dyDescent="0.25">
      <c r="N2657" t="s">
        <v>895</v>
      </c>
      <c r="O2657">
        <v>2657</v>
      </c>
      <c r="P2657" t="str">
        <f t="shared" si="41"/>
        <v xml:space="preserve">[^ftn2657]: </v>
      </c>
    </row>
    <row r="2658" spans="14:16" x14ac:dyDescent="0.25">
      <c r="N2658" t="s">
        <v>895</v>
      </c>
      <c r="O2658">
        <v>2658</v>
      </c>
      <c r="P2658" t="str">
        <f t="shared" si="41"/>
        <v xml:space="preserve">[^ftn2658]: </v>
      </c>
    </row>
    <row r="2659" spans="14:16" x14ac:dyDescent="0.25">
      <c r="N2659" t="s">
        <v>895</v>
      </c>
      <c r="O2659">
        <v>2659</v>
      </c>
      <c r="P2659" t="str">
        <f t="shared" si="41"/>
        <v xml:space="preserve">[^ftn2659]: </v>
      </c>
    </row>
    <row r="2660" spans="14:16" x14ac:dyDescent="0.25">
      <c r="N2660" t="s">
        <v>895</v>
      </c>
      <c r="O2660">
        <v>2660</v>
      </c>
      <c r="P2660" t="str">
        <f t="shared" si="41"/>
        <v xml:space="preserve">[^ftn2660]: </v>
      </c>
    </row>
    <row r="2661" spans="14:16" x14ac:dyDescent="0.25">
      <c r="N2661" t="s">
        <v>895</v>
      </c>
      <c r="O2661">
        <v>2661</v>
      </c>
      <c r="P2661" t="str">
        <f t="shared" si="41"/>
        <v xml:space="preserve">[^ftn2661]: </v>
      </c>
    </row>
    <row r="2662" spans="14:16" x14ac:dyDescent="0.25">
      <c r="N2662" t="s">
        <v>895</v>
      </c>
      <c r="O2662">
        <v>2662</v>
      </c>
      <c r="P2662" t="str">
        <f t="shared" si="41"/>
        <v xml:space="preserve">[^ftn2662]: </v>
      </c>
    </row>
    <row r="2663" spans="14:16" x14ac:dyDescent="0.25">
      <c r="N2663" t="s">
        <v>895</v>
      </c>
      <c r="O2663">
        <v>2663</v>
      </c>
      <c r="P2663" t="str">
        <f t="shared" si="41"/>
        <v xml:space="preserve">[^ftn2663]: </v>
      </c>
    </row>
    <row r="2664" spans="14:16" x14ac:dyDescent="0.25">
      <c r="N2664" t="s">
        <v>895</v>
      </c>
      <c r="O2664">
        <v>2664</v>
      </c>
      <c r="P2664" t="str">
        <f t="shared" si="41"/>
        <v xml:space="preserve">[^ftn2664]: </v>
      </c>
    </row>
    <row r="2665" spans="14:16" x14ac:dyDescent="0.25">
      <c r="N2665" t="s">
        <v>895</v>
      </c>
      <c r="O2665">
        <v>2665</v>
      </c>
      <c r="P2665" t="str">
        <f t="shared" si="41"/>
        <v xml:space="preserve">[^ftn2665]: </v>
      </c>
    </row>
    <row r="2666" spans="14:16" x14ac:dyDescent="0.25">
      <c r="N2666" t="s">
        <v>895</v>
      </c>
      <c r="O2666">
        <v>2666</v>
      </c>
      <c r="P2666" t="str">
        <f t="shared" si="41"/>
        <v xml:space="preserve">[^ftn2666]: </v>
      </c>
    </row>
    <row r="2667" spans="14:16" x14ac:dyDescent="0.25">
      <c r="N2667" t="s">
        <v>895</v>
      </c>
      <c r="O2667">
        <v>2667</v>
      </c>
      <c r="P2667" t="str">
        <f t="shared" si="41"/>
        <v xml:space="preserve">[^ftn2667]: </v>
      </c>
    </row>
    <row r="2668" spans="14:16" x14ac:dyDescent="0.25">
      <c r="N2668" t="s">
        <v>895</v>
      </c>
      <c r="O2668">
        <v>2668</v>
      </c>
      <c r="P2668" t="str">
        <f t="shared" si="41"/>
        <v xml:space="preserve">[^ftn2668]: </v>
      </c>
    </row>
    <row r="2669" spans="14:16" x14ac:dyDescent="0.25">
      <c r="N2669" t="s">
        <v>895</v>
      </c>
      <c r="O2669">
        <v>2669</v>
      </c>
      <c r="P2669" t="str">
        <f t="shared" si="41"/>
        <v xml:space="preserve">[^ftn2669]: </v>
      </c>
    </row>
    <row r="2670" spans="14:16" x14ac:dyDescent="0.25">
      <c r="N2670" t="s">
        <v>895</v>
      </c>
      <c r="O2670">
        <v>2670</v>
      </c>
      <c r="P2670" t="str">
        <f t="shared" si="41"/>
        <v xml:space="preserve">[^ftn2670]: </v>
      </c>
    </row>
    <row r="2671" spans="14:16" x14ac:dyDescent="0.25">
      <c r="N2671" t="s">
        <v>895</v>
      </c>
      <c r="O2671">
        <v>2671</v>
      </c>
      <c r="P2671" t="str">
        <f t="shared" si="41"/>
        <v xml:space="preserve">[^ftn2671]: </v>
      </c>
    </row>
    <row r="2672" spans="14:16" x14ac:dyDescent="0.25">
      <c r="N2672" t="s">
        <v>895</v>
      </c>
      <c r="O2672">
        <v>2672</v>
      </c>
      <c r="P2672" t="str">
        <f t="shared" si="41"/>
        <v xml:space="preserve">[^ftn2672]: </v>
      </c>
    </row>
    <row r="2673" spans="14:16" x14ac:dyDescent="0.25">
      <c r="N2673" t="s">
        <v>895</v>
      </c>
      <c r="O2673">
        <v>2673</v>
      </c>
      <c r="P2673" t="str">
        <f t="shared" si="41"/>
        <v xml:space="preserve">[^ftn2673]: </v>
      </c>
    </row>
    <row r="2674" spans="14:16" x14ac:dyDescent="0.25">
      <c r="N2674" t="s">
        <v>895</v>
      </c>
      <c r="O2674">
        <v>2674</v>
      </c>
      <c r="P2674" t="str">
        <f t="shared" si="41"/>
        <v xml:space="preserve">[^ftn2674]: </v>
      </c>
    </row>
    <row r="2675" spans="14:16" x14ac:dyDescent="0.25">
      <c r="N2675" t="s">
        <v>895</v>
      </c>
      <c r="O2675">
        <v>2675</v>
      </c>
      <c r="P2675" t="str">
        <f t="shared" si="41"/>
        <v xml:space="preserve">[^ftn2675]: </v>
      </c>
    </row>
    <row r="2676" spans="14:16" x14ac:dyDescent="0.25">
      <c r="N2676" t="s">
        <v>895</v>
      </c>
      <c r="O2676">
        <v>2676</v>
      </c>
      <c r="P2676" t="str">
        <f t="shared" si="41"/>
        <v xml:space="preserve">[^ftn2676]: </v>
      </c>
    </row>
    <row r="2677" spans="14:16" x14ac:dyDescent="0.25">
      <c r="N2677" t="s">
        <v>895</v>
      </c>
      <c r="O2677">
        <v>2677</v>
      </c>
      <c r="P2677" t="str">
        <f t="shared" si="41"/>
        <v xml:space="preserve">[^ftn2677]: </v>
      </c>
    </row>
    <row r="2678" spans="14:16" x14ac:dyDescent="0.25">
      <c r="N2678" t="s">
        <v>895</v>
      </c>
      <c r="O2678">
        <v>2678</v>
      </c>
      <c r="P2678" t="str">
        <f t="shared" si="41"/>
        <v xml:space="preserve">[^ftn2678]: </v>
      </c>
    </row>
    <row r="2679" spans="14:16" x14ac:dyDescent="0.25">
      <c r="N2679" t="s">
        <v>895</v>
      </c>
      <c r="O2679">
        <v>2679</v>
      </c>
      <c r="P2679" t="str">
        <f t="shared" si="41"/>
        <v xml:space="preserve">[^ftn2679]: </v>
      </c>
    </row>
    <row r="2680" spans="14:16" x14ac:dyDescent="0.25">
      <c r="N2680" t="s">
        <v>895</v>
      </c>
      <c r="O2680">
        <v>2680</v>
      </c>
      <c r="P2680" t="str">
        <f t="shared" si="41"/>
        <v xml:space="preserve">[^ftn2680]: </v>
      </c>
    </row>
    <row r="2681" spans="14:16" x14ac:dyDescent="0.25">
      <c r="N2681" t="s">
        <v>895</v>
      </c>
      <c r="O2681">
        <v>2681</v>
      </c>
      <c r="P2681" t="str">
        <f t="shared" si="41"/>
        <v xml:space="preserve">[^ftn2681]: </v>
      </c>
    </row>
    <row r="2682" spans="14:16" x14ac:dyDescent="0.25">
      <c r="N2682" t="s">
        <v>895</v>
      </c>
      <c r="O2682">
        <v>2682</v>
      </c>
      <c r="P2682" t="str">
        <f t="shared" si="41"/>
        <v xml:space="preserve">[^ftn2682]: </v>
      </c>
    </row>
    <row r="2683" spans="14:16" x14ac:dyDescent="0.25">
      <c r="N2683" t="s">
        <v>895</v>
      </c>
      <c r="O2683">
        <v>2683</v>
      </c>
      <c r="P2683" t="str">
        <f t="shared" si="41"/>
        <v xml:space="preserve">[^ftn2683]: </v>
      </c>
    </row>
    <row r="2684" spans="14:16" x14ac:dyDescent="0.25">
      <c r="N2684" t="s">
        <v>895</v>
      </c>
      <c r="O2684">
        <v>2684</v>
      </c>
      <c r="P2684" t="str">
        <f t="shared" si="41"/>
        <v xml:space="preserve">[^ftn2684]: </v>
      </c>
    </row>
    <row r="2685" spans="14:16" x14ac:dyDescent="0.25">
      <c r="N2685" t="s">
        <v>895</v>
      </c>
      <c r="O2685">
        <v>2685</v>
      </c>
      <c r="P2685" t="str">
        <f t="shared" si="41"/>
        <v xml:space="preserve">[^ftn2685]: </v>
      </c>
    </row>
    <row r="2686" spans="14:16" x14ac:dyDescent="0.25">
      <c r="N2686" t="s">
        <v>895</v>
      </c>
      <c r="O2686">
        <v>2686</v>
      </c>
      <c r="P2686" t="str">
        <f t="shared" si="41"/>
        <v xml:space="preserve">[^ftn2686]: </v>
      </c>
    </row>
    <row r="2687" spans="14:16" x14ac:dyDescent="0.25">
      <c r="N2687" t="s">
        <v>895</v>
      </c>
      <c r="O2687">
        <v>2687</v>
      </c>
      <c r="P2687" t="str">
        <f t="shared" si="41"/>
        <v xml:space="preserve">[^ftn2687]: </v>
      </c>
    </row>
    <row r="2688" spans="14:16" x14ac:dyDescent="0.25">
      <c r="N2688" t="s">
        <v>895</v>
      </c>
      <c r="O2688">
        <v>2688</v>
      </c>
      <c r="P2688" t="str">
        <f t="shared" si="41"/>
        <v xml:space="preserve">[^ftn2688]: </v>
      </c>
    </row>
    <row r="2689" spans="14:16" x14ac:dyDescent="0.25">
      <c r="N2689" t="s">
        <v>895</v>
      </c>
      <c r="O2689">
        <v>2689</v>
      </c>
      <c r="P2689" t="str">
        <f t="shared" si="41"/>
        <v xml:space="preserve">[^ftn2689]: </v>
      </c>
    </row>
    <row r="2690" spans="14:16" x14ac:dyDescent="0.25">
      <c r="N2690" t="s">
        <v>895</v>
      </c>
      <c r="O2690">
        <v>2690</v>
      </c>
      <c r="P2690" t="str">
        <f t="shared" ref="P2690:P2753" si="42">_xlfn.CONCAT("[^ftn",O2690,"]: ",)</f>
        <v xml:space="preserve">[^ftn2690]: </v>
      </c>
    </row>
    <row r="2691" spans="14:16" x14ac:dyDescent="0.25">
      <c r="N2691" t="s">
        <v>895</v>
      </c>
      <c r="O2691">
        <v>2691</v>
      </c>
      <c r="P2691" t="str">
        <f t="shared" si="42"/>
        <v xml:space="preserve">[^ftn2691]: </v>
      </c>
    </row>
    <row r="2692" spans="14:16" x14ac:dyDescent="0.25">
      <c r="N2692" t="s">
        <v>895</v>
      </c>
      <c r="O2692">
        <v>2692</v>
      </c>
      <c r="P2692" t="str">
        <f t="shared" si="42"/>
        <v xml:space="preserve">[^ftn2692]: </v>
      </c>
    </row>
    <row r="2693" spans="14:16" x14ac:dyDescent="0.25">
      <c r="N2693" t="s">
        <v>895</v>
      </c>
      <c r="O2693">
        <v>2693</v>
      </c>
      <c r="P2693" t="str">
        <f t="shared" si="42"/>
        <v xml:space="preserve">[^ftn2693]: </v>
      </c>
    </row>
    <row r="2694" spans="14:16" x14ac:dyDescent="0.25">
      <c r="N2694" t="s">
        <v>895</v>
      </c>
      <c r="O2694">
        <v>2694</v>
      </c>
      <c r="P2694" t="str">
        <f t="shared" si="42"/>
        <v xml:space="preserve">[^ftn2694]: </v>
      </c>
    </row>
    <row r="2695" spans="14:16" x14ac:dyDescent="0.25">
      <c r="N2695" t="s">
        <v>895</v>
      </c>
      <c r="O2695">
        <v>2695</v>
      </c>
      <c r="P2695" t="str">
        <f t="shared" si="42"/>
        <v xml:space="preserve">[^ftn2695]: </v>
      </c>
    </row>
    <row r="2696" spans="14:16" x14ac:dyDescent="0.25">
      <c r="N2696" t="s">
        <v>895</v>
      </c>
      <c r="O2696">
        <v>2696</v>
      </c>
      <c r="P2696" t="str">
        <f t="shared" si="42"/>
        <v xml:space="preserve">[^ftn2696]: </v>
      </c>
    </row>
    <row r="2697" spans="14:16" x14ac:dyDescent="0.25">
      <c r="N2697" t="s">
        <v>895</v>
      </c>
      <c r="O2697">
        <v>2697</v>
      </c>
      <c r="P2697" t="str">
        <f t="shared" si="42"/>
        <v xml:space="preserve">[^ftn2697]: </v>
      </c>
    </row>
    <row r="2698" spans="14:16" x14ac:dyDescent="0.25">
      <c r="N2698" t="s">
        <v>895</v>
      </c>
      <c r="O2698">
        <v>2698</v>
      </c>
      <c r="P2698" t="str">
        <f t="shared" si="42"/>
        <v xml:space="preserve">[^ftn2698]: </v>
      </c>
    </row>
    <row r="2699" spans="14:16" x14ac:dyDescent="0.25">
      <c r="N2699" t="s">
        <v>895</v>
      </c>
      <c r="O2699">
        <v>2699</v>
      </c>
      <c r="P2699" t="str">
        <f t="shared" si="42"/>
        <v xml:space="preserve">[^ftn2699]: </v>
      </c>
    </row>
    <row r="2700" spans="14:16" x14ac:dyDescent="0.25">
      <c r="N2700" t="s">
        <v>895</v>
      </c>
      <c r="O2700">
        <v>2700</v>
      </c>
      <c r="P2700" t="str">
        <f t="shared" si="42"/>
        <v xml:space="preserve">[^ftn2700]: </v>
      </c>
    </row>
    <row r="2701" spans="14:16" x14ac:dyDescent="0.25">
      <c r="N2701" t="s">
        <v>895</v>
      </c>
      <c r="O2701">
        <v>2701</v>
      </c>
      <c r="P2701" t="str">
        <f t="shared" si="42"/>
        <v xml:space="preserve">[^ftn2701]: </v>
      </c>
    </row>
    <row r="2702" spans="14:16" x14ac:dyDescent="0.25">
      <c r="N2702" t="s">
        <v>895</v>
      </c>
      <c r="O2702">
        <v>2702</v>
      </c>
      <c r="P2702" t="str">
        <f t="shared" si="42"/>
        <v xml:space="preserve">[^ftn2702]: </v>
      </c>
    </row>
    <row r="2703" spans="14:16" x14ac:dyDescent="0.25">
      <c r="N2703" t="s">
        <v>895</v>
      </c>
      <c r="O2703">
        <v>2703</v>
      </c>
      <c r="P2703" t="str">
        <f t="shared" si="42"/>
        <v xml:space="preserve">[^ftn2703]: </v>
      </c>
    </row>
    <row r="2704" spans="14:16" x14ac:dyDescent="0.25">
      <c r="N2704" t="s">
        <v>895</v>
      </c>
      <c r="O2704">
        <v>2704</v>
      </c>
      <c r="P2704" t="str">
        <f t="shared" si="42"/>
        <v xml:space="preserve">[^ftn2704]: </v>
      </c>
    </row>
    <row r="2705" spans="14:16" x14ac:dyDescent="0.25">
      <c r="N2705" t="s">
        <v>895</v>
      </c>
      <c r="O2705">
        <v>2705</v>
      </c>
      <c r="P2705" t="str">
        <f t="shared" si="42"/>
        <v xml:space="preserve">[^ftn2705]: </v>
      </c>
    </row>
    <row r="2706" spans="14:16" x14ac:dyDescent="0.25">
      <c r="N2706" t="s">
        <v>895</v>
      </c>
      <c r="O2706">
        <v>2706</v>
      </c>
      <c r="P2706" t="str">
        <f t="shared" si="42"/>
        <v xml:space="preserve">[^ftn2706]: </v>
      </c>
    </row>
    <row r="2707" spans="14:16" x14ac:dyDescent="0.25">
      <c r="N2707" t="s">
        <v>895</v>
      </c>
      <c r="O2707">
        <v>2707</v>
      </c>
      <c r="P2707" t="str">
        <f t="shared" si="42"/>
        <v xml:space="preserve">[^ftn2707]: </v>
      </c>
    </row>
    <row r="2708" spans="14:16" x14ac:dyDescent="0.25">
      <c r="N2708" t="s">
        <v>895</v>
      </c>
      <c r="O2708">
        <v>2708</v>
      </c>
      <c r="P2708" t="str">
        <f t="shared" si="42"/>
        <v xml:space="preserve">[^ftn2708]: </v>
      </c>
    </row>
    <row r="2709" spans="14:16" x14ac:dyDescent="0.25">
      <c r="N2709" t="s">
        <v>895</v>
      </c>
      <c r="O2709">
        <v>2709</v>
      </c>
      <c r="P2709" t="str">
        <f t="shared" si="42"/>
        <v xml:space="preserve">[^ftn2709]: </v>
      </c>
    </row>
    <row r="2710" spans="14:16" x14ac:dyDescent="0.25">
      <c r="N2710" t="s">
        <v>895</v>
      </c>
      <c r="O2710">
        <v>2710</v>
      </c>
      <c r="P2710" t="str">
        <f t="shared" si="42"/>
        <v xml:space="preserve">[^ftn2710]: </v>
      </c>
    </row>
    <row r="2711" spans="14:16" x14ac:dyDescent="0.25">
      <c r="N2711" t="s">
        <v>895</v>
      </c>
      <c r="O2711">
        <v>2711</v>
      </c>
      <c r="P2711" t="str">
        <f t="shared" si="42"/>
        <v xml:space="preserve">[^ftn2711]: </v>
      </c>
    </row>
    <row r="2712" spans="14:16" x14ac:dyDescent="0.25">
      <c r="N2712" t="s">
        <v>895</v>
      </c>
      <c r="O2712">
        <v>2712</v>
      </c>
      <c r="P2712" t="str">
        <f t="shared" si="42"/>
        <v xml:space="preserve">[^ftn2712]: </v>
      </c>
    </row>
    <row r="2713" spans="14:16" x14ac:dyDescent="0.25">
      <c r="N2713" t="s">
        <v>895</v>
      </c>
      <c r="O2713">
        <v>2713</v>
      </c>
      <c r="P2713" t="str">
        <f t="shared" si="42"/>
        <v xml:space="preserve">[^ftn2713]: </v>
      </c>
    </row>
    <row r="2714" spans="14:16" x14ac:dyDescent="0.25">
      <c r="N2714" t="s">
        <v>895</v>
      </c>
      <c r="O2714">
        <v>2714</v>
      </c>
      <c r="P2714" t="str">
        <f t="shared" si="42"/>
        <v xml:space="preserve">[^ftn2714]: </v>
      </c>
    </row>
    <row r="2715" spans="14:16" x14ac:dyDescent="0.25">
      <c r="N2715" t="s">
        <v>895</v>
      </c>
      <c r="O2715">
        <v>2715</v>
      </c>
      <c r="P2715" t="str">
        <f t="shared" si="42"/>
        <v xml:space="preserve">[^ftn2715]: </v>
      </c>
    </row>
    <row r="2716" spans="14:16" x14ac:dyDescent="0.25">
      <c r="N2716" t="s">
        <v>895</v>
      </c>
      <c r="O2716">
        <v>2716</v>
      </c>
      <c r="P2716" t="str">
        <f t="shared" si="42"/>
        <v xml:space="preserve">[^ftn2716]: </v>
      </c>
    </row>
    <row r="2717" spans="14:16" x14ac:dyDescent="0.25">
      <c r="N2717" t="s">
        <v>895</v>
      </c>
      <c r="O2717">
        <v>2717</v>
      </c>
      <c r="P2717" t="str">
        <f t="shared" si="42"/>
        <v xml:space="preserve">[^ftn2717]: </v>
      </c>
    </row>
    <row r="2718" spans="14:16" x14ac:dyDescent="0.25">
      <c r="N2718" t="s">
        <v>895</v>
      </c>
      <c r="O2718">
        <v>2718</v>
      </c>
      <c r="P2718" t="str">
        <f t="shared" si="42"/>
        <v xml:space="preserve">[^ftn2718]: </v>
      </c>
    </row>
    <row r="2719" spans="14:16" x14ac:dyDescent="0.25">
      <c r="N2719" t="s">
        <v>895</v>
      </c>
      <c r="O2719">
        <v>2719</v>
      </c>
      <c r="P2719" t="str">
        <f t="shared" si="42"/>
        <v xml:space="preserve">[^ftn2719]: </v>
      </c>
    </row>
    <row r="2720" spans="14:16" x14ac:dyDescent="0.25">
      <c r="N2720" t="s">
        <v>895</v>
      </c>
      <c r="O2720">
        <v>2720</v>
      </c>
      <c r="P2720" t="str">
        <f t="shared" si="42"/>
        <v xml:space="preserve">[^ftn2720]: </v>
      </c>
    </row>
    <row r="2721" spans="14:16" x14ac:dyDescent="0.25">
      <c r="N2721" t="s">
        <v>895</v>
      </c>
      <c r="O2721">
        <v>2721</v>
      </c>
      <c r="P2721" t="str">
        <f t="shared" si="42"/>
        <v xml:space="preserve">[^ftn2721]: </v>
      </c>
    </row>
    <row r="2722" spans="14:16" x14ac:dyDescent="0.25">
      <c r="N2722" t="s">
        <v>895</v>
      </c>
      <c r="O2722">
        <v>2722</v>
      </c>
      <c r="P2722" t="str">
        <f t="shared" si="42"/>
        <v xml:space="preserve">[^ftn2722]: </v>
      </c>
    </row>
    <row r="2723" spans="14:16" x14ac:dyDescent="0.25">
      <c r="N2723" t="s">
        <v>895</v>
      </c>
      <c r="O2723">
        <v>2723</v>
      </c>
      <c r="P2723" t="str">
        <f t="shared" si="42"/>
        <v xml:space="preserve">[^ftn2723]: </v>
      </c>
    </row>
    <row r="2724" spans="14:16" x14ac:dyDescent="0.25">
      <c r="N2724" t="s">
        <v>895</v>
      </c>
      <c r="O2724">
        <v>2724</v>
      </c>
      <c r="P2724" t="str">
        <f t="shared" si="42"/>
        <v xml:space="preserve">[^ftn2724]: </v>
      </c>
    </row>
    <row r="2725" spans="14:16" x14ac:dyDescent="0.25">
      <c r="N2725" t="s">
        <v>895</v>
      </c>
      <c r="O2725">
        <v>2725</v>
      </c>
      <c r="P2725" t="str">
        <f t="shared" si="42"/>
        <v xml:space="preserve">[^ftn2725]: </v>
      </c>
    </row>
    <row r="2726" spans="14:16" x14ac:dyDescent="0.25">
      <c r="N2726" t="s">
        <v>895</v>
      </c>
      <c r="O2726">
        <v>2726</v>
      </c>
      <c r="P2726" t="str">
        <f t="shared" si="42"/>
        <v xml:space="preserve">[^ftn2726]: </v>
      </c>
    </row>
    <row r="2727" spans="14:16" x14ac:dyDescent="0.25">
      <c r="N2727" t="s">
        <v>895</v>
      </c>
      <c r="O2727">
        <v>2727</v>
      </c>
      <c r="P2727" t="str">
        <f t="shared" si="42"/>
        <v xml:space="preserve">[^ftn2727]: </v>
      </c>
    </row>
    <row r="2728" spans="14:16" x14ac:dyDescent="0.25">
      <c r="N2728" t="s">
        <v>895</v>
      </c>
      <c r="O2728">
        <v>2728</v>
      </c>
      <c r="P2728" t="str">
        <f t="shared" si="42"/>
        <v xml:space="preserve">[^ftn2728]: </v>
      </c>
    </row>
    <row r="2729" spans="14:16" x14ac:dyDescent="0.25">
      <c r="N2729" t="s">
        <v>895</v>
      </c>
      <c r="O2729">
        <v>2729</v>
      </c>
      <c r="P2729" t="str">
        <f t="shared" si="42"/>
        <v xml:space="preserve">[^ftn2729]: </v>
      </c>
    </row>
    <row r="2730" spans="14:16" x14ac:dyDescent="0.25">
      <c r="N2730" t="s">
        <v>895</v>
      </c>
      <c r="O2730">
        <v>2730</v>
      </c>
      <c r="P2730" t="str">
        <f t="shared" si="42"/>
        <v xml:space="preserve">[^ftn2730]: </v>
      </c>
    </row>
    <row r="2731" spans="14:16" x14ac:dyDescent="0.25">
      <c r="N2731" t="s">
        <v>895</v>
      </c>
      <c r="O2731">
        <v>2731</v>
      </c>
      <c r="P2731" t="str">
        <f t="shared" si="42"/>
        <v xml:space="preserve">[^ftn2731]: </v>
      </c>
    </row>
    <row r="2732" spans="14:16" x14ac:dyDescent="0.25">
      <c r="N2732" t="s">
        <v>895</v>
      </c>
      <c r="O2732">
        <v>2732</v>
      </c>
      <c r="P2732" t="str">
        <f t="shared" si="42"/>
        <v xml:space="preserve">[^ftn2732]: </v>
      </c>
    </row>
    <row r="2733" spans="14:16" x14ac:dyDescent="0.25">
      <c r="N2733" t="s">
        <v>895</v>
      </c>
      <c r="O2733">
        <v>2733</v>
      </c>
      <c r="P2733" t="str">
        <f t="shared" si="42"/>
        <v xml:space="preserve">[^ftn2733]: </v>
      </c>
    </row>
    <row r="2734" spans="14:16" x14ac:dyDescent="0.25">
      <c r="N2734" t="s">
        <v>895</v>
      </c>
      <c r="O2734">
        <v>2734</v>
      </c>
      <c r="P2734" t="str">
        <f t="shared" si="42"/>
        <v xml:space="preserve">[^ftn2734]: </v>
      </c>
    </row>
    <row r="2735" spans="14:16" x14ac:dyDescent="0.25">
      <c r="N2735" t="s">
        <v>895</v>
      </c>
      <c r="O2735">
        <v>2735</v>
      </c>
      <c r="P2735" t="str">
        <f t="shared" si="42"/>
        <v xml:space="preserve">[^ftn2735]: </v>
      </c>
    </row>
    <row r="2736" spans="14:16" x14ac:dyDescent="0.25">
      <c r="N2736" t="s">
        <v>895</v>
      </c>
      <c r="O2736">
        <v>2736</v>
      </c>
      <c r="P2736" t="str">
        <f t="shared" si="42"/>
        <v xml:space="preserve">[^ftn2736]: </v>
      </c>
    </row>
    <row r="2737" spans="14:16" x14ac:dyDescent="0.25">
      <c r="N2737" t="s">
        <v>895</v>
      </c>
      <c r="O2737">
        <v>2737</v>
      </c>
      <c r="P2737" t="str">
        <f t="shared" si="42"/>
        <v xml:space="preserve">[^ftn2737]: </v>
      </c>
    </row>
    <row r="2738" spans="14:16" x14ac:dyDescent="0.25">
      <c r="N2738" t="s">
        <v>895</v>
      </c>
      <c r="O2738">
        <v>2738</v>
      </c>
      <c r="P2738" t="str">
        <f t="shared" si="42"/>
        <v xml:space="preserve">[^ftn2738]: </v>
      </c>
    </row>
    <row r="2739" spans="14:16" x14ac:dyDescent="0.25">
      <c r="N2739" t="s">
        <v>895</v>
      </c>
      <c r="O2739">
        <v>2739</v>
      </c>
      <c r="P2739" t="str">
        <f t="shared" si="42"/>
        <v xml:space="preserve">[^ftn2739]: </v>
      </c>
    </row>
    <row r="2740" spans="14:16" x14ac:dyDescent="0.25">
      <c r="N2740" t="s">
        <v>895</v>
      </c>
      <c r="O2740">
        <v>2740</v>
      </c>
      <c r="P2740" t="str">
        <f t="shared" si="42"/>
        <v xml:space="preserve">[^ftn2740]: </v>
      </c>
    </row>
    <row r="2741" spans="14:16" x14ac:dyDescent="0.25">
      <c r="N2741" t="s">
        <v>895</v>
      </c>
      <c r="O2741">
        <v>2741</v>
      </c>
      <c r="P2741" t="str">
        <f t="shared" si="42"/>
        <v xml:space="preserve">[^ftn2741]: </v>
      </c>
    </row>
    <row r="2742" spans="14:16" x14ac:dyDescent="0.25">
      <c r="N2742" t="s">
        <v>895</v>
      </c>
      <c r="O2742">
        <v>2742</v>
      </c>
      <c r="P2742" t="str">
        <f t="shared" si="42"/>
        <v xml:space="preserve">[^ftn2742]: </v>
      </c>
    </row>
    <row r="2743" spans="14:16" x14ac:dyDescent="0.25">
      <c r="N2743" t="s">
        <v>895</v>
      </c>
      <c r="O2743">
        <v>2743</v>
      </c>
      <c r="P2743" t="str">
        <f t="shared" si="42"/>
        <v xml:space="preserve">[^ftn2743]: </v>
      </c>
    </row>
    <row r="2744" spans="14:16" x14ac:dyDescent="0.25">
      <c r="N2744" t="s">
        <v>895</v>
      </c>
      <c r="O2744">
        <v>2744</v>
      </c>
      <c r="P2744" t="str">
        <f t="shared" si="42"/>
        <v xml:space="preserve">[^ftn2744]: </v>
      </c>
    </row>
    <row r="2745" spans="14:16" x14ac:dyDescent="0.25">
      <c r="N2745" t="s">
        <v>895</v>
      </c>
      <c r="O2745">
        <v>2745</v>
      </c>
      <c r="P2745" t="str">
        <f t="shared" si="42"/>
        <v xml:space="preserve">[^ftn2745]: </v>
      </c>
    </row>
    <row r="2746" spans="14:16" x14ac:dyDescent="0.25">
      <c r="N2746" t="s">
        <v>895</v>
      </c>
      <c r="O2746">
        <v>2746</v>
      </c>
      <c r="P2746" t="str">
        <f t="shared" si="42"/>
        <v xml:space="preserve">[^ftn2746]: </v>
      </c>
    </row>
    <row r="2747" spans="14:16" x14ac:dyDescent="0.25">
      <c r="N2747" t="s">
        <v>895</v>
      </c>
      <c r="O2747">
        <v>2747</v>
      </c>
      <c r="P2747" t="str">
        <f t="shared" si="42"/>
        <v xml:space="preserve">[^ftn2747]: </v>
      </c>
    </row>
    <row r="2748" spans="14:16" x14ac:dyDescent="0.25">
      <c r="N2748" t="s">
        <v>895</v>
      </c>
      <c r="O2748">
        <v>2748</v>
      </c>
      <c r="P2748" t="str">
        <f t="shared" si="42"/>
        <v xml:space="preserve">[^ftn2748]: </v>
      </c>
    </row>
    <row r="2749" spans="14:16" x14ac:dyDescent="0.25">
      <c r="N2749" t="s">
        <v>895</v>
      </c>
      <c r="O2749">
        <v>2749</v>
      </c>
      <c r="P2749" t="str">
        <f t="shared" si="42"/>
        <v xml:space="preserve">[^ftn2749]: </v>
      </c>
    </row>
    <row r="2750" spans="14:16" x14ac:dyDescent="0.25">
      <c r="N2750" t="s">
        <v>895</v>
      </c>
      <c r="O2750">
        <v>2750</v>
      </c>
      <c r="P2750" t="str">
        <f t="shared" si="42"/>
        <v xml:space="preserve">[^ftn2750]: </v>
      </c>
    </row>
    <row r="2751" spans="14:16" x14ac:dyDescent="0.25">
      <c r="N2751" t="s">
        <v>895</v>
      </c>
      <c r="O2751">
        <v>2751</v>
      </c>
      <c r="P2751" t="str">
        <f t="shared" si="42"/>
        <v xml:space="preserve">[^ftn2751]: </v>
      </c>
    </row>
    <row r="2752" spans="14:16" x14ac:dyDescent="0.25">
      <c r="N2752" t="s">
        <v>895</v>
      </c>
      <c r="O2752">
        <v>2752</v>
      </c>
      <c r="P2752" t="str">
        <f t="shared" si="42"/>
        <v xml:space="preserve">[^ftn2752]: </v>
      </c>
    </row>
    <row r="2753" spans="14:16" x14ac:dyDescent="0.25">
      <c r="N2753" t="s">
        <v>895</v>
      </c>
      <c r="O2753">
        <v>2753</v>
      </c>
      <c r="P2753" t="str">
        <f t="shared" si="42"/>
        <v xml:space="preserve">[^ftn2753]: </v>
      </c>
    </row>
    <row r="2754" spans="14:16" x14ac:dyDescent="0.25">
      <c r="N2754" t="s">
        <v>895</v>
      </c>
      <c r="O2754">
        <v>2754</v>
      </c>
      <c r="P2754" t="str">
        <f t="shared" ref="P2754:P2817" si="43">_xlfn.CONCAT("[^ftn",O2754,"]: ",)</f>
        <v xml:space="preserve">[^ftn2754]: </v>
      </c>
    </row>
    <row r="2755" spans="14:16" x14ac:dyDescent="0.25">
      <c r="N2755" t="s">
        <v>895</v>
      </c>
      <c r="O2755">
        <v>2755</v>
      </c>
      <c r="P2755" t="str">
        <f t="shared" si="43"/>
        <v xml:space="preserve">[^ftn2755]: </v>
      </c>
    </row>
    <row r="2756" spans="14:16" x14ac:dyDescent="0.25">
      <c r="N2756" t="s">
        <v>895</v>
      </c>
      <c r="O2756">
        <v>2756</v>
      </c>
      <c r="P2756" t="str">
        <f t="shared" si="43"/>
        <v xml:space="preserve">[^ftn2756]: </v>
      </c>
    </row>
    <row r="2757" spans="14:16" x14ac:dyDescent="0.25">
      <c r="N2757" t="s">
        <v>895</v>
      </c>
      <c r="O2757">
        <v>2757</v>
      </c>
      <c r="P2757" t="str">
        <f t="shared" si="43"/>
        <v xml:space="preserve">[^ftn2757]: </v>
      </c>
    </row>
    <row r="2758" spans="14:16" x14ac:dyDescent="0.25">
      <c r="N2758" t="s">
        <v>895</v>
      </c>
      <c r="O2758">
        <v>2758</v>
      </c>
      <c r="P2758" t="str">
        <f t="shared" si="43"/>
        <v xml:space="preserve">[^ftn2758]: </v>
      </c>
    </row>
    <row r="2759" spans="14:16" x14ac:dyDescent="0.25">
      <c r="N2759" t="s">
        <v>895</v>
      </c>
      <c r="O2759">
        <v>2759</v>
      </c>
      <c r="P2759" t="str">
        <f t="shared" si="43"/>
        <v xml:space="preserve">[^ftn2759]: </v>
      </c>
    </row>
    <row r="2760" spans="14:16" x14ac:dyDescent="0.25">
      <c r="N2760" t="s">
        <v>895</v>
      </c>
      <c r="O2760">
        <v>2760</v>
      </c>
      <c r="P2760" t="str">
        <f t="shared" si="43"/>
        <v xml:space="preserve">[^ftn2760]: </v>
      </c>
    </row>
    <row r="2761" spans="14:16" x14ac:dyDescent="0.25">
      <c r="N2761" t="s">
        <v>895</v>
      </c>
      <c r="O2761">
        <v>2761</v>
      </c>
      <c r="P2761" t="str">
        <f t="shared" si="43"/>
        <v xml:space="preserve">[^ftn2761]: </v>
      </c>
    </row>
    <row r="2762" spans="14:16" x14ac:dyDescent="0.25">
      <c r="N2762" t="s">
        <v>895</v>
      </c>
      <c r="O2762">
        <v>2762</v>
      </c>
      <c r="P2762" t="str">
        <f t="shared" si="43"/>
        <v xml:space="preserve">[^ftn2762]: </v>
      </c>
    </row>
    <row r="2763" spans="14:16" x14ac:dyDescent="0.25">
      <c r="N2763" t="s">
        <v>895</v>
      </c>
      <c r="O2763">
        <v>2763</v>
      </c>
      <c r="P2763" t="str">
        <f t="shared" si="43"/>
        <v xml:space="preserve">[^ftn2763]: </v>
      </c>
    </row>
    <row r="2764" spans="14:16" x14ac:dyDescent="0.25">
      <c r="N2764" t="s">
        <v>895</v>
      </c>
      <c r="O2764">
        <v>2764</v>
      </c>
      <c r="P2764" t="str">
        <f t="shared" si="43"/>
        <v xml:space="preserve">[^ftn2764]: </v>
      </c>
    </row>
    <row r="2765" spans="14:16" x14ac:dyDescent="0.25">
      <c r="N2765" t="s">
        <v>895</v>
      </c>
      <c r="O2765">
        <v>2765</v>
      </c>
      <c r="P2765" t="str">
        <f t="shared" si="43"/>
        <v xml:space="preserve">[^ftn2765]: </v>
      </c>
    </row>
    <row r="2766" spans="14:16" x14ac:dyDescent="0.25">
      <c r="N2766" t="s">
        <v>895</v>
      </c>
      <c r="O2766">
        <v>2766</v>
      </c>
      <c r="P2766" t="str">
        <f t="shared" si="43"/>
        <v xml:space="preserve">[^ftn2766]: </v>
      </c>
    </row>
    <row r="2767" spans="14:16" x14ac:dyDescent="0.25">
      <c r="N2767" t="s">
        <v>895</v>
      </c>
      <c r="O2767">
        <v>2767</v>
      </c>
      <c r="P2767" t="str">
        <f t="shared" si="43"/>
        <v xml:space="preserve">[^ftn2767]: </v>
      </c>
    </row>
    <row r="2768" spans="14:16" x14ac:dyDescent="0.25">
      <c r="N2768" t="s">
        <v>895</v>
      </c>
      <c r="O2768">
        <v>2768</v>
      </c>
      <c r="P2768" t="str">
        <f t="shared" si="43"/>
        <v xml:space="preserve">[^ftn2768]: </v>
      </c>
    </row>
    <row r="2769" spans="14:16" x14ac:dyDescent="0.25">
      <c r="N2769" t="s">
        <v>895</v>
      </c>
      <c r="O2769">
        <v>2769</v>
      </c>
      <c r="P2769" t="str">
        <f t="shared" si="43"/>
        <v xml:space="preserve">[^ftn2769]: </v>
      </c>
    </row>
    <row r="2770" spans="14:16" x14ac:dyDescent="0.25">
      <c r="N2770" t="s">
        <v>895</v>
      </c>
      <c r="O2770">
        <v>2770</v>
      </c>
      <c r="P2770" t="str">
        <f t="shared" si="43"/>
        <v xml:space="preserve">[^ftn2770]: </v>
      </c>
    </row>
    <row r="2771" spans="14:16" x14ac:dyDescent="0.25">
      <c r="N2771" t="s">
        <v>895</v>
      </c>
      <c r="O2771">
        <v>2771</v>
      </c>
      <c r="P2771" t="str">
        <f t="shared" si="43"/>
        <v xml:space="preserve">[^ftn2771]: </v>
      </c>
    </row>
    <row r="2772" spans="14:16" x14ac:dyDescent="0.25">
      <c r="N2772" t="s">
        <v>895</v>
      </c>
      <c r="O2772">
        <v>2772</v>
      </c>
      <c r="P2772" t="str">
        <f t="shared" si="43"/>
        <v xml:space="preserve">[^ftn2772]: </v>
      </c>
    </row>
    <row r="2773" spans="14:16" x14ac:dyDescent="0.25">
      <c r="N2773" t="s">
        <v>895</v>
      </c>
      <c r="O2773">
        <v>2773</v>
      </c>
      <c r="P2773" t="str">
        <f t="shared" si="43"/>
        <v xml:space="preserve">[^ftn2773]: </v>
      </c>
    </row>
    <row r="2774" spans="14:16" x14ac:dyDescent="0.25">
      <c r="N2774" t="s">
        <v>895</v>
      </c>
      <c r="O2774">
        <v>2774</v>
      </c>
      <c r="P2774" t="str">
        <f t="shared" si="43"/>
        <v xml:space="preserve">[^ftn2774]: </v>
      </c>
    </row>
    <row r="2775" spans="14:16" x14ac:dyDescent="0.25">
      <c r="N2775" t="s">
        <v>895</v>
      </c>
      <c r="O2775">
        <v>2775</v>
      </c>
      <c r="P2775" t="str">
        <f t="shared" si="43"/>
        <v xml:space="preserve">[^ftn2775]: </v>
      </c>
    </row>
    <row r="2776" spans="14:16" x14ac:dyDescent="0.25">
      <c r="N2776" t="s">
        <v>895</v>
      </c>
      <c r="O2776">
        <v>2776</v>
      </c>
      <c r="P2776" t="str">
        <f t="shared" si="43"/>
        <v xml:space="preserve">[^ftn2776]: </v>
      </c>
    </row>
    <row r="2777" spans="14:16" x14ac:dyDescent="0.25">
      <c r="N2777" t="s">
        <v>895</v>
      </c>
      <c r="O2777">
        <v>2777</v>
      </c>
      <c r="P2777" t="str">
        <f t="shared" si="43"/>
        <v xml:space="preserve">[^ftn2777]: </v>
      </c>
    </row>
    <row r="2778" spans="14:16" x14ac:dyDescent="0.25">
      <c r="N2778" t="s">
        <v>895</v>
      </c>
      <c r="O2778">
        <v>2778</v>
      </c>
      <c r="P2778" t="str">
        <f t="shared" si="43"/>
        <v xml:space="preserve">[^ftn2778]: </v>
      </c>
    </row>
    <row r="2779" spans="14:16" x14ac:dyDescent="0.25">
      <c r="N2779" t="s">
        <v>895</v>
      </c>
      <c r="O2779">
        <v>2779</v>
      </c>
      <c r="P2779" t="str">
        <f t="shared" si="43"/>
        <v xml:space="preserve">[^ftn2779]: </v>
      </c>
    </row>
    <row r="2780" spans="14:16" x14ac:dyDescent="0.25">
      <c r="N2780" t="s">
        <v>895</v>
      </c>
      <c r="O2780">
        <v>2780</v>
      </c>
      <c r="P2780" t="str">
        <f t="shared" si="43"/>
        <v xml:space="preserve">[^ftn2780]: </v>
      </c>
    </row>
    <row r="2781" spans="14:16" x14ac:dyDescent="0.25">
      <c r="N2781" t="s">
        <v>895</v>
      </c>
      <c r="O2781">
        <v>2781</v>
      </c>
      <c r="P2781" t="str">
        <f t="shared" si="43"/>
        <v xml:space="preserve">[^ftn2781]: </v>
      </c>
    </row>
    <row r="2782" spans="14:16" x14ac:dyDescent="0.25">
      <c r="N2782" t="s">
        <v>895</v>
      </c>
      <c r="O2782">
        <v>2782</v>
      </c>
      <c r="P2782" t="str">
        <f t="shared" si="43"/>
        <v xml:space="preserve">[^ftn2782]: </v>
      </c>
    </row>
    <row r="2783" spans="14:16" x14ac:dyDescent="0.25">
      <c r="N2783" t="s">
        <v>895</v>
      </c>
      <c r="O2783">
        <v>2783</v>
      </c>
      <c r="P2783" t="str">
        <f t="shared" si="43"/>
        <v xml:space="preserve">[^ftn2783]: </v>
      </c>
    </row>
    <row r="2784" spans="14:16" x14ac:dyDescent="0.25">
      <c r="N2784" t="s">
        <v>895</v>
      </c>
      <c r="O2784">
        <v>2784</v>
      </c>
      <c r="P2784" t="str">
        <f t="shared" si="43"/>
        <v xml:space="preserve">[^ftn2784]: </v>
      </c>
    </row>
    <row r="2785" spans="14:16" x14ac:dyDescent="0.25">
      <c r="N2785" t="s">
        <v>895</v>
      </c>
      <c r="O2785">
        <v>2785</v>
      </c>
      <c r="P2785" t="str">
        <f t="shared" si="43"/>
        <v xml:space="preserve">[^ftn2785]: </v>
      </c>
    </row>
    <row r="2786" spans="14:16" x14ac:dyDescent="0.25">
      <c r="N2786" t="s">
        <v>895</v>
      </c>
      <c r="O2786">
        <v>2786</v>
      </c>
      <c r="P2786" t="str">
        <f t="shared" si="43"/>
        <v xml:space="preserve">[^ftn2786]: </v>
      </c>
    </row>
    <row r="2787" spans="14:16" x14ac:dyDescent="0.25">
      <c r="N2787" t="s">
        <v>895</v>
      </c>
      <c r="O2787">
        <v>2787</v>
      </c>
      <c r="P2787" t="str">
        <f t="shared" si="43"/>
        <v xml:space="preserve">[^ftn2787]: </v>
      </c>
    </row>
    <row r="2788" spans="14:16" x14ac:dyDescent="0.25">
      <c r="N2788" t="s">
        <v>895</v>
      </c>
      <c r="O2788">
        <v>2788</v>
      </c>
      <c r="P2788" t="str">
        <f t="shared" si="43"/>
        <v xml:space="preserve">[^ftn2788]: </v>
      </c>
    </row>
    <row r="2789" spans="14:16" x14ac:dyDescent="0.25">
      <c r="N2789" t="s">
        <v>895</v>
      </c>
      <c r="O2789">
        <v>2789</v>
      </c>
      <c r="P2789" t="str">
        <f t="shared" si="43"/>
        <v xml:space="preserve">[^ftn2789]: </v>
      </c>
    </row>
    <row r="2790" spans="14:16" x14ac:dyDescent="0.25">
      <c r="N2790" t="s">
        <v>895</v>
      </c>
      <c r="O2790">
        <v>2790</v>
      </c>
      <c r="P2790" t="str">
        <f t="shared" si="43"/>
        <v xml:space="preserve">[^ftn2790]: </v>
      </c>
    </row>
    <row r="2791" spans="14:16" x14ac:dyDescent="0.25">
      <c r="N2791" t="s">
        <v>895</v>
      </c>
      <c r="O2791">
        <v>2791</v>
      </c>
      <c r="P2791" t="str">
        <f t="shared" si="43"/>
        <v xml:space="preserve">[^ftn2791]: </v>
      </c>
    </row>
    <row r="2792" spans="14:16" x14ac:dyDescent="0.25">
      <c r="N2792" t="s">
        <v>895</v>
      </c>
      <c r="O2792">
        <v>2792</v>
      </c>
      <c r="P2792" t="str">
        <f t="shared" si="43"/>
        <v xml:space="preserve">[^ftn2792]: </v>
      </c>
    </row>
    <row r="2793" spans="14:16" x14ac:dyDescent="0.25">
      <c r="N2793" t="s">
        <v>895</v>
      </c>
      <c r="O2793">
        <v>2793</v>
      </c>
      <c r="P2793" t="str">
        <f t="shared" si="43"/>
        <v xml:space="preserve">[^ftn2793]: </v>
      </c>
    </row>
    <row r="2794" spans="14:16" x14ac:dyDescent="0.25">
      <c r="N2794" t="s">
        <v>895</v>
      </c>
      <c r="O2794">
        <v>2794</v>
      </c>
      <c r="P2794" t="str">
        <f t="shared" si="43"/>
        <v xml:space="preserve">[^ftn2794]: </v>
      </c>
    </row>
    <row r="2795" spans="14:16" x14ac:dyDescent="0.25">
      <c r="N2795" t="s">
        <v>895</v>
      </c>
      <c r="O2795">
        <v>2795</v>
      </c>
      <c r="P2795" t="str">
        <f t="shared" si="43"/>
        <v xml:space="preserve">[^ftn2795]: </v>
      </c>
    </row>
    <row r="2796" spans="14:16" x14ac:dyDescent="0.25">
      <c r="N2796" t="s">
        <v>895</v>
      </c>
      <c r="O2796">
        <v>2796</v>
      </c>
      <c r="P2796" t="str">
        <f t="shared" si="43"/>
        <v xml:space="preserve">[^ftn2796]: </v>
      </c>
    </row>
    <row r="2797" spans="14:16" x14ac:dyDescent="0.25">
      <c r="N2797" t="s">
        <v>895</v>
      </c>
      <c r="O2797">
        <v>2797</v>
      </c>
      <c r="P2797" t="str">
        <f t="shared" si="43"/>
        <v xml:space="preserve">[^ftn2797]: </v>
      </c>
    </row>
    <row r="2798" spans="14:16" x14ac:dyDescent="0.25">
      <c r="N2798" t="s">
        <v>895</v>
      </c>
      <c r="O2798">
        <v>2798</v>
      </c>
      <c r="P2798" t="str">
        <f t="shared" si="43"/>
        <v xml:space="preserve">[^ftn2798]: </v>
      </c>
    </row>
    <row r="2799" spans="14:16" x14ac:dyDescent="0.25">
      <c r="N2799" t="s">
        <v>895</v>
      </c>
      <c r="O2799">
        <v>2799</v>
      </c>
      <c r="P2799" t="str">
        <f t="shared" si="43"/>
        <v xml:space="preserve">[^ftn2799]: </v>
      </c>
    </row>
    <row r="2800" spans="14:16" x14ac:dyDescent="0.25">
      <c r="N2800" t="s">
        <v>895</v>
      </c>
      <c r="O2800">
        <v>2800</v>
      </c>
      <c r="P2800" t="str">
        <f t="shared" si="43"/>
        <v xml:space="preserve">[^ftn2800]: </v>
      </c>
    </row>
    <row r="2801" spans="14:16" x14ac:dyDescent="0.25">
      <c r="N2801" t="s">
        <v>895</v>
      </c>
      <c r="O2801">
        <v>2801</v>
      </c>
      <c r="P2801" t="str">
        <f t="shared" si="43"/>
        <v xml:space="preserve">[^ftn2801]: </v>
      </c>
    </row>
    <row r="2802" spans="14:16" x14ac:dyDescent="0.25">
      <c r="N2802" t="s">
        <v>895</v>
      </c>
      <c r="O2802">
        <v>2802</v>
      </c>
      <c r="P2802" t="str">
        <f t="shared" si="43"/>
        <v xml:space="preserve">[^ftn2802]: </v>
      </c>
    </row>
    <row r="2803" spans="14:16" x14ac:dyDescent="0.25">
      <c r="N2803" t="s">
        <v>895</v>
      </c>
      <c r="O2803">
        <v>2803</v>
      </c>
      <c r="P2803" t="str">
        <f t="shared" si="43"/>
        <v xml:space="preserve">[^ftn2803]: </v>
      </c>
    </row>
    <row r="2804" spans="14:16" x14ac:dyDescent="0.25">
      <c r="N2804" t="s">
        <v>895</v>
      </c>
      <c r="O2804">
        <v>2804</v>
      </c>
      <c r="P2804" t="str">
        <f t="shared" si="43"/>
        <v xml:space="preserve">[^ftn2804]: </v>
      </c>
    </row>
    <row r="2805" spans="14:16" x14ac:dyDescent="0.25">
      <c r="N2805" t="s">
        <v>895</v>
      </c>
      <c r="O2805">
        <v>2805</v>
      </c>
      <c r="P2805" t="str">
        <f t="shared" si="43"/>
        <v xml:space="preserve">[^ftn2805]: </v>
      </c>
    </row>
    <row r="2806" spans="14:16" x14ac:dyDescent="0.25">
      <c r="N2806" t="s">
        <v>895</v>
      </c>
      <c r="O2806">
        <v>2806</v>
      </c>
      <c r="P2806" t="str">
        <f t="shared" si="43"/>
        <v xml:space="preserve">[^ftn2806]: </v>
      </c>
    </row>
    <row r="2807" spans="14:16" x14ac:dyDescent="0.25">
      <c r="N2807" t="s">
        <v>895</v>
      </c>
      <c r="O2807">
        <v>2807</v>
      </c>
      <c r="P2807" t="str">
        <f t="shared" si="43"/>
        <v xml:space="preserve">[^ftn2807]: </v>
      </c>
    </row>
    <row r="2808" spans="14:16" x14ac:dyDescent="0.25">
      <c r="N2808" t="s">
        <v>895</v>
      </c>
      <c r="O2808">
        <v>2808</v>
      </c>
      <c r="P2808" t="str">
        <f t="shared" si="43"/>
        <v xml:space="preserve">[^ftn2808]: </v>
      </c>
    </row>
    <row r="2809" spans="14:16" x14ac:dyDescent="0.25">
      <c r="N2809" t="s">
        <v>895</v>
      </c>
      <c r="O2809">
        <v>2809</v>
      </c>
      <c r="P2809" t="str">
        <f t="shared" si="43"/>
        <v xml:space="preserve">[^ftn2809]: </v>
      </c>
    </row>
    <row r="2810" spans="14:16" x14ac:dyDescent="0.25">
      <c r="N2810" t="s">
        <v>895</v>
      </c>
      <c r="O2810">
        <v>2810</v>
      </c>
      <c r="P2810" t="str">
        <f t="shared" si="43"/>
        <v xml:space="preserve">[^ftn2810]: </v>
      </c>
    </row>
    <row r="2811" spans="14:16" x14ac:dyDescent="0.25">
      <c r="N2811" t="s">
        <v>895</v>
      </c>
      <c r="O2811">
        <v>2811</v>
      </c>
      <c r="P2811" t="str">
        <f t="shared" si="43"/>
        <v xml:space="preserve">[^ftn2811]: </v>
      </c>
    </row>
    <row r="2812" spans="14:16" x14ac:dyDescent="0.25">
      <c r="N2812" t="s">
        <v>895</v>
      </c>
      <c r="O2812">
        <v>2812</v>
      </c>
      <c r="P2812" t="str">
        <f t="shared" si="43"/>
        <v xml:space="preserve">[^ftn2812]: </v>
      </c>
    </row>
    <row r="2813" spans="14:16" x14ac:dyDescent="0.25">
      <c r="N2813" t="s">
        <v>895</v>
      </c>
      <c r="O2813">
        <v>2813</v>
      </c>
      <c r="P2813" t="str">
        <f t="shared" si="43"/>
        <v xml:space="preserve">[^ftn2813]: </v>
      </c>
    </row>
    <row r="2814" spans="14:16" x14ac:dyDescent="0.25">
      <c r="N2814" t="s">
        <v>895</v>
      </c>
      <c r="O2814">
        <v>2814</v>
      </c>
      <c r="P2814" t="str">
        <f t="shared" si="43"/>
        <v xml:space="preserve">[^ftn2814]: </v>
      </c>
    </row>
    <row r="2815" spans="14:16" x14ac:dyDescent="0.25">
      <c r="N2815" t="s">
        <v>895</v>
      </c>
      <c r="O2815">
        <v>2815</v>
      </c>
      <c r="P2815" t="str">
        <f t="shared" si="43"/>
        <v xml:space="preserve">[^ftn2815]: </v>
      </c>
    </row>
    <row r="2816" spans="14:16" x14ac:dyDescent="0.25">
      <c r="N2816" t="s">
        <v>895</v>
      </c>
      <c r="O2816">
        <v>2816</v>
      </c>
      <c r="P2816" t="str">
        <f t="shared" si="43"/>
        <v xml:space="preserve">[^ftn2816]: </v>
      </c>
    </row>
    <row r="2817" spans="14:16" x14ac:dyDescent="0.25">
      <c r="N2817" t="s">
        <v>895</v>
      </c>
      <c r="O2817">
        <v>2817</v>
      </c>
      <c r="P2817" t="str">
        <f t="shared" si="43"/>
        <v xml:space="preserve">[^ftn2817]: </v>
      </c>
    </row>
    <row r="2818" spans="14:16" x14ac:dyDescent="0.25">
      <c r="N2818" t="s">
        <v>895</v>
      </c>
      <c r="O2818">
        <v>2818</v>
      </c>
      <c r="P2818" t="str">
        <f t="shared" ref="P2818:P2881" si="44">_xlfn.CONCAT("[^ftn",O2818,"]: ",)</f>
        <v xml:space="preserve">[^ftn2818]: </v>
      </c>
    </row>
    <row r="2819" spans="14:16" x14ac:dyDescent="0.25">
      <c r="N2819" t="s">
        <v>895</v>
      </c>
      <c r="O2819">
        <v>2819</v>
      </c>
      <c r="P2819" t="str">
        <f t="shared" si="44"/>
        <v xml:space="preserve">[^ftn2819]: </v>
      </c>
    </row>
    <row r="2820" spans="14:16" x14ac:dyDescent="0.25">
      <c r="N2820" t="s">
        <v>895</v>
      </c>
      <c r="O2820">
        <v>2820</v>
      </c>
      <c r="P2820" t="str">
        <f t="shared" si="44"/>
        <v xml:space="preserve">[^ftn2820]: </v>
      </c>
    </row>
    <row r="2821" spans="14:16" x14ac:dyDescent="0.25">
      <c r="N2821" t="s">
        <v>895</v>
      </c>
      <c r="O2821">
        <v>2821</v>
      </c>
      <c r="P2821" t="str">
        <f t="shared" si="44"/>
        <v xml:space="preserve">[^ftn2821]: </v>
      </c>
    </row>
    <row r="2822" spans="14:16" x14ac:dyDescent="0.25">
      <c r="N2822" t="s">
        <v>895</v>
      </c>
      <c r="O2822">
        <v>2822</v>
      </c>
      <c r="P2822" t="str">
        <f t="shared" si="44"/>
        <v xml:space="preserve">[^ftn2822]: </v>
      </c>
    </row>
    <row r="2823" spans="14:16" x14ac:dyDescent="0.25">
      <c r="N2823" t="s">
        <v>895</v>
      </c>
      <c r="O2823">
        <v>2823</v>
      </c>
      <c r="P2823" t="str">
        <f t="shared" si="44"/>
        <v xml:space="preserve">[^ftn2823]: </v>
      </c>
    </row>
    <row r="2824" spans="14:16" x14ac:dyDescent="0.25">
      <c r="N2824" t="s">
        <v>895</v>
      </c>
      <c r="O2824">
        <v>2824</v>
      </c>
      <c r="P2824" t="str">
        <f t="shared" si="44"/>
        <v xml:space="preserve">[^ftn2824]: </v>
      </c>
    </row>
    <row r="2825" spans="14:16" x14ac:dyDescent="0.25">
      <c r="N2825" t="s">
        <v>895</v>
      </c>
      <c r="O2825">
        <v>2825</v>
      </c>
      <c r="P2825" t="str">
        <f t="shared" si="44"/>
        <v xml:space="preserve">[^ftn2825]: </v>
      </c>
    </row>
    <row r="2826" spans="14:16" x14ac:dyDescent="0.25">
      <c r="N2826" t="s">
        <v>895</v>
      </c>
      <c r="O2826">
        <v>2826</v>
      </c>
      <c r="P2826" t="str">
        <f t="shared" si="44"/>
        <v xml:space="preserve">[^ftn2826]: </v>
      </c>
    </row>
    <row r="2827" spans="14:16" x14ac:dyDescent="0.25">
      <c r="N2827" t="s">
        <v>895</v>
      </c>
      <c r="O2827">
        <v>2827</v>
      </c>
      <c r="P2827" t="str">
        <f t="shared" si="44"/>
        <v xml:space="preserve">[^ftn2827]: </v>
      </c>
    </row>
    <row r="2828" spans="14:16" x14ac:dyDescent="0.25">
      <c r="N2828" t="s">
        <v>895</v>
      </c>
      <c r="O2828">
        <v>2828</v>
      </c>
      <c r="P2828" t="str">
        <f t="shared" si="44"/>
        <v xml:space="preserve">[^ftn2828]: </v>
      </c>
    </row>
    <row r="2829" spans="14:16" x14ac:dyDescent="0.25">
      <c r="N2829" t="s">
        <v>895</v>
      </c>
      <c r="O2829">
        <v>2829</v>
      </c>
      <c r="P2829" t="str">
        <f t="shared" si="44"/>
        <v xml:space="preserve">[^ftn2829]: </v>
      </c>
    </row>
    <row r="2830" spans="14:16" x14ac:dyDescent="0.25">
      <c r="N2830" t="s">
        <v>895</v>
      </c>
      <c r="O2830">
        <v>2830</v>
      </c>
      <c r="P2830" t="str">
        <f t="shared" si="44"/>
        <v xml:space="preserve">[^ftn2830]: </v>
      </c>
    </row>
    <row r="2831" spans="14:16" x14ac:dyDescent="0.25">
      <c r="N2831" t="s">
        <v>895</v>
      </c>
      <c r="O2831">
        <v>2831</v>
      </c>
      <c r="P2831" t="str">
        <f t="shared" si="44"/>
        <v xml:space="preserve">[^ftn2831]: </v>
      </c>
    </row>
    <row r="2832" spans="14:16" x14ac:dyDescent="0.25">
      <c r="N2832" t="s">
        <v>895</v>
      </c>
      <c r="O2832">
        <v>2832</v>
      </c>
      <c r="P2832" t="str">
        <f t="shared" si="44"/>
        <v xml:space="preserve">[^ftn2832]: </v>
      </c>
    </row>
    <row r="2833" spans="14:16" x14ac:dyDescent="0.25">
      <c r="N2833" t="s">
        <v>895</v>
      </c>
      <c r="O2833">
        <v>2833</v>
      </c>
      <c r="P2833" t="str">
        <f t="shared" si="44"/>
        <v xml:space="preserve">[^ftn2833]: </v>
      </c>
    </row>
    <row r="2834" spans="14:16" x14ac:dyDescent="0.25">
      <c r="N2834" t="s">
        <v>895</v>
      </c>
      <c r="O2834">
        <v>2834</v>
      </c>
      <c r="P2834" t="str">
        <f t="shared" si="44"/>
        <v xml:space="preserve">[^ftn2834]: </v>
      </c>
    </row>
    <row r="2835" spans="14:16" x14ac:dyDescent="0.25">
      <c r="N2835" t="s">
        <v>895</v>
      </c>
      <c r="O2835">
        <v>2835</v>
      </c>
      <c r="P2835" t="str">
        <f t="shared" si="44"/>
        <v xml:space="preserve">[^ftn2835]: </v>
      </c>
    </row>
    <row r="2836" spans="14:16" x14ac:dyDescent="0.25">
      <c r="N2836" t="s">
        <v>895</v>
      </c>
      <c r="O2836">
        <v>2836</v>
      </c>
      <c r="P2836" t="str">
        <f t="shared" si="44"/>
        <v xml:space="preserve">[^ftn2836]: </v>
      </c>
    </row>
    <row r="2837" spans="14:16" x14ac:dyDescent="0.25">
      <c r="N2837" t="s">
        <v>895</v>
      </c>
      <c r="O2837">
        <v>2837</v>
      </c>
      <c r="P2837" t="str">
        <f t="shared" si="44"/>
        <v xml:space="preserve">[^ftn2837]: </v>
      </c>
    </row>
    <row r="2838" spans="14:16" x14ac:dyDescent="0.25">
      <c r="N2838" t="s">
        <v>895</v>
      </c>
      <c r="O2838">
        <v>2838</v>
      </c>
      <c r="P2838" t="str">
        <f t="shared" si="44"/>
        <v xml:space="preserve">[^ftn2838]: </v>
      </c>
    </row>
    <row r="2839" spans="14:16" x14ac:dyDescent="0.25">
      <c r="N2839" t="s">
        <v>895</v>
      </c>
      <c r="O2839">
        <v>2839</v>
      </c>
      <c r="P2839" t="str">
        <f t="shared" si="44"/>
        <v xml:space="preserve">[^ftn2839]: </v>
      </c>
    </row>
    <row r="2840" spans="14:16" x14ac:dyDescent="0.25">
      <c r="N2840" t="s">
        <v>895</v>
      </c>
      <c r="O2840">
        <v>2840</v>
      </c>
      <c r="P2840" t="str">
        <f t="shared" si="44"/>
        <v xml:space="preserve">[^ftn2840]: </v>
      </c>
    </row>
    <row r="2841" spans="14:16" x14ac:dyDescent="0.25">
      <c r="N2841" t="s">
        <v>895</v>
      </c>
      <c r="O2841">
        <v>2841</v>
      </c>
      <c r="P2841" t="str">
        <f t="shared" si="44"/>
        <v xml:space="preserve">[^ftn2841]: </v>
      </c>
    </row>
    <row r="2842" spans="14:16" x14ac:dyDescent="0.25">
      <c r="N2842" t="s">
        <v>895</v>
      </c>
      <c r="O2842">
        <v>2842</v>
      </c>
      <c r="P2842" t="str">
        <f t="shared" si="44"/>
        <v xml:space="preserve">[^ftn2842]: </v>
      </c>
    </row>
    <row r="2843" spans="14:16" x14ac:dyDescent="0.25">
      <c r="N2843" t="s">
        <v>895</v>
      </c>
      <c r="O2843">
        <v>2843</v>
      </c>
      <c r="P2843" t="str">
        <f t="shared" si="44"/>
        <v xml:space="preserve">[^ftn2843]: </v>
      </c>
    </row>
    <row r="2844" spans="14:16" x14ac:dyDescent="0.25">
      <c r="N2844" t="s">
        <v>895</v>
      </c>
      <c r="O2844">
        <v>2844</v>
      </c>
      <c r="P2844" t="str">
        <f t="shared" si="44"/>
        <v xml:space="preserve">[^ftn2844]: </v>
      </c>
    </row>
    <row r="2845" spans="14:16" x14ac:dyDescent="0.25">
      <c r="N2845" t="s">
        <v>895</v>
      </c>
      <c r="O2845">
        <v>2845</v>
      </c>
      <c r="P2845" t="str">
        <f t="shared" si="44"/>
        <v xml:space="preserve">[^ftn2845]: </v>
      </c>
    </row>
    <row r="2846" spans="14:16" x14ac:dyDescent="0.25">
      <c r="N2846" t="s">
        <v>895</v>
      </c>
      <c r="O2846">
        <v>2846</v>
      </c>
      <c r="P2846" t="str">
        <f t="shared" si="44"/>
        <v xml:space="preserve">[^ftn2846]: </v>
      </c>
    </row>
    <row r="2847" spans="14:16" x14ac:dyDescent="0.25">
      <c r="N2847" t="s">
        <v>895</v>
      </c>
      <c r="O2847">
        <v>2847</v>
      </c>
      <c r="P2847" t="str">
        <f t="shared" si="44"/>
        <v xml:space="preserve">[^ftn2847]: </v>
      </c>
    </row>
    <row r="2848" spans="14:16" x14ac:dyDescent="0.25">
      <c r="N2848" t="s">
        <v>895</v>
      </c>
      <c r="O2848">
        <v>2848</v>
      </c>
      <c r="P2848" t="str">
        <f t="shared" si="44"/>
        <v xml:space="preserve">[^ftn2848]: </v>
      </c>
    </row>
    <row r="2849" spans="14:16" x14ac:dyDescent="0.25">
      <c r="N2849" t="s">
        <v>895</v>
      </c>
      <c r="O2849">
        <v>2849</v>
      </c>
      <c r="P2849" t="str">
        <f t="shared" si="44"/>
        <v xml:space="preserve">[^ftn2849]: </v>
      </c>
    </row>
    <row r="2850" spans="14:16" x14ac:dyDescent="0.25">
      <c r="N2850" t="s">
        <v>895</v>
      </c>
      <c r="O2850">
        <v>2850</v>
      </c>
      <c r="P2850" t="str">
        <f t="shared" si="44"/>
        <v xml:space="preserve">[^ftn2850]: </v>
      </c>
    </row>
    <row r="2851" spans="14:16" x14ac:dyDescent="0.25">
      <c r="N2851" t="s">
        <v>895</v>
      </c>
      <c r="O2851">
        <v>2851</v>
      </c>
      <c r="P2851" t="str">
        <f t="shared" si="44"/>
        <v xml:space="preserve">[^ftn2851]: </v>
      </c>
    </row>
    <row r="2852" spans="14:16" x14ac:dyDescent="0.25">
      <c r="N2852" t="s">
        <v>895</v>
      </c>
      <c r="O2852">
        <v>2852</v>
      </c>
      <c r="P2852" t="str">
        <f t="shared" si="44"/>
        <v xml:space="preserve">[^ftn2852]: </v>
      </c>
    </row>
    <row r="2853" spans="14:16" x14ac:dyDescent="0.25">
      <c r="N2853" t="s">
        <v>895</v>
      </c>
      <c r="O2853">
        <v>2853</v>
      </c>
      <c r="P2853" t="str">
        <f t="shared" si="44"/>
        <v xml:space="preserve">[^ftn2853]: </v>
      </c>
    </row>
    <row r="2854" spans="14:16" x14ac:dyDescent="0.25">
      <c r="N2854" t="s">
        <v>895</v>
      </c>
      <c r="O2854">
        <v>2854</v>
      </c>
      <c r="P2854" t="str">
        <f t="shared" si="44"/>
        <v xml:space="preserve">[^ftn2854]: </v>
      </c>
    </row>
    <row r="2855" spans="14:16" x14ac:dyDescent="0.25">
      <c r="N2855" t="s">
        <v>895</v>
      </c>
      <c r="O2855">
        <v>2855</v>
      </c>
      <c r="P2855" t="str">
        <f t="shared" si="44"/>
        <v xml:space="preserve">[^ftn2855]: </v>
      </c>
    </row>
    <row r="2856" spans="14:16" x14ac:dyDescent="0.25">
      <c r="N2856" t="s">
        <v>895</v>
      </c>
      <c r="O2856">
        <v>2856</v>
      </c>
      <c r="P2856" t="str">
        <f t="shared" si="44"/>
        <v xml:space="preserve">[^ftn2856]: </v>
      </c>
    </row>
    <row r="2857" spans="14:16" x14ac:dyDescent="0.25">
      <c r="N2857" t="s">
        <v>895</v>
      </c>
      <c r="O2857">
        <v>2857</v>
      </c>
      <c r="P2857" t="str">
        <f t="shared" si="44"/>
        <v xml:space="preserve">[^ftn2857]: </v>
      </c>
    </row>
    <row r="2858" spans="14:16" x14ac:dyDescent="0.25">
      <c r="N2858" t="s">
        <v>895</v>
      </c>
      <c r="O2858">
        <v>2858</v>
      </c>
      <c r="P2858" t="str">
        <f t="shared" si="44"/>
        <v xml:space="preserve">[^ftn2858]: </v>
      </c>
    </row>
    <row r="2859" spans="14:16" x14ac:dyDescent="0.25">
      <c r="N2859" t="s">
        <v>895</v>
      </c>
      <c r="O2859">
        <v>2859</v>
      </c>
      <c r="P2859" t="str">
        <f t="shared" si="44"/>
        <v xml:space="preserve">[^ftn2859]: </v>
      </c>
    </row>
    <row r="2860" spans="14:16" x14ac:dyDescent="0.25">
      <c r="N2860" t="s">
        <v>895</v>
      </c>
      <c r="O2860">
        <v>2860</v>
      </c>
      <c r="P2860" t="str">
        <f t="shared" si="44"/>
        <v xml:space="preserve">[^ftn2860]: </v>
      </c>
    </row>
    <row r="2861" spans="14:16" x14ac:dyDescent="0.25">
      <c r="N2861" t="s">
        <v>895</v>
      </c>
      <c r="O2861">
        <v>2861</v>
      </c>
      <c r="P2861" t="str">
        <f t="shared" si="44"/>
        <v xml:space="preserve">[^ftn2861]: </v>
      </c>
    </row>
    <row r="2862" spans="14:16" x14ac:dyDescent="0.25">
      <c r="N2862" t="s">
        <v>895</v>
      </c>
      <c r="O2862">
        <v>2862</v>
      </c>
      <c r="P2862" t="str">
        <f t="shared" si="44"/>
        <v xml:space="preserve">[^ftn2862]: </v>
      </c>
    </row>
    <row r="2863" spans="14:16" x14ac:dyDescent="0.25">
      <c r="N2863" t="s">
        <v>895</v>
      </c>
      <c r="O2863">
        <v>2863</v>
      </c>
      <c r="P2863" t="str">
        <f t="shared" si="44"/>
        <v xml:space="preserve">[^ftn2863]: </v>
      </c>
    </row>
    <row r="2864" spans="14:16" x14ac:dyDescent="0.25">
      <c r="N2864" t="s">
        <v>895</v>
      </c>
      <c r="O2864">
        <v>2864</v>
      </c>
      <c r="P2864" t="str">
        <f t="shared" si="44"/>
        <v xml:space="preserve">[^ftn2864]: </v>
      </c>
    </row>
    <row r="2865" spans="14:16" x14ac:dyDescent="0.25">
      <c r="N2865" t="s">
        <v>895</v>
      </c>
      <c r="O2865">
        <v>2865</v>
      </c>
      <c r="P2865" t="str">
        <f t="shared" si="44"/>
        <v xml:space="preserve">[^ftn2865]: </v>
      </c>
    </row>
    <row r="2866" spans="14:16" x14ac:dyDescent="0.25">
      <c r="N2866" t="s">
        <v>895</v>
      </c>
      <c r="O2866">
        <v>2866</v>
      </c>
      <c r="P2866" t="str">
        <f t="shared" si="44"/>
        <v xml:space="preserve">[^ftn2866]: </v>
      </c>
    </row>
    <row r="2867" spans="14:16" x14ac:dyDescent="0.25">
      <c r="N2867" t="s">
        <v>895</v>
      </c>
      <c r="O2867">
        <v>2867</v>
      </c>
      <c r="P2867" t="str">
        <f t="shared" si="44"/>
        <v xml:space="preserve">[^ftn2867]: </v>
      </c>
    </row>
    <row r="2868" spans="14:16" x14ac:dyDescent="0.25">
      <c r="N2868" t="s">
        <v>895</v>
      </c>
      <c r="O2868">
        <v>2868</v>
      </c>
      <c r="P2868" t="str">
        <f t="shared" si="44"/>
        <v xml:space="preserve">[^ftn2868]: </v>
      </c>
    </row>
    <row r="2869" spans="14:16" x14ac:dyDescent="0.25">
      <c r="N2869" t="s">
        <v>895</v>
      </c>
      <c r="O2869">
        <v>2869</v>
      </c>
      <c r="P2869" t="str">
        <f t="shared" si="44"/>
        <v xml:space="preserve">[^ftn2869]: </v>
      </c>
    </row>
    <row r="2870" spans="14:16" x14ac:dyDescent="0.25">
      <c r="N2870" t="s">
        <v>895</v>
      </c>
      <c r="O2870">
        <v>2870</v>
      </c>
      <c r="P2870" t="str">
        <f t="shared" si="44"/>
        <v xml:space="preserve">[^ftn2870]: </v>
      </c>
    </row>
    <row r="2871" spans="14:16" x14ac:dyDescent="0.25">
      <c r="N2871" t="s">
        <v>895</v>
      </c>
      <c r="O2871">
        <v>2871</v>
      </c>
      <c r="P2871" t="str">
        <f t="shared" si="44"/>
        <v xml:space="preserve">[^ftn2871]: </v>
      </c>
    </row>
    <row r="2872" spans="14:16" x14ac:dyDescent="0.25">
      <c r="N2872" t="s">
        <v>895</v>
      </c>
      <c r="O2872">
        <v>2872</v>
      </c>
      <c r="P2872" t="str">
        <f t="shared" si="44"/>
        <v xml:space="preserve">[^ftn2872]: </v>
      </c>
    </row>
    <row r="2873" spans="14:16" x14ac:dyDescent="0.25">
      <c r="N2873" t="s">
        <v>895</v>
      </c>
      <c r="O2873">
        <v>2873</v>
      </c>
      <c r="P2873" t="str">
        <f t="shared" si="44"/>
        <v xml:space="preserve">[^ftn2873]: </v>
      </c>
    </row>
    <row r="2874" spans="14:16" x14ac:dyDescent="0.25">
      <c r="N2874" t="s">
        <v>895</v>
      </c>
      <c r="O2874">
        <v>2874</v>
      </c>
      <c r="P2874" t="str">
        <f t="shared" si="44"/>
        <v xml:space="preserve">[^ftn2874]: </v>
      </c>
    </row>
    <row r="2875" spans="14:16" x14ac:dyDescent="0.25">
      <c r="N2875" t="s">
        <v>895</v>
      </c>
      <c r="O2875">
        <v>2875</v>
      </c>
      <c r="P2875" t="str">
        <f t="shared" si="44"/>
        <v xml:space="preserve">[^ftn2875]: </v>
      </c>
    </row>
    <row r="2876" spans="14:16" x14ac:dyDescent="0.25">
      <c r="N2876" t="s">
        <v>895</v>
      </c>
      <c r="O2876">
        <v>2876</v>
      </c>
      <c r="P2876" t="str">
        <f t="shared" si="44"/>
        <v xml:space="preserve">[^ftn2876]: </v>
      </c>
    </row>
    <row r="2877" spans="14:16" x14ac:dyDescent="0.25">
      <c r="N2877" t="s">
        <v>895</v>
      </c>
      <c r="O2877">
        <v>2877</v>
      </c>
      <c r="P2877" t="str">
        <f t="shared" si="44"/>
        <v xml:space="preserve">[^ftn2877]: </v>
      </c>
    </row>
    <row r="2878" spans="14:16" x14ac:dyDescent="0.25">
      <c r="N2878" t="s">
        <v>895</v>
      </c>
      <c r="O2878">
        <v>2878</v>
      </c>
      <c r="P2878" t="str">
        <f t="shared" si="44"/>
        <v xml:space="preserve">[^ftn2878]: </v>
      </c>
    </row>
    <row r="2879" spans="14:16" x14ac:dyDescent="0.25">
      <c r="N2879" t="s">
        <v>895</v>
      </c>
      <c r="O2879">
        <v>2879</v>
      </c>
      <c r="P2879" t="str">
        <f t="shared" si="44"/>
        <v xml:space="preserve">[^ftn2879]: </v>
      </c>
    </row>
    <row r="2880" spans="14:16" x14ac:dyDescent="0.25">
      <c r="N2880" t="s">
        <v>895</v>
      </c>
      <c r="O2880">
        <v>2880</v>
      </c>
      <c r="P2880" t="str">
        <f t="shared" si="44"/>
        <v xml:space="preserve">[^ftn2880]: </v>
      </c>
    </row>
    <row r="2881" spans="14:16" x14ac:dyDescent="0.25">
      <c r="N2881" t="s">
        <v>895</v>
      </c>
      <c r="O2881">
        <v>2881</v>
      </c>
      <c r="P2881" t="str">
        <f t="shared" si="44"/>
        <v xml:space="preserve">[^ftn2881]: </v>
      </c>
    </row>
    <row r="2882" spans="14:16" x14ac:dyDescent="0.25">
      <c r="N2882" t="s">
        <v>895</v>
      </c>
      <c r="O2882">
        <v>2882</v>
      </c>
      <c r="P2882" t="str">
        <f t="shared" ref="P2882:P2945" si="45">_xlfn.CONCAT("[^ftn",O2882,"]: ",)</f>
        <v xml:space="preserve">[^ftn2882]: </v>
      </c>
    </row>
    <row r="2883" spans="14:16" x14ac:dyDescent="0.25">
      <c r="N2883" t="s">
        <v>895</v>
      </c>
      <c r="O2883">
        <v>2883</v>
      </c>
      <c r="P2883" t="str">
        <f t="shared" si="45"/>
        <v xml:space="preserve">[^ftn2883]: </v>
      </c>
    </row>
    <row r="2884" spans="14:16" x14ac:dyDescent="0.25">
      <c r="N2884" t="s">
        <v>895</v>
      </c>
      <c r="O2884">
        <v>2884</v>
      </c>
      <c r="P2884" t="str">
        <f t="shared" si="45"/>
        <v xml:space="preserve">[^ftn2884]: </v>
      </c>
    </row>
    <row r="2885" spans="14:16" x14ac:dyDescent="0.25">
      <c r="N2885" t="s">
        <v>895</v>
      </c>
      <c r="O2885">
        <v>2885</v>
      </c>
      <c r="P2885" t="str">
        <f t="shared" si="45"/>
        <v xml:space="preserve">[^ftn2885]: </v>
      </c>
    </row>
    <row r="2886" spans="14:16" x14ac:dyDescent="0.25">
      <c r="N2886" t="s">
        <v>895</v>
      </c>
      <c r="O2886">
        <v>2886</v>
      </c>
      <c r="P2886" t="str">
        <f t="shared" si="45"/>
        <v xml:space="preserve">[^ftn2886]: </v>
      </c>
    </row>
    <row r="2887" spans="14:16" x14ac:dyDescent="0.25">
      <c r="N2887" t="s">
        <v>895</v>
      </c>
      <c r="O2887">
        <v>2887</v>
      </c>
      <c r="P2887" t="str">
        <f t="shared" si="45"/>
        <v xml:space="preserve">[^ftn2887]: </v>
      </c>
    </row>
    <row r="2888" spans="14:16" x14ac:dyDescent="0.25">
      <c r="N2888" t="s">
        <v>895</v>
      </c>
      <c r="O2888">
        <v>2888</v>
      </c>
      <c r="P2888" t="str">
        <f t="shared" si="45"/>
        <v xml:space="preserve">[^ftn2888]: </v>
      </c>
    </row>
    <row r="2889" spans="14:16" x14ac:dyDescent="0.25">
      <c r="N2889" t="s">
        <v>895</v>
      </c>
      <c r="O2889">
        <v>2889</v>
      </c>
      <c r="P2889" t="str">
        <f t="shared" si="45"/>
        <v xml:space="preserve">[^ftn2889]: </v>
      </c>
    </row>
    <row r="2890" spans="14:16" x14ac:dyDescent="0.25">
      <c r="N2890" t="s">
        <v>895</v>
      </c>
      <c r="O2890">
        <v>2890</v>
      </c>
      <c r="P2890" t="str">
        <f t="shared" si="45"/>
        <v xml:space="preserve">[^ftn2890]: </v>
      </c>
    </row>
    <row r="2891" spans="14:16" x14ac:dyDescent="0.25">
      <c r="N2891" t="s">
        <v>895</v>
      </c>
      <c r="O2891">
        <v>2891</v>
      </c>
      <c r="P2891" t="str">
        <f t="shared" si="45"/>
        <v xml:space="preserve">[^ftn2891]: </v>
      </c>
    </row>
    <row r="2892" spans="14:16" x14ac:dyDescent="0.25">
      <c r="N2892" t="s">
        <v>895</v>
      </c>
      <c r="O2892">
        <v>2892</v>
      </c>
      <c r="P2892" t="str">
        <f t="shared" si="45"/>
        <v xml:space="preserve">[^ftn2892]: </v>
      </c>
    </row>
    <row r="2893" spans="14:16" x14ac:dyDescent="0.25">
      <c r="N2893" t="s">
        <v>895</v>
      </c>
      <c r="O2893">
        <v>2893</v>
      </c>
      <c r="P2893" t="str">
        <f t="shared" si="45"/>
        <v xml:space="preserve">[^ftn2893]: </v>
      </c>
    </row>
    <row r="2894" spans="14:16" x14ac:dyDescent="0.25">
      <c r="N2894" t="s">
        <v>895</v>
      </c>
      <c r="O2894">
        <v>2894</v>
      </c>
      <c r="P2894" t="str">
        <f t="shared" si="45"/>
        <v xml:space="preserve">[^ftn2894]: </v>
      </c>
    </row>
    <row r="2895" spans="14:16" x14ac:dyDescent="0.25">
      <c r="N2895" t="s">
        <v>895</v>
      </c>
      <c r="O2895">
        <v>2895</v>
      </c>
      <c r="P2895" t="str">
        <f t="shared" si="45"/>
        <v xml:space="preserve">[^ftn2895]: </v>
      </c>
    </row>
    <row r="2896" spans="14:16" x14ac:dyDescent="0.25">
      <c r="N2896" t="s">
        <v>895</v>
      </c>
      <c r="O2896">
        <v>2896</v>
      </c>
      <c r="P2896" t="str">
        <f t="shared" si="45"/>
        <v xml:space="preserve">[^ftn2896]: </v>
      </c>
    </row>
    <row r="2897" spans="14:16" x14ac:dyDescent="0.25">
      <c r="N2897" t="s">
        <v>895</v>
      </c>
      <c r="O2897">
        <v>2897</v>
      </c>
      <c r="P2897" t="str">
        <f t="shared" si="45"/>
        <v xml:space="preserve">[^ftn2897]: </v>
      </c>
    </row>
    <row r="2898" spans="14:16" x14ac:dyDescent="0.25">
      <c r="N2898" t="s">
        <v>895</v>
      </c>
      <c r="O2898">
        <v>2898</v>
      </c>
      <c r="P2898" t="str">
        <f t="shared" si="45"/>
        <v xml:space="preserve">[^ftn2898]: </v>
      </c>
    </row>
    <row r="2899" spans="14:16" x14ac:dyDescent="0.25">
      <c r="N2899" t="s">
        <v>895</v>
      </c>
      <c r="O2899">
        <v>2899</v>
      </c>
      <c r="P2899" t="str">
        <f t="shared" si="45"/>
        <v xml:space="preserve">[^ftn2899]: </v>
      </c>
    </row>
    <row r="2900" spans="14:16" x14ac:dyDescent="0.25">
      <c r="N2900" t="s">
        <v>895</v>
      </c>
      <c r="O2900">
        <v>2900</v>
      </c>
      <c r="P2900" t="str">
        <f t="shared" si="45"/>
        <v xml:space="preserve">[^ftn2900]: </v>
      </c>
    </row>
    <row r="2901" spans="14:16" x14ac:dyDescent="0.25">
      <c r="N2901" t="s">
        <v>895</v>
      </c>
      <c r="O2901">
        <v>2901</v>
      </c>
      <c r="P2901" t="str">
        <f t="shared" si="45"/>
        <v xml:space="preserve">[^ftn2901]: </v>
      </c>
    </row>
    <row r="2902" spans="14:16" x14ac:dyDescent="0.25">
      <c r="N2902" t="s">
        <v>895</v>
      </c>
      <c r="O2902">
        <v>2902</v>
      </c>
      <c r="P2902" t="str">
        <f t="shared" si="45"/>
        <v xml:space="preserve">[^ftn2902]: </v>
      </c>
    </row>
    <row r="2903" spans="14:16" x14ac:dyDescent="0.25">
      <c r="N2903" t="s">
        <v>895</v>
      </c>
      <c r="O2903">
        <v>2903</v>
      </c>
      <c r="P2903" t="str">
        <f t="shared" si="45"/>
        <v xml:space="preserve">[^ftn2903]: </v>
      </c>
    </row>
    <row r="2904" spans="14:16" x14ac:dyDescent="0.25">
      <c r="N2904" t="s">
        <v>895</v>
      </c>
      <c r="O2904">
        <v>2904</v>
      </c>
      <c r="P2904" t="str">
        <f t="shared" si="45"/>
        <v xml:space="preserve">[^ftn2904]: </v>
      </c>
    </row>
    <row r="2905" spans="14:16" x14ac:dyDescent="0.25">
      <c r="N2905" t="s">
        <v>895</v>
      </c>
      <c r="O2905">
        <v>2905</v>
      </c>
      <c r="P2905" t="str">
        <f t="shared" si="45"/>
        <v xml:space="preserve">[^ftn2905]: </v>
      </c>
    </row>
    <row r="2906" spans="14:16" x14ac:dyDescent="0.25">
      <c r="N2906" t="s">
        <v>895</v>
      </c>
      <c r="O2906">
        <v>2906</v>
      </c>
      <c r="P2906" t="str">
        <f t="shared" si="45"/>
        <v xml:space="preserve">[^ftn2906]: </v>
      </c>
    </row>
    <row r="2907" spans="14:16" x14ac:dyDescent="0.25">
      <c r="N2907" t="s">
        <v>895</v>
      </c>
      <c r="O2907">
        <v>2907</v>
      </c>
      <c r="P2907" t="str">
        <f t="shared" si="45"/>
        <v xml:space="preserve">[^ftn2907]: </v>
      </c>
    </row>
    <row r="2908" spans="14:16" x14ac:dyDescent="0.25">
      <c r="N2908" t="s">
        <v>895</v>
      </c>
      <c r="O2908">
        <v>2908</v>
      </c>
      <c r="P2908" t="str">
        <f t="shared" si="45"/>
        <v xml:space="preserve">[^ftn2908]: </v>
      </c>
    </row>
    <row r="2909" spans="14:16" x14ac:dyDescent="0.25">
      <c r="N2909" t="s">
        <v>895</v>
      </c>
      <c r="O2909">
        <v>2909</v>
      </c>
      <c r="P2909" t="str">
        <f t="shared" si="45"/>
        <v xml:space="preserve">[^ftn2909]: </v>
      </c>
    </row>
    <row r="2910" spans="14:16" x14ac:dyDescent="0.25">
      <c r="N2910" t="s">
        <v>895</v>
      </c>
      <c r="O2910">
        <v>2910</v>
      </c>
      <c r="P2910" t="str">
        <f t="shared" si="45"/>
        <v xml:space="preserve">[^ftn2910]: </v>
      </c>
    </row>
    <row r="2911" spans="14:16" x14ac:dyDescent="0.25">
      <c r="N2911" t="s">
        <v>895</v>
      </c>
      <c r="O2911">
        <v>2911</v>
      </c>
      <c r="P2911" t="str">
        <f t="shared" si="45"/>
        <v xml:space="preserve">[^ftn2911]: </v>
      </c>
    </row>
    <row r="2912" spans="14:16" x14ac:dyDescent="0.25">
      <c r="N2912" t="s">
        <v>895</v>
      </c>
      <c r="O2912">
        <v>2912</v>
      </c>
      <c r="P2912" t="str">
        <f t="shared" si="45"/>
        <v xml:space="preserve">[^ftn2912]: </v>
      </c>
    </row>
    <row r="2913" spans="14:16" x14ac:dyDescent="0.25">
      <c r="N2913" t="s">
        <v>895</v>
      </c>
      <c r="O2913">
        <v>2913</v>
      </c>
      <c r="P2913" t="str">
        <f t="shared" si="45"/>
        <v xml:space="preserve">[^ftn2913]: </v>
      </c>
    </row>
    <row r="2914" spans="14:16" x14ac:dyDescent="0.25">
      <c r="N2914" t="s">
        <v>895</v>
      </c>
      <c r="O2914">
        <v>2914</v>
      </c>
      <c r="P2914" t="str">
        <f t="shared" si="45"/>
        <v xml:space="preserve">[^ftn2914]: </v>
      </c>
    </row>
    <row r="2915" spans="14:16" x14ac:dyDescent="0.25">
      <c r="N2915" t="s">
        <v>895</v>
      </c>
      <c r="O2915">
        <v>2915</v>
      </c>
      <c r="P2915" t="str">
        <f t="shared" si="45"/>
        <v xml:space="preserve">[^ftn2915]: </v>
      </c>
    </row>
    <row r="2916" spans="14:16" x14ac:dyDescent="0.25">
      <c r="N2916" t="s">
        <v>895</v>
      </c>
      <c r="O2916">
        <v>2916</v>
      </c>
      <c r="P2916" t="str">
        <f t="shared" si="45"/>
        <v xml:space="preserve">[^ftn2916]: </v>
      </c>
    </row>
    <row r="2917" spans="14:16" x14ac:dyDescent="0.25">
      <c r="N2917" t="s">
        <v>895</v>
      </c>
      <c r="O2917">
        <v>2917</v>
      </c>
      <c r="P2917" t="str">
        <f t="shared" si="45"/>
        <v xml:space="preserve">[^ftn2917]: </v>
      </c>
    </row>
    <row r="2918" spans="14:16" x14ac:dyDescent="0.25">
      <c r="N2918" t="s">
        <v>895</v>
      </c>
      <c r="O2918">
        <v>2918</v>
      </c>
      <c r="P2918" t="str">
        <f t="shared" si="45"/>
        <v xml:space="preserve">[^ftn2918]: </v>
      </c>
    </row>
    <row r="2919" spans="14:16" x14ac:dyDescent="0.25">
      <c r="N2919" t="s">
        <v>895</v>
      </c>
      <c r="O2919">
        <v>2919</v>
      </c>
      <c r="P2919" t="str">
        <f t="shared" si="45"/>
        <v xml:space="preserve">[^ftn2919]: </v>
      </c>
    </row>
    <row r="2920" spans="14:16" x14ac:dyDescent="0.25">
      <c r="N2920" t="s">
        <v>895</v>
      </c>
      <c r="O2920">
        <v>2920</v>
      </c>
      <c r="P2920" t="str">
        <f t="shared" si="45"/>
        <v xml:space="preserve">[^ftn2920]: </v>
      </c>
    </row>
    <row r="2921" spans="14:16" x14ac:dyDescent="0.25">
      <c r="N2921" t="s">
        <v>895</v>
      </c>
      <c r="O2921">
        <v>2921</v>
      </c>
      <c r="P2921" t="str">
        <f t="shared" si="45"/>
        <v xml:space="preserve">[^ftn2921]: </v>
      </c>
    </row>
    <row r="2922" spans="14:16" x14ac:dyDescent="0.25">
      <c r="N2922" t="s">
        <v>895</v>
      </c>
      <c r="O2922">
        <v>2922</v>
      </c>
      <c r="P2922" t="str">
        <f t="shared" si="45"/>
        <v xml:space="preserve">[^ftn2922]: </v>
      </c>
    </row>
    <row r="2923" spans="14:16" x14ac:dyDescent="0.25">
      <c r="N2923" t="s">
        <v>895</v>
      </c>
      <c r="O2923">
        <v>2923</v>
      </c>
      <c r="P2923" t="str">
        <f t="shared" si="45"/>
        <v xml:space="preserve">[^ftn2923]: </v>
      </c>
    </row>
    <row r="2924" spans="14:16" x14ac:dyDescent="0.25">
      <c r="N2924" t="s">
        <v>895</v>
      </c>
      <c r="O2924">
        <v>2924</v>
      </c>
      <c r="P2924" t="str">
        <f t="shared" si="45"/>
        <v xml:space="preserve">[^ftn2924]: </v>
      </c>
    </row>
    <row r="2925" spans="14:16" x14ac:dyDescent="0.25">
      <c r="N2925" t="s">
        <v>895</v>
      </c>
      <c r="O2925">
        <v>2925</v>
      </c>
      <c r="P2925" t="str">
        <f t="shared" si="45"/>
        <v xml:space="preserve">[^ftn2925]: </v>
      </c>
    </row>
    <row r="2926" spans="14:16" x14ac:dyDescent="0.25">
      <c r="N2926" t="s">
        <v>895</v>
      </c>
      <c r="O2926">
        <v>2926</v>
      </c>
      <c r="P2926" t="str">
        <f t="shared" si="45"/>
        <v xml:space="preserve">[^ftn2926]: </v>
      </c>
    </row>
    <row r="2927" spans="14:16" x14ac:dyDescent="0.25">
      <c r="N2927" t="s">
        <v>895</v>
      </c>
      <c r="O2927">
        <v>2927</v>
      </c>
      <c r="P2927" t="str">
        <f t="shared" si="45"/>
        <v xml:space="preserve">[^ftn2927]: </v>
      </c>
    </row>
    <row r="2928" spans="14:16" x14ac:dyDescent="0.25">
      <c r="N2928" t="s">
        <v>895</v>
      </c>
      <c r="O2928">
        <v>2928</v>
      </c>
      <c r="P2928" t="str">
        <f t="shared" si="45"/>
        <v xml:space="preserve">[^ftn2928]: </v>
      </c>
    </row>
    <row r="2929" spans="14:16" x14ac:dyDescent="0.25">
      <c r="N2929" t="s">
        <v>895</v>
      </c>
      <c r="O2929">
        <v>2929</v>
      </c>
      <c r="P2929" t="str">
        <f t="shared" si="45"/>
        <v xml:space="preserve">[^ftn2929]: </v>
      </c>
    </row>
    <row r="2930" spans="14:16" x14ac:dyDescent="0.25">
      <c r="N2930" t="s">
        <v>895</v>
      </c>
      <c r="O2930">
        <v>2930</v>
      </c>
      <c r="P2930" t="str">
        <f t="shared" si="45"/>
        <v xml:space="preserve">[^ftn2930]: </v>
      </c>
    </row>
    <row r="2931" spans="14:16" x14ac:dyDescent="0.25">
      <c r="N2931" t="s">
        <v>895</v>
      </c>
      <c r="O2931">
        <v>2931</v>
      </c>
      <c r="P2931" t="str">
        <f t="shared" si="45"/>
        <v xml:space="preserve">[^ftn2931]: </v>
      </c>
    </row>
    <row r="2932" spans="14:16" x14ac:dyDescent="0.25">
      <c r="N2932" t="s">
        <v>895</v>
      </c>
      <c r="O2932">
        <v>2932</v>
      </c>
      <c r="P2932" t="str">
        <f t="shared" si="45"/>
        <v xml:space="preserve">[^ftn2932]: </v>
      </c>
    </row>
    <row r="2933" spans="14:16" x14ac:dyDescent="0.25">
      <c r="N2933" t="s">
        <v>895</v>
      </c>
      <c r="O2933">
        <v>2933</v>
      </c>
      <c r="P2933" t="str">
        <f t="shared" si="45"/>
        <v xml:space="preserve">[^ftn2933]: </v>
      </c>
    </row>
    <row r="2934" spans="14:16" x14ac:dyDescent="0.25">
      <c r="N2934" t="s">
        <v>895</v>
      </c>
      <c r="O2934">
        <v>2934</v>
      </c>
      <c r="P2934" t="str">
        <f t="shared" si="45"/>
        <v xml:space="preserve">[^ftn2934]: </v>
      </c>
    </row>
    <row r="2935" spans="14:16" x14ac:dyDescent="0.25">
      <c r="N2935" t="s">
        <v>895</v>
      </c>
      <c r="O2935">
        <v>2935</v>
      </c>
      <c r="P2935" t="str">
        <f t="shared" si="45"/>
        <v xml:space="preserve">[^ftn2935]: </v>
      </c>
    </row>
    <row r="2936" spans="14:16" x14ac:dyDescent="0.25">
      <c r="N2936" t="s">
        <v>895</v>
      </c>
      <c r="O2936">
        <v>2936</v>
      </c>
      <c r="P2936" t="str">
        <f t="shared" si="45"/>
        <v xml:space="preserve">[^ftn2936]: </v>
      </c>
    </row>
    <row r="2937" spans="14:16" x14ac:dyDescent="0.25">
      <c r="N2937" t="s">
        <v>895</v>
      </c>
      <c r="O2937">
        <v>2937</v>
      </c>
      <c r="P2937" t="str">
        <f t="shared" si="45"/>
        <v xml:space="preserve">[^ftn2937]: </v>
      </c>
    </row>
    <row r="2938" spans="14:16" x14ac:dyDescent="0.25">
      <c r="N2938" t="s">
        <v>895</v>
      </c>
      <c r="O2938">
        <v>2938</v>
      </c>
      <c r="P2938" t="str">
        <f t="shared" si="45"/>
        <v xml:space="preserve">[^ftn2938]: </v>
      </c>
    </row>
    <row r="2939" spans="14:16" x14ac:dyDescent="0.25">
      <c r="N2939" t="s">
        <v>895</v>
      </c>
      <c r="O2939">
        <v>2939</v>
      </c>
      <c r="P2939" t="str">
        <f t="shared" si="45"/>
        <v xml:space="preserve">[^ftn2939]: </v>
      </c>
    </row>
    <row r="2940" spans="14:16" x14ac:dyDescent="0.25">
      <c r="N2940" t="s">
        <v>895</v>
      </c>
      <c r="O2940">
        <v>2940</v>
      </c>
      <c r="P2940" t="str">
        <f t="shared" si="45"/>
        <v xml:space="preserve">[^ftn2940]: </v>
      </c>
    </row>
    <row r="2941" spans="14:16" x14ac:dyDescent="0.25">
      <c r="N2941" t="s">
        <v>895</v>
      </c>
      <c r="O2941">
        <v>2941</v>
      </c>
      <c r="P2941" t="str">
        <f t="shared" si="45"/>
        <v xml:space="preserve">[^ftn2941]: </v>
      </c>
    </row>
    <row r="2942" spans="14:16" x14ac:dyDescent="0.25">
      <c r="N2942" t="s">
        <v>895</v>
      </c>
      <c r="O2942">
        <v>2942</v>
      </c>
      <c r="P2942" t="str">
        <f t="shared" si="45"/>
        <v xml:space="preserve">[^ftn2942]: </v>
      </c>
    </row>
    <row r="2943" spans="14:16" x14ac:dyDescent="0.25">
      <c r="N2943" t="s">
        <v>895</v>
      </c>
      <c r="O2943">
        <v>2943</v>
      </c>
      <c r="P2943" t="str">
        <f t="shared" si="45"/>
        <v xml:space="preserve">[^ftn2943]: </v>
      </c>
    </row>
    <row r="2944" spans="14:16" x14ac:dyDescent="0.25">
      <c r="N2944" t="s">
        <v>895</v>
      </c>
      <c r="O2944">
        <v>2944</v>
      </c>
      <c r="P2944" t="str">
        <f t="shared" si="45"/>
        <v xml:space="preserve">[^ftn2944]: </v>
      </c>
    </row>
    <row r="2945" spans="14:16" x14ac:dyDescent="0.25">
      <c r="N2945" t="s">
        <v>895</v>
      </c>
      <c r="O2945">
        <v>2945</v>
      </c>
      <c r="P2945" t="str">
        <f t="shared" si="45"/>
        <v xml:space="preserve">[^ftn2945]: </v>
      </c>
    </row>
    <row r="2946" spans="14:16" x14ac:dyDescent="0.25">
      <c r="N2946" t="s">
        <v>895</v>
      </c>
      <c r="O2946">
        <v>2946</v>
      </c>
      <c r="P2946" t="str">
        <f t="shared" ref="P2946:P3009" si="46">_xlfn.CONCAT("[^ftn",O2946,"]: ",)</f>
        <v xml:space="preserve">[^ftn2946]: </v>
      </c>
    </row>
    <row r="2947" spans="14:16" x14ac:dyDescent="0.25">
      <c r="N2947" t="s">
        <v>895</v>
      </c>
      <c r="O2947">
        <v>2947</v>
      </c>
      <c r="P2947" t="str">
        <f t="shared" si="46"/>
        <v xml:space="preserve">[^ftn2947]: </v>
      </c>
    </row>
    <row r="2948" spans="14:16" x14ac:dyDescent="0.25">
      <c r="N2948" t="s">
        <v>895</v>
      </c>
      <c r="O2948">
        <v>2948</v>
      </c>
      <c r="P2948" t="str">
        <f t="shared" si="46"/>
        <v xml:space="preserve">[^ftn2948]: </v>
      </c>
    </row>
    <row r="2949" spans="14:16" x14ac:dyDescent="0.25">
      <c r="N2949" t="s">
        <v>895</v>
      </c>
      <c r="O2949">
        <v>2949</v>
      </c>
      <c r="P2949" t="str">
        <f t="shared" si="46"/>
        <v xml:space="preserve">[^ftn2949]: </v>
      </c>
    </row>
    <row r="2950" spans="14:16" x14ac:dyDescent="0.25">
      <c r="N2950" t="s">
        <v>895</v>
      </c>
      <c r="O2950">
        <v>2950</v>
      </c>
      <c r="P2950" t="str">
        <f t="shared" si="46"/>
        <v xml:space="preserve">[^ftn2950]: </v>
      </c>
    </row>
    <row r="2951" spans="14:16" x14ac:dyDescent="0.25">
      <c r="N2951" t="s">
        <v>895</v>
      </c>
      <c r="O2951">
        <v>2951</v>
      </c>
      <c r="P2951" t="str">
        <f t="shared" si="46"/>
        <v xml:space="preserve">[^ftn2951]: </v>
      </c>
    </row>
    <row r="2952" spans="14:16" x14ac:dyDescent="0.25">
      <c r="N2952" t="s">
        <v>895</v>
      </c>
      <c r="O2952">
        <v>2952</v>
      </c>
      <c r="P2952" t="str">
        <f t="shared" si="46"/>
        <v xml:space="preserve">[^ftn2952]: </v>
      </c>
    </row>
    <row r="2953" spans="14:16" x14ac:dyDescent="0.25">
      <c r="N2953" t="s">
        <v>895</v>
      </c>
      <c r="O2953">
        <v>2953</v>
      </c>
      <c r="P2953" t="str">
        <f t="shared" si="46"/>
        <v xml:space="preserve">[^ftn2953]: </v>
      </c>
    </row>
    <row r="2954" spans="14:16" x14ac:dyDescent="0.25">
      <c r="N2954" t="s">
        <v>895</v>
      </c>
      <c r="O2954">
        <v>2954</v>
      </c>
      <c r="P2954" t="str">
        <f t="shared" si="46"/>
        <v xml:space="preserve">[^ftn2954]: </v>
      </c>
    </row>
    <row r="2955" spans="14:16" x14ac:dyDescent="0.25">
      <c r="N2955" t="s">
        <v>895</v>
      </c>
      <c r="O2955">
        <v>2955</v>
      </c>
      <c r="P2955" t="str">
        <f t="shared" si="46"/>
        <v xml:space="preserve">[^ftn2955]: </v>
      </c>
    </row>
    <row r="2956" spans="14:16" x14ac:dyDescent="0.25">
      <c r="N2956" t="s">
        <v>895</v>
      </c>
      <c r="O2956">
        <v>2956</v>
      </c>
      <c r="P2956" t="str">
        <f t="shared" si="46"/>
        <v xml:space="preserve">[^ftn2956]: </v>
      </c>
    </row>
    <row r="2957" spans="14:16" x14ac:dyDescent="0.25">
      <c r="N2957" t="s">
        <v>895</v>
      </c>
      <c r="O2957">
        <v>2957</v>
      </c>
      <c r="P2957" t="str">
        <f t="shared" si="46"/>
        <v xml:space="preserve">[^ftn2957]: </v>
      </c>
    </row>
    <row r="2958" spans="14:16" x14ac:dyDescent="0.25">
      <c r="N2958" t="s">
        <v>895</v>
      </c>
      <c r="O2958">
        <v>2958</v>
      </c>
      <c r="P2958" t="str">
        <f t="shared" si="46"/>
        <v xml:space="preserve">[^ftn2958]: </v>
      </c>
    </row>
    <row r="2959" spans="14:16" x14ac:dyDescent="0.25">
      <c r="N2959" t="s">
        <v>895</v>
      </c>
      <c r="O2959">
        <v>2959</v>
      </c>
      <c r="P2959" t="str">
        <f t="shared" si="46"/>
        <v xml:space="preserve">[^ftn2959]: </v>
      </c>
    </row>
    <row r="2960" spans="14:16" x14ac:dyDescent="0.25">
      <c r="N2960" t="s">
        <v>895</v>
      </c>
      <c r="O2960">
        <v>2960</v>
      </c>
      <c r="P2960" t="str">
        <f t="shared" si="46"/>
        <v xml:space="preserve">[^ftn2960]: </v>
      </c>
    </row>
    <row r="2961" spans="14:16" x14ac:dyDescent="0.25">
      <c r="N2961" t="s">
        <v>895</v>
      </c>
      <c r="O2961">
        <v>2961</v>
      </c>
      <c r="P2961" t="str">
        <f t="shared" si="46"/>
        <v xml:space="preserve">[^ftn2961]: </v>
      </c>
    </row>
    <row r="2962" spans="14:16" x14ac:dyDescent="0.25">
      <c r="N2962" t="s">
        <v>895</v>
      </c>
      <c r="O2962">
        <v>2962</v>
      </c>
      <c r="P2962" t="str">
        <f t="shared" si="46"/>
        <v xml:space="preserve">[^ftn2962]: </v>
      </c>
    </row>
    <row r="2963" spans="14:16" x14ac:dyDescent="0.25">
      <c r="N2963" t="s">
        <v>895</v>
      </c>
      <c r="O2963">
        <v>2963</v>
      </c>
      <c r="P2963" t="str">
        <f t="shared" si="46"/>
        <v xml:space="preserve">[^ftn2963]: </v>
      </c>
    </row>
    <row r="2964" spans="14:16" x14ac:dyDescent="0.25">
      <c r="N2964" t="s">
        <v>895</v>
      </c>
      <c r="O2964">
        <v>2964</v>
      </c>
      <c r="P2964" t="str">
        <f t="shared" si="46"/>
        <v xml:space="preserve">[^ftn2964]: </v>
      </c>
    </row>
    <row r="2965" spans="14:16" x14ac:dyDescent="0.25">
      <c r="N2965" t="s">
        <v>895</v>
      </c>
      <c r="O2965">
        <v>2965</v>
      </c>
      <c r="P2965" t="str">
        <f t="shared" si="46"/>
        <v xml:space="preserve">[^ftn2965]: </v>
      </c>
    </row>
    <row r="2966" spans="14:16" x14ac:dyDescent="0.25">
      <c r="N2966" t="s">
        <v>895</v>
      </c>
      <c r="O2966">
        <v>2966</v>
      </c>
      <c r="P2966" t="str">
        <f t="shared" si="46"/>
        <v xml:space="preserve">[^ftn2966]: </v>
      </c>
    </row>
    <row r="2967" spans="14:16" x14ac:dyDescent="0.25">
      <c r="N2967" t="s">
        <v>895</v>
      </c>
      <c r="O2967">
        <v>2967</v>
      </c>
      <c r="P2967" t="str">
        <f t="shared" si="46"/>
        <v xml:space="preserve">[^ftn2967]: </v>
      </c>
    </row>
    <row r="2968" spans="14:16" x14ac:dyDescent="0.25">
      <c r="N2968" t="s">
        <v>895</v>
      </c>
      <c r="O2968">
        <v>2968</v>
      </c>
      <c r="P2968" t="str">
        <f t="shared" si="46"/>
        <v xml:space="preserve">[^ftn2968]: </v>
      </c>
    </row>
    <row r="2969" spans="14:16" x14ac:dyDescent="0.25">
      <c r="N2969" t="s">
        <v>895</v>
      </c>
      <c r="O2969">
        <v>2969</v>
      </c>
      <c r="P2969" t="str">
        <f t="shared" si="46"/>
        <v xml:space="preserve">[^ftn2969]: </v>
      </c>
    </row>
    <row r="2970" spans="14:16" x14ac:dyDescent="0.25">
      <c r="N2970" t="s">
        <v>895</v>
      </c>
      <c r="O2970">
        <v>2970</v>
      </c>
      <c r="P2970" t="str">
        <f t="shared" si="46"/>
        <v xml:space="preserve">[^ftn2970]: </v>
      </c>
    </row>
    <row r="2971" spans="14:16" x14ac:dyDescent="0.25">
      <c r="N2971" t="s">
        <v>895</v>
      </c>
      <c r="O2971">
        <v>2971</v>
      </c>
      <c r="P2971" t="str">
        <f t="shared" si="46"/>
        <v xml:space="preserve">[^ftn2971]: </v>
      </c>
    </row>
    <row r="2972" spans="14:16" x14ac:dyDescent="0.25">
      <c r="N2972" t="s">
        <v>895</v>
      </c>
      <c r="O2972">
        <v>2972</v>
      </c>
      <c r="P2972" t="str">
        <f t="shared" si="46"/>
        <v xml:space="preserve">[^ftn2972]: </v>
      </c>
    </row>
    <row r="2973" spans="14:16" x14ac:dyDescent="0.25">
      <c r="N2973" t="s">
        <v>895</v>
      </c>
      <c r="O2973">
        <v>2973</v>
      </c>
      <c r="P2973" t="str">
        <f t="shared" si="46"/>
        <v xml:space="preserve">[^ftn2973]: </v>
      </c>
    </row>
    <row r="2974" spans="14:16" x14ac:dyDescent="0.25">
      <c r="N2974" t="s">
        <v>895</v>
      </c>
      <c r="O2974">
        <v>2974</v>
      </c>
      <c r="P2974" t="str">
        <f t="shared" si="46"/>
        <v xml:space="preserve">[^ftn2974]: </v>
      </c>
    </row>
    <row r="2975" spans="14:16" x14ac:dyDescent="0.25">
      <c r="N2975" t="s">
        <v>895</v>
      </c>
      <c r="O2975">
        <v>2975</v>
      </c>
      <c r="P2975" t="str">
        <f t="shared" si="46"/>
        <v xml:space="preserve">[^ftn2975]: </v>
      </c>
    </row>
    <row r="2976" spans="14:16" x14ac:dyDescent="0.25">
      <c r="N2976" t="s">
        <v>895</v>
      </c>
      <c r="O2976">
        <v>2976</v>
      </c>
      <c r="P2976" t="str">
        <f t="shared" si="46"/>
        <v xml:space="preserve">[^ftn2976]: </v>
      </c>
    </row>
    <row r="2977" spans="14:16" x14ac:dyDescent="0.25">
      <c r="N2977" t="s">
        <v>895</v>
      </c>
      <c r="O2977">
        <v>2977</v>
      </c>
      <c r="P2977" t="str">
        <f t="shared" si="46"/>
        <v xml:space="preserve">[^ftn2977]: </v>
      </c>
    </row>
    <row r="2978" spans="14:16" x14ac:dyDescent="0.25">
      <c r="N2978" t="s">
        <v>895</v>
      </c>
      <c r="O2978">
        <v>2978</v>
      </c>
      <c r="P2978" t="str">
        <f t="shared" si="46"/>
        <v xml:space="preserve">[^ftn2978]: </v>
      </c>
    </row>
    <row r="2979" spans="14:16" x14ac:dyDescent="0.25">
      <c r="N2979" t="s">
        <v>895</v>
      </c>
      <c r="O2979">
        <v>2979</v>
      </c>
      <c r="P2979" t="str">
        <f t="shared" si="46"/>
        <v xml:space="preserve">[^ftn2979]: </v>
      </c>
    </row>
    <row r="2980" spans="14:16" x14ac:dyDescent="0.25">
      <c r="N2980" t="s">
        <v>895</v>
      </c>
      <c r="O2980">
        <v>2980</v>
      </c>
      <c r="P2980" t="str">
        <f t="shared" si="46"/>
        <v xml:space="preserve">[^ftn2980]: </v>
      </c>
    </row>
    <row r="2981" spans="14:16" x14ac:dyDescent="0.25">
      <c r="N2981" t="s">
        <v>895</v>
      </c>
      <c r="O2981">
        <v>2981</v>
      </c>
      <c r="P2981" t="str">
        <f t="shared" si="46"/>
        <v xml:space="preserve">[^ftn2981]: </v>
      </c>
    </row>
    <row r="2982" spans="14:16" x14ac:dyDescent="0.25">
      <c r="N2982" t="s">
        <v>895</v>
      </c>
      <c r="O2982">
        <v>2982</v>
      </c>
      <c r="P2982" t="str">
        <f t="shared" si="46"/>
        <v xml:space="preserve">[^ftn2982]: </v>
      </c>
    </row>
    <row r="2983" spans="14:16" x14ac:dyDescent="0.25">
      <c r="N2983" t="s">
        <v>895</v>
      </c>
      <c r="O2983">
        <v>2983</v>
      </c>
      <c r="P2983" t="str">
        <f t="shared" si="46"/>
        <v xml:space="preserve">[^ftn2983]: </v>
      </c>
    </row>
    <row r="2984" spans="14:16" x14ac:dyDescent="0.25">
      <c r="N2984" t="s">
        <v>895</v>
      </c>
      <c r="O2984">
        <v>2984</v>
      </c>
      <c r="P2984" t="str">
        <f t="shared" si="46"/>
        <v xml:space="preserve">[^ftn2984]: </v>
      </c>
    </row>
    <row r="2985" spans="14:16" x14ac:dyDescent="0.25">
      <c r="N2985" t="s">
        <v>895</v>
      </c>
      <c r="O2985">
        <v>2985</v>
      </c>
      <c r="P2985" t="str">
        <f t="shared" si="46"/>
        <v xml:space="preserve">[^ftn2985]: </v>
      </c>
    </row>
    <row r="2986" spans="14:16" x14ac:dyDescent="0.25">
      <c r="N2986" t="s">
        <v>895</v>
      </c>
      <c r="O2986">
        <v>2986</v>
      </c>
      <c r="P2986" t="str">
        <f t="shared" si="46"/>
        <v xml:space="preserve">[^ftn2986]: </v>
      </c>
    </row>
    <row r="2987" spans="14:16" x14ac:dyDescent="0.25">
      <c r="N2987" t="s">
        <v>895</v>
      </c>
      <c r="O2987">
        <v>2987</v>
      </c>
      <c r="P2987" t="str">
        <f t="shared" si="46"/>
        <v xml:space="preserve">[^ftn2987]: </v>
      </c>
    </row>
    <row r="2988" spans="14:16" x14ac:dyDescent="0.25">
      <c r="N2988" t="s">
        <v>895</v>
      </c>
      <c r="O2988">
        <v>2988</v>
      </c>
      <c r="P2988" t="str">
        <f t="shared" si="46"/>
        <v xml:space="preserve">[^ftn2988]: </v>
      </c>
    </row>
    <row r="2989" spans="14:16" x14ac:dyDescent="0.25">
      <c r="N2989" t="s">
        <v>895</v>
      </c>
      <c r="O2989">
        <v>2989</v>
      </c>
      <c r="P2989" t="str">
        <f t="shared" si="46"/>
        <v xml:space="preserve">[^ftn2989]: </v>
      </c>
    </row>
    <row r="2990" spans="14:16" x14ac:dyDescent="0.25">
      <c r="N2990" t="s">
        <v>895</v>
      </c>
      <c r="O2990">
        <v>2990</v>
      </c>
      <c r="P2990" t="str">
        <f t="shared" si="46"/>
        <v xml:space="preserve">[^ftn2990]: </v>
      </c>
    </row>
    <row r="2991" spans="14:16" x14ac:dyDescent="0.25">
      <c r="N2991" t="s">
        <v>895</v>
      </c>
      <c r="O2991">
        <v>2991</v>
      </c>
      <c r="P2991" t="str">
        <f t="shared" si="46"/>
        <v xml:space="preserve">[^ftn2991]: </v>
      </c>
    </row>
    <row r="2992" spans="14:16" x14ac:dyDescent="0.25">
      <c r="N2992" t="s">
        <v>895</v>
      </c>
      <c r="O2992">
        <v>2992</v>
      </c>
      <c r="P2992" t="str">
        <f t="shared" si="46"/>
        <v xml:space="preserve">[^ftn2992]: </v>
      </c>
    </row>
    <row r="2993" spans="14:16" x14ac:dyDescent="0.25">
      <c r="N2993" t="s">
        <v>895</v>
      </c>
      <c r="O2993">
        <v>2993</v>
      </c>
      <c r="P2993" t="str">
        <f t="shared" si="46"/>
        <v xml:space="preserve">[^ftn2993]: </v>
      </c>
    </row>
    <row r="2994" spans="14:16" x14ac:dyDescent="0.25">
      <c r="N2994" t="s">
        <v>895</v>
      </c>
      <c r="O2994">
        <v>2994</v>
      </c>
      <c r="P2994" t="str">
        <f t="shared" si="46"/>
        <v xml:space="preserve">[^ftn2994]: </v>
      </c>
    </row>
    <row r="2995" spans="14:16" x14ac:dyDescent="0.25">
      <c r="N2995" t="s">
        <v>895</v>
      </c>
      <c r="O2995">
        <v>2995</v>
      </c>
      <c r="P2995" t="str">
        <f t="shared" si="46"/>
        <v xml:space="preserve">[^ftn2995]: </v>
      </c>
    </row>
    <row r="2996" spans="14:16" x14ac:dyDescent="0.25">
      <c r="N2996" t="s">
        <v>895</v>
      </c>
      <c r="O2996">
        <v>2996</v>
      </c>
      <c r="P2996" t="str">
        <f t="shared" si="46"/>
        <v xml:space="preserve">[^ftn2996]: </v>
      </c>
    </row>
    <row r="2997" spans="14:16" x14ac:dyDescent="0.25">
      <c r="N2997" t="s">
        <v>895</v>
      </c>
      <c r="O2997">
        <v>2997</v>
      </c>
      <c r="P2997" t="str">
        <f t="shared" si="46"/>
        <v xml:space="preserve">[^ftn2997]: </v>
      </c>
    </row>
    <row r="2998" spans="14:16" x14ac:dyDescent="0.25">
      <c r="N2998" t="s">
        <v>895</v>
      </c>
      <c r="O2998">
        <v>2998</v>
      </c>
      <c r="P2998" t="str">
        <f t="shared" si="46"/>
        <v xml:space="preserve">[^ftn2998]: </v>
      </c>
    </row>
    <row r="2999" spans="14:16" x14ac:dyDescent="0.25">
      <c r="N2999" t="s">
        <v>895</v>
      </c>
      <c r="O2999">
        <v>2999</v>
      </c>
      <c r="P2999" t="str">
        <f t="shared" si="46"/>
        <v xml:space="preserve">[^ftn2999]: </v>
      </c>
    </row>
    <row r="3000" spans="14:16" x14ac:dyDescent="0.25">
      <c r="N3000" t="s">
        <v>895</v>
      </c>
      <c r="O3000">
        <v>3000</v>
      </c>
      <c r="P3000" t="str">
        <f t="shared" si="46"/>
        <v xml:space="preserve">[^ftn3000]: </v>
      </c>
    </row>
    <row r="3001" spans="14:16" x14ac:dyDescent="0.25">
      <c r="N3001" t="s">
        <v>895</v>
      </c>
      <c r="O3001">
        <v>3001</v>
      </c>
      <c r="P3001" t="str">
        <f t="shared" si="46"/>
        <v xml:space="preserve">[^ftn3001]: </v>
      </c>
    </row>
    <row r="3002" spans="14:16" x14ac:dyDescent="0.25">
      <c r="N3002" t="s">
        <v>895</v>
      </c>
      <c r="O3002">
        <v>3002</v>
      </c>
      <c r="P3002" t="str">
        <f t="shared" si="46"/>
        <v xml:space="preserve">[^ftn3002]: </v>
      </c>
    </row>
    <row r="3003" spans="14:16" x14ac:dyDescent="0.25">
      <c r="N3003" t="s">
        <v>895</v>
      </c>
      <c r="O3003">
        <v>3003</v>
      </c>
      <c r="P3003" t="str">
        <f t="shared" si="46"/>
        <v xml:space="preserve">[^ftn3003]: </v>
      </c>
    </row>
    <row r="3004" spans="14:16" x14ac:dyDescent="0.25">
      <c r="N3004" t="s">
        <v>895</v>
      </c>
      <c r="O3004">
        <v>3004</v>
      </c>
      <c r="P3004" t="str">
        <f t="shared" si="46"/>
        <v xml:space="preserve">[^ftn3004]: </v>
      </c>
    </row>
    <row r="3005" spans="14:16" x14ac:dyDescent="0.25">
      <c r="N3005" t="s">
        <v>895</v>
      </c>
      <c r="O3005">
        <v>3005</v>
      </c>
      <c r="P3005" t="str">
        <f t="shared" si="46"/>
        <v xml:space="preserve">[^ftn3005]: </v>
      </c>
    </row>
    <row r="3006" spans="14:16" x14ac:dyDescent="0.25">
      <c r="N3006" t="s">
        <v>895</v>
      </c>
      <c r="O3006">
        <v>3006</v>
      </c>
      <c r="P3006" t="str">
        <f t="shared" si="46"/>
        <v xml:space="preserve">[^ftn3006]: </v>
      </c>
    </row>
    <row r="3007" spans="14:16" x14ac:dyDescent="0.25">
      <c r="N3007" t="s">
        <v>895</v>
      </c>
      <c r="O3007">
        <v>3007</v>
      </c>
      <c r="P3007" t="str">
        <f t="shared" si="46"/>
        <v xml:space="preserve">[^ftn3007]: </v>
      </c>
    </row>
    <row r="3008" spans="14:16" x14ac:dyDescent="0.25">
      <c r="N3008" t="s">
        <v>895</v>
      </c>
      <c r="O3008">
        <v>3008</v>
      </c>
      <c r="P3008" t="str">
        <f t="shared" si="46"/>
        <v xml:space="preserve">[^ftn3008]: </v>
      </c>
    </row>
    <row r="3009" spans="14:16" x14ac:dyDescent="0.25">
      <c r="N3009" t="s">
        <v>895</v>
      </c>
      <c r="O3009">
        <v>3009</v>
      </c>
      <c r="P3009" t="str">
        <f t="shared" si="46"/>
        <v xml:space="preserve">[^ftn3009]: </v>
      </c>
    </row>
    <row r="3010" spans="14:16" x14ac:dyDescent="0.25">
      <c r="N3010" t="s">
        <v>895</v>
      </c>
      <c r="O3010">
        <v>3010</v>
      </c>
      <c r="P3010" t="str">
        <f t="shared" ref="P3010:P3073" si="47">_xlfn.CONCAT("[^ftn",O3010,"]: ",)</f>
        <v xml:space="preserve">[^ftn3010]: </v>
      </c>
    </row>
    <row r="3011" spans="14:16" x14ac:dyDescent="0.25">
      <c r="N3011" t="s">
        <v>895</v>
      </c>
      <c r="O3011">
        <v>3011</v>
      </c>
      <c r="P3011" t="str">
        <f t="shared" si="47"/>
        <v xml:space="preserve">[^ftn3011]: </v>
      </c>
    </row>
    <row r="3012" spans="14:16" x14ac:dyDescent="0.25">
      <c r="N3012" t="s">
        <v>895</v>
      </c>
      <c r="O3012">
        <v>3012</v>
      </c>
      <c r="P3012" t="str">
        <f t="shared" si="47"/>
        <v xml:space="preserve">[^ftn3012]: </v>
      </c>
    </row>
    <row r="3013" spans="14:16" x14ac:dyDescent="0.25">
      <c r="N3013" t="s">
        <v>895</v>
      </c>
      <c r="O3013">
        <v>3013</v>
      </c>
      <c r="P3013" t="str">
        <f t="shared" si="47"/>
        <v xml:space="preserve">[^ftn3013]: </v>
      </c>
    </row>
    <row r="3014" spans="14:16" x14ac:dyDescent="0.25">
      <c r="N3014" t="s">
        <v>895</v>
      </c>
      <c r="O3014">
        <v>3014</v>
      </c>
      <c r="P3014" t="str">
        <f t="shared" si="47"/>
        <v xml:space="preserve">[^ftn3014]: </v>
      </c>
    </row>
    <row r="3015" spans="14:16" x14ac:dyDescent="0.25">
      <c r="N3015" t="s">
        <v>895</v>
      </c>
      <c r="O3015">
        <v>3015</v>
      </c>
      <c r="P3015" t="str">
        <f t="shared" si="47"/>
        <v xml:space="preserve">[^ftn3015]: </v>
      </c>
    </row>
    <row r="3016" spans="14:16" x14ac:dyDescent="0.25">
      <c r="N3016" t="s">
        <v>895</v>
      </c>
      <c r="O3016">
        <v>3016</v>
      </c>
      <c r="P3016" t="str">
        <f t="shared" si="47"/>
        <v xml:space="preserve">[^ftn3016]: </v>
      </c>
    </row>
    <row r="3017" spans="14:16" x14ac:dyDescent="0.25">
      <c r="N3017" t="s">
        <v>895</v>
      </c>
      <c r="O3017">
        <v>3017</v>
      </c>
      <c r="P3017" t="str">
        <f t="shared" si="47"/>
        <v xml:space="preserve">[^ftn3017]: </v>
      </c>
    </row>
    <row r="3018" spans="14:16" x14ac:dyDescent="0.25">
      <c r="N3018" t="s">
        <v>895</v>
      </c>
      <c r="O3018">
        <v>3018</v>
      </c>
      <c r="P3018" t="str">
        <f t="shared" si="47"/>
        <v xml:space="preserve">[^ftn3018]: </v>
      </c>
    </row>
    <row r="3019" spans="14:16" x14ac:dyDescent="0.25">
      <c r="N3019" t="s">
        <v>895</v>
      </c>
      <c r="O3019">
        <v>3019</v>
      </c>
      <c r="P3019" t="str">
        <f t="shared" si="47"/>
        <v xml:space="preserve">[^ftn3019]: </v>
      </c>
    </row>
    <row r="3020" spans="14:16" x14ac:dyDescent="0.25">
      <c r="N3020" t="s">
        <v>895</v>
      </c>
      <c r="O3020">
        <v>3020</v>
      </c>
      <c r="P3020" t="str">
        <f t="shared" si="47"/>
        <v xml:space="preserve">[^ftn3020]: </v>
      </c>
    </row>
    <row r="3021" spans="14:16" x14ac:dyDescent="0.25">
      <c r="N3021" t="s">
        <v>895</v>
      </c>
      <c r="O3021">
        <v>3021</v>
      </c>
      <c r="P3021" t="str">
        <f t="shared" si="47"/>
        <v xml:space="preserve">[^ftn3021]: </v>
      </c>
    </row>
    <row r="3022" spans="14:16" x14ac:dyDescent="0.25">
      <c r="N3022" t="s">
        <v>895</v>
      </c>
      <c r="O3022">
        <v>3022</v>
      </c>
      <c r="P3022" t="str">
        <f t="shared" si="47"/>
        <v xml:space="preserve">[^ftn3022]: </v>
      </c>
    </row>
    <row r="3023" spans="14:16" x14ac:dyDescent="0.25">
      <c r="N3023" t="s">
        <v>895</v>
      </c>
      <c r="O3023">
        <v>3023</v>
      </c>
      <c r="P3023" t="str">
        <f t="shared" si="47"/>
        <v xml:space="preserve">[^ftn3023]: </v>
      </c>
    </row>
    <row r="3024" spans="14:16" x14ac:dyDescent="0.25">
      <c r="N3024" t="s">
        <v>895</v>
      </c>
      <c r="O3024">
        <v>3024</v>
      </c>
      <c r="P3024" t="str">
        <f t="shared" si="47"/>
        <v xml:space="preserve">[^ftn3024]: </v>
      </c>
    </row>
    <row r="3025" spans="14:16" x14ac:dyDescent="0.25">
      <c r="N3025" t="s">
        <v>895</v>
      </c>
      <c r="O3025">
        <v>3025</v>
      </c>
      <c r="P3025" t="str">
        <f t="shared" si="47"/>
        <v xml:space="preserve">[^ftn3025]: </v>
      </c>
    </row>
    <row r="3026" spans="14:16" x14ac:dyDescent="0.25">
      <c r="N3026" t="s">
        <v>895</v>
      </c>
      <c r="O3026">
        <v>3026</v>
      </c>
      <c r="P3026" t="str">
        <f t="shared" si="47"/>
        <v xml:space="preserve">[^ftn3026]: </v>
      </c>
    </row>
    <row r="3027" spans="14:16" x14ac:dyDescent="0.25">
      <c r="N3027" t="s">
        <v>895</v>
      </c>
      <c r="O3027">
        <v>3027</v>
      </c>
      <c r="P3027" t="str">
        <f t="shared" si="47"/>
        <v xml:space="preserve">[^ftn3027]: </v>
      </c>
    </row>
    <row r="3028" spans="14:16" x14ac:dyDescent="0.25">
      <c r="N3028" t="s">
        <v>895</v>
      </c>
      <c r="O3028">
        <v>3028</v>
      </c>
      <c r="P3028" t="str">
        <f t="shared" si="47"/>
        <v xml:space="preserve">[^ftn3028]: </v>
      </c>
    </row>
    <row r="3029" spans="14:16" x14ac:dyDescent="0.25">
      <c r="N3029" t="s">
        <v>895</v>
      </c>
      <c r="O3029">
        <v>3029</v>
      </c>
      <c r="P3029" t="str">
        <f t="shared" si="47"/>
        <v xml:space="preserve">[^ftn3029]: </v>
      </c>
    </row>
    <row r="3030" spans="14:16" x14ac:dyDescent="0.25">
      <c r="N3030" t="s">
        <v>895</v>
      </c>
      <c r="O3030">
        <v>3030</v>
      </c>
      <c r="P3030" t="str">
        <f t="shared" si="47"/>
        <v xml:space="preserve">[^ftn3030]: </v>
      </c>
    </row>
    <row r="3031" spans="14:16" x14ac:dyDescent="0.25">
      <c r="N3031" t="s">
        <v>895</v>
      </c>
      <c r="O3031">
        <v>3031</v>
      </c>
      <c r="P3031" t="str">
        <f t="shared" si="47"/>
        <v xml:space="preserve">[^ftn3031]: </v>
      </c>
    </row>
    <row r="3032" spans="14:16" x14ac:dyDescent="0.25">
      <c r="N3032" t="s">
        <v>895</v>
      </c>
      <c r="O3032">
        <v>3032</v>
      </c>
      <c r="P3032" t="str">
        <f t="shared" si="47"/>
        <v xml:space="preserve">[^ftn3032]: </v>
      </c>
    </row>
    <row r="3033" spans="14:16" x14ac:dyDescent="0.25">
      <c r="N3033" t="s">
        <v>895</v>
      </c>
      <c r="O3033">
        <v>3033</v>
      </c>
      <c r="P3033" t="str">
        <f t="shared" si="47"/>
        <v xml:space="preserve">[^ftn3033]: </v>
      </c>
    </row>
    <row r="3034" spans="14:16" x14ac:dyDescent="0.25">
      <c r="N3034" t="s">
        <v>895</v>
      </c>
      <c r="O3034">
        <v>3034</v>
      </c>
      <c r="P3034" t="str">
        <f t="shared" si="47"/>
        <v xml:space="preserve">[^ftn3034]: </v>
      </c>
    </row>
    <row r="3035" spans="14:16" x14ac:dyDescent="0.25">
      <c r="N3035" t="s">
        <v>895</v>
      </c>
      <c r="O3035">
        <v>3035</v>
      </c>
      <c r="P3035" t="str">
        <f t="shared" si="47"/>
        <v xml:space="preserve">[^ftn3035]: </v>
      </c>
    </row>
    <row r="3036" spans="14:16" x14ac:dyDescent="0.25">
      <c r="N3036" t="s">
        <v>895</v>
      </c>
      <c r="O3036">
        <v>3036</v>
      </c>
      <c r="P3036" t="str">
        <f t="shared" si="47"/>
        <v xml:space="preserve">[^ftn3036]: </v>
      </c>
    </row>
    <row r="3037" spans="14:16" x14ac:dyDescent="0.25">
      <c r="N3037" t="s">
        <v>895</v>
      </c>
      <c r="O3037">
        <v>3037</v>
      </c>
      <c r="P3037" t="str">
        <f t="shared" si="47"/>
        <v xml:space="preserve">[^ftn3037]: </v>
      </c>
    </row>
    <row r="3038" spans="14:16" x14ac:dyDescent="0.25">
      <c r="N3038" t="s">
        <v>895</v>
      </c>
      <c r="O3038">
        <v>3038</v>
      </c>
      <c r="P3038" t="str">
        <f t="shared" si="47"/>
        <v xml:space="preserve">[^ftn3038]: </v>
      </c>
    </row>
    <row r="3039" spans="14:16" x14ac:dyDescent="0.25">
      <c r="N3039" t="s">
        <v>895</v>
      </c>
      <c r="O3039">
        <v>3039</v>
      </c>
      <c r="P3039" t="str">
        <f t="shared" si="47"/>
        <v xml:space="preserve">[^ftn3039]: </v>
      </c>
    </row>
    <row r="3040" spans="14:16" x14ac:dyDescent="0.25">
      <c r="N3040" t="s">
        <v>895</v>
      </c>
      <c r="O3040">
        <v>3040</v>
      </c>
      <c r="P3040" t="str">
        <f t="shared" si="47"/>
        <v xml:space="preserve">[^ftn3040]: </v>
      </c>
    </row>
    <row r="3041" spans="14:16" x14ac:dyDescent="0.25">
      <c r="N3041" t="s">
        <v>895</v>
      </c>
      <c r="O3041">
        <v>3041</v>
      </c>
      <c r="P3041" t="str">
        <f t="shared" si="47"/>
        <v xml:space="preserve">[^ftn3041]: </v>
      </c>
    </row>
    <row r="3042" spans="14:16" x14ac:dyDescent="0.25">
      <c r="N3042" t="s">
        <v>895</v>
      </c>
      <c r="O3042">
        <v>3042</v>
      </c>
      <c r="P3042" t="str">
        <f t="shared" si="47"/>
        <v xml:space="preserve">[^ftn3042]: </v>
      </c>
    </row>
    <row r="3043" spans="14:16" x14ac:dyDescent="0.25">
      <c r="N3043" t="s">
        <v>895</v>
      </c>
      <c r="O3043">
        <v>3043</v>
      </c>
      <c r="P3043" t="str">
        <f t="shared" si="47"/>
        <v xml:space="preserve">[^ftn3043]: </v>
      </c>
    </row>
    <row r="3044" spans="14:16" x14ac:dyDescent="0.25">
      <c r="N3044" t="s">
        <v>895</v>
      </c>
      <c r="O3044">
        <v>3044</v>
      </c>
      <c r="P3044" t="str">
        <f t="shared" si="47"/>
        <v xml:space="preserve">[^ftn3044]: </v>
      </c>
    </row>
    <row r="3045" spans="14:16" x14ac:dyDescent="0.25">
      <c r="N3045" t="s">
        <v>895</v>
      </c>
      <c r="O3045">
        <v>3045</v>
      </c>
      <c r="P3045" t="str">
        <f t="shared" si="47"/>
        <v xml:space="preserve">[^ftn3045]: </v>
      </c>
    </row>
    <row r="3046" spans="14:16" x14ac:dyDescent="0.25">
      <c r="N3046" t="s">
        <v>895</v>
      </c>
      <c r="O3046">
        <v>3046</v>
      </c>
      <c r="P3046" t="str">
        <f t="shared" si="47"/>
        <v xml:space="preserve">[^ftn3046]: </v>
      </c>
    </row>
    <row r="3047" spans="14:16" x14ac:dyDescent="0.25">
      <c r="N3047" t="s">
        <v>895</v>
      </c>
      <c r="O3047">
        <v>3047</v>
      </c>
      <c r="P3047" t="str">
        <f t="shared" si="47"/>
        <v xml:space="preserve">[^ftn3047]: </v>
      </c>
    </row>
    <row r="3048" spans="14:16" x14ac:dyDescent="0.25">
      <c r="N3048" t="s">
        <v>895</v>
      </c>
      <c r="O3048">
        <v>3048</v>
      </c>
      <c r="P3048" t="str">
        <f t="shared" si="47"/>
        <v xml:space="preserve">[^ftn3048]: </v>
      </c>
    </row>
    <row r="3049" spans="14:16" x14ac:dyDescent="0.25">
      <c r="N3049" t="s">
        <v>895</v>
      </c>
      <c r="O3049">
        <v>3049</v>
      </c>
      <c r="P3049" t="str">
        <f t="shared" si="47"/>
        <v xml:space="preserve">[^ftn3049]: </v>
      </c>
    </row>
    <row r="3050" spans="14:16" x14ac:dyDescent="0.25">
      <c r="N3050" t="s">
        <v>895</v>
      </c>
      <c r="O3050">
        <v>3050</v>
      </c>
      <c r="P3050" t="str">
        <f t="shared" si="47"/>
        <v xml:space="preserve">[^ftn3050]: </v>
      </c>
    </row>
    <row r="3051" spans="14:16" x14ac:dyDescent="0.25">
      <c r="N3051" t="s">
        <v>895</v>
      </c>
      <c r="O3051">
        <v>3051</v>
      </c>
      <c r="P3051" t="str">
        <f t="shared" si="47"/>
        <v xml:space="preserve">[^ftn3051]: </v>
      </c>
    </row>
    <row r="3052" spans="14:16" x14ac:dyDescent="0.25">
      <c r="N3052" t="s">
        <v>895</v>
      </c>
      <c r="O3052">
        <v>3052</v>
      </c>
      <c r="P3052" t="str">
        <f t="shared" si="47"/>
        <v xml:space="preserve">[^ftn3052]: </v>
      </c>
    </row>
    <row r="3053" spans="14:16" x14ac:dyDescent="0.25">
      <c r="N3053" t="s">
        <v>895</v>
      </c>
      <c r="O3053">
        <v>3053</v>
      </c>
      <c r="P3053" t="str">
        <f t="shared" si="47"/>
        <v xml:space="preserve">[^ftn3053]: </v>
      </c>
    </row>
    <row r="3054" spans="14:16" x14ac:dyDescent="0.25">
      <c r="N3054" t="s">
        <v>895</v>
      </c>
      <c r="O3054">
        <v>3054</v>
      </c>
      <c r="P3054" t="str">
        <f t="shared" si="47"/>
        <v xml:space="preserve">[^ftn3054]: </v>
      </c>
    </row>
    <row r="3055" spans="14:16" x14ac:dyDescent="0.25">
      <c r="N3055" t="s">
        <v>895</v>
      </c>
      <c r="O3055">
        <v>3055</v>
      </c>
      <c r="P3055" t="str">
        <f t="shared" si="47"/>
        <v xml:space="preserve">[^ftn3055]: </v>
      </c>
    </row>
    <row r="3056" spans="14:16" x14ac:dyDescent="0.25">
      <c r="N3056" t="s">
        <v>895</v>
      </c>
      <c r="O3056">
        <v>3056</v>
      </c>
      <c r="P3056" t="str">
        <f t="shared" si="47"/>
        <v xml:space="preserve">[^ftn3056]: </v>
      </c>
    </row>
    <row r="3057" spans="14:16" x14ac:dyDescent="0.25">
      <c r="N3057" t="s">
        <v>895</v>
      </c>
      <c r="O3057">
        <v>3057</v>
      </c>
      <c r="P3057" t="str">
        <f t="shared" si="47"/>
        <v xml:space="preserve">[^ftn3057]: </v>
      </c>
    </row>
    <row r="3058" spans="14:16" x14ac:dyDescent="0.25">
      <c r="N3058" t="s">
        <v>895</v>
      </c>
      <c r="O3058">
        <v>3058</v>
      </c>
      <c r="P3058" t="str">
        <f t="shared" si="47"/>
        <v xml:space="preserve">[^ftn3058]: </v>
      </c>
    </row>
    <row r="3059" spans="14:16" x14ac:dyDescent="0.25">
      <c r="N3059" t="s">
        <v>895</v>
      </c>
      <c r="O3059">
        <v>3059</v>
      </c>
      <c r="P3059" t="str">
        <f t="shared" si="47"/>
        <v xml:space="preserve">[^ftn3059]: </v>
      </c>
    </row>
    <row r="3060" spans="14:16" x14ac:dyDescent="0.25">
      <c r="N3060" t="s">
        <v>895</v>
      </c>
      <c r="O3060">
        <v>3060</v>
      </c>
      <c r="P3060" t="str">
        <f t="shared" si="47"/>
        <v xml:space="preserve">[^ftn3060]: </v>
      </c>
    </row>
    <row r="3061" spans="14:16" x14ac:dyDescent="0.25">
      <c r="N3061" t="s">
        <v>895</v>
      </c>
      <c r="O3061">
        <v>3061</v>
      </c>
      <c r="P3061" t="str">
        <f t="shared" si="47"/>
        <v xml:space="preserve">[^ftn3061]: </v>
      </c>
    </row>
    <row r="3062" spans="14:16" x14ac:dyDescent="0.25">
      <c r="N3062" t="s">
        <v>895</v>
      </c>
      <c r="O3062">
        <v>3062</v>
      </c>
      <c r="P3062" t="str">
        <f t="shared" si="47"/>
        <v xml:space="preserve">[^ftn3062]: </v>
      </c>
    </row>
    <row r="3063" spans="14:16" x14ac:dyDescent="0.25">
      <c r="N3063" t="s">
        <v>895</v>
      </c>
      <c r="O3063">
        <v>3063</v>
      </c>
      <c r="P3063" t="str">
        <f t="shared" si="47"/>
        <v xml:space="preserve">[^ftn3063]: </v>
      </c>
    </row>
    <row r="3064" spans="14:16" x14ac:dyDescent="0.25">
      <c r="N3064" t="s">
        <v>895</v>
      </c>
      <c r="O3064">
        <v>3064</v>
      </c>
      <c r="P3064" t="str">
        <f t="shared" si="47"/>
        <v xml:space="preserve">[^ftn3064]: </v>
      </c>
    </row>
    <row r="3065" spans="14:16" x14ac:dyDescent="0.25">
      <c r="N3065" t="s">
        <v>895</v>
      </c>
      <c r="O3065">
        <v>3065</v>
      </c>
      <c r="P3065" t="str">
        <f t="shared" si="47"/>
        <v xml:space="preserve">[^ftn3065]: </v>
      </c>
    </row>
    <row r="3066" spans="14:16" x14ac:dyDescent="0.25">
      <c r="N3066" t="s">
        <v>895</v>
      </c>
      <c r="O3066">
        <v>3066</v>
      </c>
      <c r="P3066" t="str">
        <f t="shared" si="47"/>
        <v xml:space="preserve">[^ftn3066]: </v>
      </c>
    </row>
    <row r="3067" spans="14:16" x14ac:dyDescent="0.25">
      <c r="N3067" t="s">
        <v>895</v>
      </c>
      <c r="O3067">
        <v>3067</v>
      </c>
      <c r="P3067" t="str">
        <f t="shared" si="47"/>
        <v xml:space="preserve">[^ftn3067]: </v>
      </c>
    </row>
    <row r="3068" spans="14:16" x14ac:dyDescent="0.25">
      <c r="N3068" t="s">
        <v>895</v>
      </c>
      <c r="O3068">
        <v>3068</v>
      </c>
      <c r="P3068" t="str">
        <f t="shared" si="47"/>
        <v xml:space="preserve">[^ftn3068]: </v>
      </c>
    </row>
    <row r="3069" spans="14:16" x14ac:dyDescent="0.25">
      <c r="N3069" t="s">
        <v>895</v>
      </c>
      <c r="O3069">
        <v>3069</v>
      </c>
      <c r="P3069" t="str">
        <f t="shared" si="47"/>
        <v xml:space="preserve">[^ftn3069]: </v>
      </c>
    </row>
    <row r="3070" spans="14:16" x14ac:dyDescent="0.25">
      <c r="N3070" t="s">
        <v>895</v>
      </c>
      <c r="O3070">
        <v>3070</v>
      </c>
      <c r="P3070" t="str">
        <f t="shared" si="47"/>
        <v xml:space="preserve">[^ftn3070]: </v>
      </c>
    </row>
    <row r="3071" spans="14:16" x14ac:dyDescent="0.25">
      <c r="N3071" t="s">
        <v>895</v>
      </c>
      <c r="O3071">
        <v>3071</v>
      </c>
      <c r="P3071" t="str">
        <f t="shared" si="47"/>
        <v xml:space="preserve">[^ftn3071]: </v>
      </c>
    </row>
    <row r="3072" spans="14:16" x14ac:dyDescent="0.25">
      <c r="N3072" t="s">
        <v>895</v>
      </c>
      <c r="O3072">
        <v>3072</v>
      </c>
      <c r="P3072" t="str">
        <f t="shared" si="47"/>
        <v xml:space="preserve">[^ftn3072]: </v>
      </c>
    </row>
    <row r="3073" spans="14:16" x14ac:dyDescent="0.25">
      <c r="N3073" t="s">
        <v>895</v>
      </c>
      <c r="O3073">
        <v>3073</v>
      </c>
      <c r="P3073" t="str">
        <f t="shared" si="47"/>
        <v xml:space="preserve">[^ftn3073]: </v>
      </c>
    </row>
    <row r="3074" spans="14:16" x14ac:dyDescent="0.25">
      <c r="N3074" t="s">
        <v>895</v>
      </c>
      <c r="O3074">
        <v>3074</v>
      </c>
      <c r="P3074" t="str">
        <f t="shared" ref="P3074:P3137" si="48">_xlfn.CONCAT("[^ftn",O3074,"]: ",)</f>
        <v xml:space="preserve">[^ftn3074]: </v>
      </c>
    </row>
    <row r="3075" spans="14:16" x14ac:dyDescent="0.25">
      <c r="N3075" t="s">
        <v>895</v>
      </c>
      <c r="O3075">
        <v>3075</v>
      </c>
      <c r="P3075" t="str">
        <f t="shared" si="48"/>
        <v xml:space="preserve">[^ftn3075]: </v>
      </c>
    </row>
    <row r="3076" spans="14:16" x14ac:dyDescent="0.25">
      <c r="N3076" t="s">
        <v>895</v>
      </c>
      <c r="O3076">
        <v>3076</v>
      </c>
      <c r="P3076" t="str">
        <f t="shared" si="48"/>
        <v xml:space="preserve">[^ftn3076]: </v>
      </c>
    </row>
    <row r="3077" spans="14:16" x14ac:dyDescent="0.25">
      <c r="N3077" t="s">
        <v>895</v>
      </c>
      <c r="O3077">
        <v>3077</v>
      </c>
      <c r="P3077" t="str">
        <f t="shared" si="48"/>
        <v xml:space="preserve">[^ftn3077]: </v>
      </c>
    </row>
    <row r="3078" spans="14:16" x14ac:dyDescent="0.25">
      <c r="N3078" t="s">
        <v>895</v>
      </c>
      <c r="O3078">
        <v>3078</v>
      </c>
      <c r="P3078" t="str">
        <f t="shared" si="48"/>
        <v xml:space="preserve">[^ftn3078]: </v>
      </c>
    </row>
    <row r="3079" spans="14:16" x14ac:dyDescent="0.25">
      <c r="N3079" t="s">
        <v>895</v>
      </c>
      <c r="O3079">
        <v>3079</v>
      </c>
      <c r="P3079" t="str">
        <f t="shared" si="48"/>
        <v xml:space="preserve">[^ftn3079]: </v>
      </c>
    </row>
    <row r="3080" spans="14:16" x14ac:dyDescent="0.25">
      <c r="N3080" t="s">
        <v>895</v>
      </c>
      <c r="O3080">
        <v>3080</v>
      </c>
      <c r="P3080" t="str">
        <f t="shared" si="48"/>
        <v xml:space="preserve">[^ftn3080]: </v>
      </c>
    </row>
    <row r="3081" spans="14:16" x14ac:dyDescent="0.25">
      <c r="N3081" t="s">
        <v>895</v>
      </c>
      <c r="O3081">
        <v>3081</v>
      </c>
      <c r="P3081" t="str">
        <f t="shared" si="48"/>
        <v xml:space="preserve">[^ftn3081]: </v>
      </c>
    </row>
    <row r="3082" spans="14:16" x14ac:dyDescent="0.25">
      <c r="N3082" t="s">
        <v>895</v>
      </c>
      <c r="O3082">
        <v>3082</v>
      </c>
      <c r="P3082" t="str">
        <f t="shared" si="48"/>
        <v xml:space="preserve">[^ftn3082]: </v>
      </c>
    </row>
    <row r="3083" spans="14:16" x14ac:dyDescent="0.25">
      <c r="N3083" t="s">
        <v>895</v>
      </c>
      <c r="O3083">
        <v>3083</v>
      </c>
      <c r="P3083" t="str">
        <f t="shared" si="48"/>
        <v xml:space="preserve">[^ftn3083]: </v>
      </c>
    </row>
    <row r="3084" spans="14:16" x14ac:dyDescent="0.25">
      <c r="N3084" t="s">
        <v>895</v>
      </c>
      <c r="O3084">
        <v>3084</v>
      </c>
      <c r="P3084" t="str">
        <f t="shared" si="48"/>
        <v xml:space="preserve">[^ftn3084]: </v>
      </c>
    </row>
    <row r="3085" spans="14:16" x14ac:dyDescent="0.25">
      <c r="N3085" t="s">
        <v>895</v>
      </c>
      <c r="O3085">
        <v>3085</v>
      </c>
      <c r="P3085" t="str">
        <f t="shared" si="48"/>
        <v xml:space="preserve">[^ftn3085]: </v>
      </c>
    </row>
    <row r="3086" spans="14:16" x14ac:dyDescent="0.25">
      <c r="N3086" t="s">
        <v>895</v>
      </c>
      <c r="O3086">
        <v>3086</v>
      </c>
      <c r="P3086" t="str">
        <f t="shared" si="48"/>
        <v xml:space="preserve">[^ftn3086]: </v>
      </c>
    </row>
    <row r="3087" spans="14:16" x14ac:dyDescent="0.25">
      <c r="N3087" t="s">
        <v>895</v>
      </c>
      <c r="O3087">
        <v>3087</v>
      </c>
      <c r="P3087" t="str">
        <f t="shared" si="48"/>
        <v xml:space="preserve">[^ftn3087]: </v>
      </c>
    </row>
    <row r="3088" spans="14:16" x14ac:dyDescent="0.25">
      <c r="N3088" t="s">
        <v>895</v>
      </c>
      <c r="O3088">
        <v>3088</v>
      </c>
      <c r="P3088" t="str">
        <f t="shared" si="48"/>
        <v xml:space="preserve">[^ftn3088]: </v>
      </c>
    </row>
    <row r="3089" spans="14:16" x14ac:dyDescent="0.25">
      <c r="N3089" t="s">
        <v>895</v>
      </c>
      <c r="O3089">
        <v>3089</v>
      </c>
      <c r="P3089" t="str">
        <f t="shared" si="48"/>
        <v xml:space="preserve">[^ftn3089]: </v>
      </c>
    </row>
    <row r="3090" spans="14:16" x14ac:dyDescent="0.25">
      <c r="N3090" t="s">
        <v>895</v>
      </c>
      <c r="O3090">
        <v>3090</v>
      </c>
      <c r="P3090" t="str">
        <f t="shared" si="48"/>
        <v xml:space="preserve">[^ftn3090]: </v>
      </c>
    </row>
    <row r="3091" spans="14:16" x14ac:dyDescent="0.25">
      <c r="N3091" t="s">
        <v>895</v>
      </c>
      <c r="O3091">
        <v>3091</v>
      </c>
      <c r="P3091" t="str">
        <f t="shared" si="48"/>
        <v xml:space="preserve">[^ftn3091]: </v>
      </c>
    </row>
    <row r="3092" spans="14:16" x14ac:dyDescent="0.25">
      <c r="N3092" t="s">
        <v>895</v>
      </c>
      <c r="O3092">
        <v>3092</v>
      </c>
      <c r="P3092" t="str">
        <f t="shared" si="48"/>
        <v xml:space="preserve">[^ftn3092]: </v>
      </c>
    </row>
    <row r="3093" spans="14:16" x14ac:dyDescent="0.25">
      <c r="N3093" t="s">
        <v>895</v>
      </c>
      <c r="O3093">
        <v>3093</v>
      </c>
      <c r="P3093" t="str">
        <f t="shared" si="48"/>
        <v xml:space="preserve">[^ftn3093]: </v>
      </c>
    </row>
    <row r="3094" spans="14:16" x14ac:dyDescent="0.25">
      <c r="N3094" t="s">
        <v>895</v>
      </c>
      <c r="O3094">
        <v>3094</v>
      </c>
      <c r="P3094" t="str">
        <f t="shared" si="48"/>
        <v xml:space="preserve">[^ftn3094]: </v>
      </c>
    </row>
    <row r="3095" spans="14:16" x14ac:dyDescent="0.25">
      <c r="N3095" t="s">
        <v>895</v>
      </c>
      <c r="O3095">
        <v>3095</v>
      </c>
      <c r="P3095" t="str">
        <f t="shared" si="48"/>
        <v xml:space="preserve">[^ftn3095]: </v>
      </c>
    </row>
    <row r="3096" spans="14:16" x14ac:dyDescent="0.25">
      <c r="N3096" t="s">
        <v>895</v>
      </c>
      <c r="O3096">
        <v>3096</v>
      </c>
      <c r="P3096" t="str">
        <f t="shared" si="48"/>
        <v xml:space="preserve">[^ftn3096]: </v>
      </c>
    </row>
    <row r="3097" spans="14:16" x14ac:dyDescent="0.25">
      <c r="N3097" t="s">
        <v>895</v>
      </c>
      <c r="O3097">
        <v>3097</v>
      </c>
      <c r="P3097" t="str">
        <f t="shared" si="48"/>
        <v xml:space="preserve">[^ftn3097]: </v>
      </c>
    </row>
    <row r="3098" spans="14:16" x14ac:dyDescent="0.25">
      <c r="N3098" t="s">
        <v>895</v>
      </c>
      <c r="O3098">
        <v>3098</v>
      </c>
      <c r="P3098" t="str">
        <f t="shared" si="48"/>
        <v xml:space="preserve">[^ftn3098]: </v>
      </c>
    </row>
    <row r="3099" spans="14:16" x14ac:dyDescent="0.25">
      <c r="N3099" t="s">
        <v>895</v>
      </c>
      <c r="O3099">
        <v>3099</v>
      </c>
      <c r="P3099" t="str">
        <f t="shared" si="48"/>
        <v xml:space="preserve">[^ftn3099]: </v>
      </c>
    </row>
    <row r="3100" spans="14:16" x14ac:dyDescent="0.25">
      <c r="N3100" t="s">
        <v>895</v>
      </c>
      <c r="O3100">
        <v>3100</v>
      </c>
      <c r="P3100" t="str">
        <f t="shared" si="48"/>
        <v xml:space="preserve">[^ftn3100]: </v>
      </c>
    </row>
    <row r="3101" spans="14:16" x14ac:dyDescent="0.25">
      <c r="N3101" t="s">
        <v>895</v>
      </c>
      <c r="O3101">
        <v>3101</v>
      </c>
      <c r="P3101" t="str">
        <f t="shared" si="48"/>
        <v xml:space="preserve">[^ftn3101]: </v>
      </c>
    </row>
    <row r="3102" spans="14:16" x14ac:dyDescent="0.25">
      <c r="N3102" t="s">
        <v>895</v>
      </c>
      <c r="O3102">
        <v>3102</v>
      </c>
      <c r="P3102" t="str">
        <f t="shared" si="48"/>
        <v xml:space="preserve">[^ftn3102]: </v>
      </c>
    </row>
    <row r="3103" spans="14:16" x14ac:dyDescent="0.25">
      <c r="N3103" t="s">
        <v>895</v>
      </c>
      <c r="O3103">
        <v>3103</v>
      </c>
      <c r="P3103" t="str">
        <f t="shared" si="48"/>
        <v xml:space="preserve">[^ftn3103]: </v>
      </c>
    </row>
    <row r="3104" spans="14:16" x14ac:dyDescent="0.25">
      <c r="N3104" t="s">
        <v>895</v>
      </c>
      <c r="O3104">
        <v>3104</v>
      </c>
      <c r="P3104" t="str">
        <f t="shared" si="48"/>
        <v xml:space="preserve">[^ftn3104]: </v>
      </c>
    </row>
    <row r="3105" spans="14:16" x14ac:dyDescent="0.25">
      <c r="N3105" t="s">
        <v>895</v>
      </c>
      <c r="O3105">
        <v>3105</v>
      </c>
      <c r="P3105" t="str">
        <f t="shared" si="48"/>
        <v xml:space="preserve">[^ftn3105]: </v>
      </c>
    </row>
    <row r="3106" spans="14:16" x14ac:dyDescent="0.25">
      <c r="N3106" t="s">
        <v>895</v>
      </c>
      <c r="O3106">
        <v>3106</v>
      </c>
      <c r="P3106" t="str">
        <f t="shared" si="48"/>
        <v xml:space="preserve">[^ftn3106]: </v>
      </c>
    </row>
    <row r="3107" spans="14:16" x14ac:dyDescent="0.25">
      <c r="N3107" t="s">
        <v>895</v>
      </c>
      <c r="O3107">
        <v>3107</v>
      </c>
      <c r="P3107" t="str">
        <f t="shared" si="48"/>
        <v xml:space="preserve">[^ftn3107]: </v>
      </c>
    </row>
    <row r="3108" spans="14:16" x14ac:dyDescent="0.25">
      <c r="N3108" t="s">
        <v>895</v>
      </c>
      <c r="O3108">
        <v>3108</v>
      </c>
      <c r="P3108" t="str">
        <f t="shared" si="48"/>
        <v xml:space="preserve">[^ftn3108]: </v>
      </c>
    </row>
    <row r="3109" spans="14:16" x14ac:dyDescent="0.25">
      <c r="N3109" t="s">
        <v>895</v>
      </c>
      <c r="O3109">
        <v>3109</v>
      </c>
      <c r="P3109" t="str">
        <f t="shared" si="48"/>
        <v xml:space="preserve">[^ftn3109]: </v>
      </c>
    </row>
    <row r="3110" spans="14:16" x14ac:dyDescent="0.25">
      <c r="N3110" t="s">
        <v>895</v>
      </c>
      <c r="O3110">
        <v>3110</v>
      </c>
      <c r="P3110" t="str">
        <f t="shared" si="48"/>
        <v xml:space="preserve">[^ftn3110]: </v>
      </c>
    </row>
    <row r="3111" spans="14:16" x14ac:dyDescent="0.25">
      <c r="N3111" t="s">
        <v>895</v>
      </c>
      <c r="O3111">
        <v>3111</v>
      </c>
      <c r="P3111" t="str">
        <f t="shared" si="48"/>
        <v xml:space="preserve">[^ftn3111]: </v>
      </c>
    </row>
    <row r="3112" spans="14:16" x14ac:dyDescent="0.25">
      <c r="N3112" t="s">
        <v>895</v>
      </c>
      <c r="O3112">
        <v>3112</v>
      </c>
      <c r="P3112" t="str">
        <f t="shared" si="48"/>
        <v xml:space="preserve">[^ftn3112]: </v>
      </c>
    </row>
    <row r="3113" spans="14:16" x14ac:dyDescent="0.25">
      <c r="N3113" t="s">
        <v>895</v>
      </c>
      <c r="O3113">
        <v>3113</v>
      </c>
      <c r="P3113" t="str">
        <f t="shared" si="48"/>
        <v xml:space="preserve">[^ftn3113]: </v>
      </c>
    </row>
    <row r="3114" spans="14:16" x14ac:dyDescent="0.25">
      <c r="N3114" t="s">
        <v>895</v>
      </c>
      <c r="O3114">
        <v>3114</v>
      </c>
      <c r="P3114" t="str">
        <f t="shared" si="48"/>
        <v xml:space="preserve">[^ftn3114]: </v>
      </c>
    </row>
    <row r="3115" spans="14:16" x14ac:dyDescent="0.25">
      <c r="N3115" t="s">
        <v>895</v>
      </c>
      <c r="O3115">
        <v>3115</v>
      </c>
      <c r="P3115" t="str">
        <f t="shared" si="48"/>
        <v xml:space="preserve">[^ftn3115]: </v>
      </c>
    </row>
    <row r="3116" spans="14:16" x14ac:dyDescent="0.25">
      <c r="N3116" t="s">
        <v>895</v>
      </c>
      <c r="O3116">
        <v>3116</v>
      </c>
      <c r="P3116" t="str">
        <f t="shared" si="48"/>
        <v xml:space="preserve">[^ftn3116]: </v>
      </c>
    </row>
    <row r="3117" spans="14:16" x14ac:dyDescent="0.25">
      <c r="N3117" t="s">
        <v>895</v>
      </c>
      <c r="O3117">
        <v>3117</v>
      </c>
      <c r="P3117" t="str">
        <f t="shared" si="48"/>
        <v xml:space="preserve">[^ftn3117]: </v>
      </c>
    </row>
    <row r="3118" spans="14:16" x14ac:dyDescent="0.25">
      <c r="N3118" t="s">
        <v>895</v>
      </c>
      <c r="O3118">
        <v>3118</v>
      </c>
      <c r="P3118" t="str">
        <f t="shared" si="48"/>
        <v xml:space="preserve">[^ftn3118]: </v>
      </c>
    </row>
    <row r="3119" spans="14:16" x14ac:dyDescent="0.25">
      <c r="N3119" t="s">
        <v>895</v>
      </c>
      <c r="O3119">
        <v>3119</v>
      </c>
      <c r="P3119" t="str">
        <f t="shared" si="48"/>
        <v xml:space="preserve">[^ftn3119]: </v>
      </c>
    </row>
    <row r="3120" spans="14:16" x14ac:dyDescent="0.25">
      <c r="N3120" t="s">
        <v>895</v>
      </c>
      <c r="O3120">
        <v>3120</v>
      </c>
      <c r="P3120" t="str">
        <f t="shared" si="48"/>
        <v xml:space="preserve">[^ftn3120]: </v>
      </c>
    </row>
    <row r="3121" spans="14:16" x14ac:dyDescent="0.25">
      <c r="N3121" t="s">
        <v>895</v>
      </c>
      <c r="O3121">
        <v>3121</v>
      </c>
      <c r="P3121" t="str">
        <f t="shared" si="48"/>
        <v xml:space="preserve">[^ftn3121]: </v>
      </c>
    </row>
    <row r="3122" spans="14:16" x14ac:dyDescent="0.25">
      <c r="N3122" t="s">
        <v>895</v>
      </c>
      <c r="O3122">
        <v>3122</v>
      </c>
      <c r="P3122" t="str">
        <f t="shared" si="48"/>
        <v xml:space="preserve">[^ftn3122]: </v>
      </c>
    </row>
    <row r="3123" spans="14:16" x14ac:dyDescent="0.25">
      <c r="N3123" t="s">
        <v>895</v>
      </c>
      <c r="O3123">
        <v>3123</v>
      </c>
      <c r="P3123" t="str">
        <f t="shared" si="48"/>
        <v xml:space="preserve">[^ftn3123]: </v>
      </c>
    </row>
    <row r="3124" spans="14:16" x14ac:dyDescent="0.25">
      <c r="N3124" t="s">
        <v>895</v>
      </c>
      <c r="O3124">
        <v>3124</v>
      </c>
      <c r="P3124" t="str">
        <f t="shared" si="48"/>
        <v xml:space="preserve">[^ftn3124]: </v>
      </c>
    </row>
    <row r="3125" spans="14:16" x14ac:dyDescent="0.25">
      <c r="N3125" t="s">
        <v>895</v>
      </c>
      <c r="O3125">
        <v>3125</v>
      </c>
      <c r="P3125" t="str">
        <f t="shared" si="48"/>
        <v xml:space="preserve">[^ftn3125]: </v>
      </c>
    </row>
    <row r="3126" spans="14:16" x14ac:dyDescent="0.25">
      <c r="N3126" t="s">
        <v>895</v>
      </c>
      <c r="O3126">
        <v>3126</v>
      </c>
      <c r="P3126" t="str">
        <f t="shared" si="48"/>
        <v xml:space="preserve">[^ftn3126]: </v>
      </c>
    </row>
    <row r="3127" spans="14:16" x14ac:dyDescent="0.25">
      <c r="N3127" t="s">
        <v>895</v>
      </c>
      <c r="O3127">
        <v>3127</v>
      </c>
      <c r="P3127" t="str">
        <f t="shared" si="48"/>
        <v xml:space="preserve">[^ftn3127]: </v>
      </c>
    </row>
    <row r="3128" spans="14:16" x14ac:dyDescent="0.25">
      <c r="N3128" t="s">
        <v>895</v>
      </c>
      <c r="O3128">
        <v>3128</v>
      </c>
      <c r="P3128" t="str">
        <f t="shared" si="48"/>
        <v xml:space="preserve">[^ftn3128]: </v>
      </c>
    </row>
    <row r="3129" spans="14:16" x14ac:dyDescent="0.25">
      <c r="N3129" t="s">
        <v>895</v>
      </c>
      <c r="O3129">
        <v>3129</v>
      </c>
      <c r="P3129" t="str">
        <f t="shared" si="48"/>
        <v xml:space="preserve">[^ftn3129]: </v>
      </c>
    </row>
    <row r="3130" spans="14:16" x14ac:dyDescent="0.25">
      <c r="N3130" t="s">
        <v>895</v>
      </c>
      <c r="O3130">
        <v>3130</v>
      </c>
      <c r="P3130" t="str">
        <f t="shared" si="48"/>
        <v xml:space="preserve">[^ftn3130]: </v>
      </c>
    </row>
    <row r="3131" spans="14:16" x14ac:dyDescent="0.25">
      <c r="N3131" t="s">
        <v>895</v>
      </c>
      <c r="O3131">
        <v>3131</v>
      </c>
      <c r="P3131" t="str">
        <f t="shared" si="48"/>
        <v xml:space="preserve">[^ftn3131]: </v>
      </c>
    </row>
    <row r="3132" spans="14:16" x14ac:dyDescent="0.25">
      <c r="N3132" t="s">
        <v>895</v>
      </c>
      <c r="O3132">
        <v>3132</v>
      </c>
      <c r="P3132" t="str">
        <f t="shared" si="48"/>
        <v xml:space="preserve">[^ftn3132]: </v>
      </c>
    </row>
    <row r="3133" spans="14:16" x14ac:dyDescent="0.25">
      <c r="N3133" t="s">
        <v>895</v>
      </c>
      <c r="O3133">
        <v>3133</v>
      </c>
      <c r="P3133" t="str">
        <f t="shared" si="48"/>
        <v xml:space="preserve">[^ftn3133]: </v>
      </c>
    </row>
    <row r="3134" spans="14:16" x14ac:dyDescent="0.25">
      <c r="N3134" t="s">
        <v>895</v>
      </c>
      <c r="O3134">
        <v>3134</v>
      </c>
      <c r="P3134" t="str">
        <f t="shared" si="48"/>
        <v xml:space="preserve">[^ftn3134]: </v>
      </c>
    </row>
    <row r="3135" spans="14:16" x14ac:dyDescent="0.25">
      <c r="N3135" t="s">
        <v>895</v>
      </c>
      <c r="O3135">
        <v>3135</v>
      </c>
      <c r="P3135" t="str">
        <f t="shared" si="48"/>
        <v xml:space="preserve">[^ftn3135]: </v>
      </c>
    </row>
    <row r="3136" spans="14:16" x14ac:dyDescent="0.25">
      <c r="N3136" t="s">
        <v>895</v>
      </c>
      <c r="O3136">
        <v>3136</v>
      </c>
      <c r="P3136" t="str">
        <f t="shared" si="48"/>
        <v xml:space="preserve">[^ftn3136]: </v>
      </c>
    </row>
    <row r="3137" spans="14:16" x14ac:dyDescent="0.25">
      <c r="N3137" t="s">
        <v>895</v>
      </c>
      <c r="O3137">
        <v>3137</v>
      </c>
      <c r="P3137" t="str">
        <f t="shared" si="48"/>
        <v xml:space="preserve">[^ftn3137]: </v>
      </c>
    </row>
    <row r="3138" spans="14:16" x14ac:dyDescent="0.25">
      <c r="N3138" t="s">
        <v>895</v>
      </c>
      <c r="O3138">
        <v>3138</v>
      </c>
      <c r="P3138" t="str">
        <f t="shared" ref="P3138:P3201" si="49">_xlfn.CONCAT("[^ftn",O3138,"]: ",)</f>
        <v xml:space="preserve">[^ftn3138]: </v>
      </c>
    </row>
    <row r="3139" spans="14:16" x14ac:dyDescent="0.25">
      <c r="N3139" t="s">
        <v>895</v>
      </c>
      <c r="O3139">
        <v>3139</v>
      </c>
      <c r="P3139" t="str">
        <f t="shared" si="49"/>
        <v xml:space="preserve">[^ftn3139]: </v>
      </c>
    </row>
    <row r="3140" spans="14:16" x14ac:dyDescent="0.25">
      <c r="N3140" t="s">
        <v>895</v>
      </c>
      <c r="O3140">
        <v>3140</v>
      </c>
      <c r="P3140" t="str">
        <f t="shared" si="49"/>
        <v xml:space="preserve">[^ftn3140]: </v>
      </c>
    </row>
    <row r="3141" spans="14:16" x14ac:dyDescent="0.25">
      <c r="N3141" t="s">
        <v>895</v>
      </c>
      <c r="O3141">
        <v>3141</v>
      </c>
      <c r="P3141" t="str">
        <f t="shared" si="49"/>
        <v xml:space="preserve">[^ftn3141]: </v>
      </c>
    </row>
    <row r="3142" spans="14:16" x14ac:dyDescent="0.25">
      <c r="N3142" t="s">
        <v>895</v>
      </c>
      <c r="O3142">
        <v>3142</v>
      </c>
      <c r="P3142" t="str">
        <f t="shared" si="49"/>
        <v xml:space="preserve">[^ftn3142]: </v>
      </c>
    </row>
    <row r="3143" spans="14:16" x14ac:dyDescent="0.25">
      <c r="N3143" t="s">
        <v>895</v>
      </c>
      <c r="O3143">
        <v>3143</v>
      </c>
      <c r="P3143" t="str">
        <f t="shared" si="49"/>
        <v xml:space="preserve">[^ftn3143]: </v>
      </c>
    </row>
    <row r="3144" spans="14:16" x14ac:dyDescent="0.25">
      <c r="N3144" t="s">
        <v>895</v>
      </c>
      <c r="O3144">
        <v>3144</v>
      </c>
      <c r="P3144" t="str">
        <f t="shared" si="49"/>
        <v xml:space="preserve">[^ftn3144]: </v>
      </c>
    </row>
    <row r="3145" spans="14:16" x14ac:dyDescent="0.25">
      <c r="N3145" t="s">
        <v>895</v>
      </c>
      <c r="O3145">
        <v>3145</v>
      </c>
      <c r="P3145" t="str">
        <f t="shared" si="49"/>
        <v xml:space="preserve">[^ftn3145]: </v>
      </c>
    </row>
    <row r="3146" spans="14:16" x14ac:dyDescent="0.25">
      <c r="N3146" t="s">
        <v>895</v>
      </c>
      <c r="O3146">
        <v>3146</v>
      </c>
      <c r="P3146" t="str">
        <f t="shared" si="49"/>
        <v xml:space="preserve">[^ftn3146]: </v>
      </c>
    </row>
    <row r="3147" spans="14:16" x14ac:dyDescent="0.25">
      <c r="N3147" t="s">
        <v>895</v>
      </c>
      <c r="O3147">
        <v>3147</v>
      </c>
      <c r="P3147" t="str">
        <f t="shared" si="49"/>
        <v xml:space="preserve">[^ftn3147]: </v>
      </c>
    </row>
    <row r="3148" spans="14:16" x14ac:dyDescent="0.25">
      <c r="N3148" t="s">
        <v>895</v>
      </c>
      <c r="O3148">
        <v>3148</v>
      </c>
      <c r="P3148" t="str">
        <f t="shared" si="49"/>
        <v xml:space="preserve">[^ftn3148]: </v>
      </c>
    </row>
    <row r="3149" spans="14:16" x14ac:dyDescent="0.25">
      <c r="N3149" t="s">
        <v>895</v>
      </c>
      <c r="O3149">
        <v>3149</v>
      </c>
      <c r="P3149" t="str">
        <f t="shared" si="49"/>
        <v xml:space="preserve">[^ftn3149]: </v>
      </c>
    </row>
    <row r="3150" spans="14:16" x14ac:dyDescent="0.25">
      <c r="N3150" t="s">
        <v>895</v>
      </c>
      <c r="O3150">
        <v>3150</v>
      </c>
      <c r="P3150" t="str">
        <f t="shared" si="49"/>
        <v xml:space="preserve">[^ftn3150]: </v>
      </c>
    </row>
    <row r="3151" spans="14:16" x14ac:dyDescent="0.25">
      <c r="N3151" t="s">
        <v>895</v>
      </c>
      <c r="O3151">
        <v>3151</v>
      </c>
      <c r="P3151" t="str">
        <f t="shared" si="49"/>
        <v xml:space="preserve">[^ftn3151]: </v>
      </c>
    </row>
    <row r="3152" spans="14:16" x14ac:dyDescent="0.25">
      <c r="N3152" t="s">
        <v>895</v>
      </c>
      <c r="O3152">
        <v>3152</v>
      </c>
      <c r="P3152" t="str">
        <f t="shared" si="49"/>
        <v xml:space="preserve">[^ftn3152]: </v>
      </c>
    </row>
    <row r="3153" spans="14:16" x14ac:dyDescent="0.25">
      <c r="N3153" t="s">
        <v>895</v>
      </c>
      <c r="O3153">
        <v>3153</v>
      </c>
      <c r="P3153" t="str">
        <f t="shared" si="49"/>
        <v xml:space="preserve">[^ftn3153]: </v>
      </c>
    </row>
    <row r="3154" spans="14:16" x14ac:dyDescent="0.25">
      <c r="N3154" t="s">
        <v>895</v>
      </c>
      <c r="O3154">
        <v>3154</v>
      </c>
      <c r="P3154" t="str">
        <f t="shared" si="49"/>
        <v xml:space="preserve">[^ftn3154]: </v>
      </c>
    </row>
    <row r="3155" spans="14:16" x14ac:dyDescent="0.25">
      <c r="N3155" t="s">
        <v>895</v>
      </c>
      <c r="O3155">
        <v>3155</v>
      </c>
      <c r="P3155" t="str">
        <f t="shared" si="49"/>
        <v xml:space="preserve">[^ftn3155]: </v>
      </c>
    </row>
    <row r="3156" spans="14:16" x14ac:dyDescent="0.25">
      <c r="N3156" t="s">
        <v>895</v>
      </c>
      <c r="O3156">
        <v>3156</v>
      </c>
      <c r="P3156" t="str">
        <f t="shared" si="49"/>
        <v xml:space="preserve">[^ftn3156]: </v>
      </c>
    </row>
    <row r="3157" spans="14:16" x14ac:dyDescent="0.25">
      <c r="N3157" t="s">
        <v>895</v>
      </c>
      <c r="O3157">
        <v>3157</v>
      </c>
      <c r="P3157" t="str">
        <f t="shared" si="49"/>
        <v xml:space="preserve">[^ftn3157]: </v>
      </c>
    </row>
    <row r="3158" spans="14:16" x14ac:dyDescent="0.25">
      <c r="N3158" t="s">
        <v>895</v>
      </c>
      <c r="O3158">
        <v>3158</v>
      </c>
      <c r="P3158" t="str">
        <f t="shared" si="49"/>
        <v xml:space="preserve">[^ftn3158]: </v>
      </c>
    </row>
    <row r="3159" spans="14:16" x14ac:dyDescent="0.25">
      <c r="N3159" t="s">
        <v>895</v>
      </c>
      <c r="O3159">
        <v>3159</v>
      </c>
      <c r="P3159" t="str">
        <f t="shared" si="49"/>
        <v xml:space="preserve">[^ftn3159]: </v>
      </c>
    </row>
    <row r="3160" spans="14:16" x14ac:dyDescent="0.25">
      <c r="N3160" t="s">
        <v>895</v>
      </c>
      <c r="O3160">
        <v>3160</v>
      </c>
      <c r="P3160" t="str">
        <f t="shared" si="49"/>
        <v xml:space="preserve">[^ftn3160]: </v>
      </c>
    </row>
    <row r="3161" spans="14:16" x14ac:dyDescent="0.25">
      <c r="N3161" t="s">
        <v>895</v>
      </c>
      <c r="O3161">
        <v>3161</v>
      </c>
      <c r="P3161" t="str">
        <f t="shared" si="49"/>
        <v xml:space="preserve">[^ftn3161]: </v>
      </c>
    </row>
    <row r="3162" spans="14:16" x14ac:dyDescent="0.25">
      <c r="N3162" t="s">
        <v>895</v>
      </c>
      <c r="O3162">
        <v>3162</v>
      </c>
      <c r="P3162" t="str">
        <f t="shared" si="49"/>
        <v xml:space="preserve">[^ftn3162]: </v>
      </c>
    </row>
    <row r="3163" spans="14:16" x14ac:dyDescent="0.25">
      <c r="N3163" t="s">
        <v>895</v>
      </c>
      <c r="O3163">
        <v>3163</v>
      </c>
      <c r="P3163" t="str">
        <f t="shared" si="49"/>
        <v xml:space="preserve">[^ftn3163]: </v>
      </c>
    </row>
    <row r="3164" spans="14:16" x14ac:dyDescent="0.25">
      <c r="N3164" t="s">
        <v>895</v>
      </c>
      <c r="O3164">
        <v>3164</v>
      </c>
      <c r="P3164" t="str">
        <f t="shared" si="49"/>
        <v xml:space="preserve">[^ftn3164]: </v>
      </c>
    </row>
    <row r="3165" spans="14:16" x14ac:dyDescent="0.25">
      <c r="N3165" t="s">
        <v>895</v>
      </c>
      <c r="O3165">
        <v>3165</v>
      </c>
      <c r="P3165" t="str">
        <f t="shared" si="49"/>
        <v xml:space="preserve">[^ftn3165]: </v>
      </c>
    </row>
    <row r="3166" spans="14:16" x14ac:dyDescent="0.25">
      <c r="N3166" t="s">
        <v>895</v>
      </c>
      <c r="O3166">
        <v>3166</v>
      </c>
      <c r="P3166" t="str">
        <f t="shared" si="49"/>
        <v xml:space="preserve">[^ftn3166]: </v>
      </c>
    </row>
    <row r="3167" spans="14:16" x14ac:dyDescent="0.25">
      <c r="N3167" t="s">
        <v>895</v>
      </c>
      <c r="O3167">
        <v>3167</v>
      </c>
      <c r="P3167" t="str">
        <f t="shared" si="49"/>
        <v xml:space="preserve">[^ftn3167]: </v>
      </c>
    </row>
    <row r="3168" spans="14:16" x14ac:dyDescent="0.25">
      <c r="N3168" t="s">
        <v>895</v>
      </c>
      <c r="O3168">
        <v>3168</v>
      </c>
      <c r="P3168" t="str">
        <f t="shared" si="49"/>
        <v xml:space="preserve">[^ftn3168]: </v>
      </c>
    </row>
    <row r="3169" spans="14:16" x14ac:dyDescent="0.25">
      <c r="N3169" t="s">
        <v>895</v>
      </c>
      <c r="O3169">
        <v>3169</v>
      </c>
      <c r="P3169" t="str">
        <f t="shared" si="49"/>
        <v xml:space="preserve">[^ftn3169]: </v>
      </c>
    </row>
    <row r="3170" spans="14:16" x14ac:dyDescent="0.25">
      <c r="N3170" t="s">
        <v>895</v>
      </c>
      <c r="O3170">
        <v>3170</v>
      </c>
      <c r="P3170" t="str">
        <f t="shared" si="49"/>
        <v xml:space="preserve">[^ftn3170]: </v>
      </c>
    </row>
    <row r="3171" spans="14:16" x14ac:dyDescent="0.25">
      <c r="N3171" t="s">
        <v>895</v>
      </c>
      <c r="O3171">
        <v>3171</v>
      </c>
      <c r="P3171" t="str">
        <f t="shared" si="49"/>
        <v xml:space="preserve">[^ftn3171]: </v>
      </c>
    </row>
    <row r="3172" spans="14:16" x14ac:dyDescent="0.25">
      <c r="N3172" s="4" t="s">
        <v>895</v>
      </c>
      <c r="O3172" s="4">
        <v>3172</v>
      </c>
      <c r="P3172" s="4" t="str">
        <f t="shared" si="49"/>
        <v xml:space="preserve">[^ftn3172]: </v>
      </c>
    </row>
    <row r="3173" spans="14:16" x14ac:dyDescent="0.25">
      <c r="N3173" t="s">
        <v>895</v>
      </c>
      <c r="O3173">
        <v>3173</v>
      </c>
      <c r="P3173" t="str">
        <f t="shared" si="49"/>
        <v xml:space="preserve">[^ftn3173]: </v>
      </c>
    </row>
    <row r="3174" spans="14:16" x14ac:dyDescent="0.25">
      <c r="N3174" t="s">
        <v>895</v>
      </c>
      <c r="O3174">
        <v>3174</v>
      </c>
      <c r="P3174" t="str">
        <f t="shared" si="49"/>
        <v xml:space="preserve">[^ftn3174]: </v>
      </c>
    </row>
    <row r="3175" spans="14:16" x14ac:dyDescent="0.25">
      <c r="N3175" t="s">
        <v>895</v>
      </c>
      <c r="O3175">
        <v>3175</v>
      </c>
      <c r="P3175" t="str">
        <f t="shared" si="49"/>
        <v xml:space="preserve">[^ftn3175]: </v>
      </c>
    </row>
    <row r="3176" spans="14:16" x14ac:dyDescent="0.25">
      <c r="N3176" t="s">
        <v>895</v>
      </c>
      <c r="O3176">
        <v>3176</v>
      </c>
      <c r="P3176" t="str">
        <f t="shared" si="49"/>
        <v xml:space="preserve">[^ftn3176]: </v>
      </c>
    </row>
    <row r="3177" spans="14:16" x14ac:dyDescent="0.25">
      <c r="N3177" t="s">
        <v>895</v>
      </c>
      <c r="O3177">
        <v>3177</v>
      </c>
      <c r="P3177" t="str">
        <f t="shared" si="49"/>
        <v xml:space="preserve">[^ftn3177]: </v>
      </c>
    </row>
    <row r="3178" spans="14:16" x14ac:dyDescent="0.25">
      <c r="N3178" t="s">
        <v>895</v>
      </c>
      <c r="O3178">
        <v>3178</v>
      </c>
      <c r="P3178" t="str">
        <f t="shared" si="49"/>
        <v xml:space="preserve">[^ftn3178]: </v>
      </c>
    </row>
    <row r="3179" spans="14:16" x14ac:dyDescent="0.25">
      <c r="N3179" t="s">
        <v>895</v>
      </c>
      <c r="O3179">
        <v>3179</v>
      </c>
      <c r="P3179" t="str">
        <f t="shared" si="49"/>
        <v xml:space="preserve">[^ftn3179]: </v>
      </c>
    </row>
    <row r="3180" spans="14:16" x14ac:dyDescent="0.25">
      <c r="N3180" t="s">
        <v>895</v>
      </c>
      <c r="O3180">
        <v>3180</v>
      </c>
      <c r="P3180" t="str">
        <f t="shared" si="49"/>
        <v xml:space="preserve">[^ftn3180]: </v>
      </c>
    </row>
    <row r="3181" spans="14:16" x14ac:dyDescent="0.25">
      <c r="N3181" t="s">
        <v>895</v>
      </c>
      <c r="O3181">
        <v>3181</v>
      </c>
      <c r="P3181" t="str">
        <f t="shared" si="49"/>
        <v xml:space="preserve">[^ftn3181]: </v>
      </c>
    </row>
    <row r="3182" spans="14:16" x14ac:dyDescent="0.25">
      <c r="N3182" t="s">
        <v>895</v>
      </c>
      <c r="O3182">
        <v>3182</v>
      </c>
      <c r="P3182" t="str">
        <f t="shared" si="49"/>
        <v xml:space="preserve">[^ftn3182]: </v>
      </c>
    </row>
    <row r="3183" spans="14:16" x14ac:dyDescent="0.25">
      <c r="N3183" t="s">
        <v>895</v>
      </c>
      <c r="O3183">
        <v>3183</v>
      </c>
      <c r="P3183" t="str">
        <f t="shared" si="49"/>
        <v xml:space="preserve">[^ftn3183]: </v>
      </c>
    </row>
    <row r="3184" spans="14:16" x14ac:dyDescent="0.25">
      <c r="N3184" t="s">
        <v>895</v>
      </c>
      <c r="O3184">
        <v>3184</v>
      </c>
      <c r="P3184" t="str">
        <f t="shared" si="49"/>
        <v xml:space="preserve">[^ftn3184]: </v>
      </c>
    </row>
    <row r="3185" spans="14:16" x14ac:dyDescent="0.25">
      <c r="N3185" t="s">
        <v>895</v>
      </c>
      <c r="O3185">
        <v>3185</v>
      </c>
      <c r="P3185" t="str">
        <f t="shared" si="49"/>
        <v xml:space="preserve">[^ftn3185]: </v>
      </c>
    </row>
    <row r="3186" spans="14:16" x14ac:dyDescent="0.25">
      <c r="N3186" t="s">
        <v>895</v>
      </c>
      <c r="O3186">
        <v>3186</v>
      </c>
      <c r="P3186" t="str">
        <f t="shared" si="49"/>
        <v xml:space="preserve">[^ftn3186]: </v>
      </c>
    </row>
    <row r="3187" spans="14:16" x14ac:dyDescent="0.25">
      <c r="N3187" t="s">
        <v>895</v>
      </c>
      <c r="O3187">
        <v>3187</v>
      </c>
      <c r="P3187" t="str">
        <f t="shared" si="49"/>
        <v xml:space="preserve">[^ftn3187]: </v>
      </c>
    </row>
    <row r="3188" spans="14:16" x14ac:dyDescent="0.25">
      <c r="N3188" t="s">
        <v>895</v>
      </c>
      <c r="O3188">
        <v>3188</v>
      </c>
      <c r="P3188" t="str">
        <f t="shared" si="49"/>
        <v xml:space="preserve">[^ftn3188]: </v>
      </c>
    </row>
    <row r="3189" spans="14:16" x14ac:dyDescent="0.25">
      <c r="N3189" t="s">
        <v>895</v>
      </c>
      <c r="O3189">
        <v>3189</v>
      </c>
      <c r="P3189" t="str">
        <f t="shared" si="49"/>
        <v xml:space="preserve">[^ftn3189]: </v>
      </c>
    </row>
    <row r="3190" spans="14:16" x14ac:dyDescent="0.25">
      <c r="N3190" t="s">
        <v>895</v>
      </c>
      <c r="O3190">
        <v>3190</v>
      </c>
      <c r="P3190" t="str">
        <f t="shared" si="49"/>
        <v xml:space="preserve">[^ftn3190]: </v>
      </c>
    </row>
    <row r="3191" spans="14:16" x14ac:dyDescent="0.25">
      <c r="N3191" t="s">
        <v>895</v>
      </c>
      <c r="O3191">
        <v>3191</v>
      </c>
      <c r="P3191" t="str">
        <f t="shared" si="49"/>
        <v xml:space="preserve">[^ftn3191]: </v>
      </c>
    </row>
    <row r="3192" spans="14:16" x14ac:dyDescent="0.25">
      <c r="N3192" t="s">
        <v>895</v>
      </c>
      <c r="O3192">
        <v>3192</v>
      </c>
      <c r="P3192" t="str">
        <f t="shared" si="49"/>
        <v xml:space="preserve">[^ftn3192]: </v>
      </c>
    </row>
    <row r="3193" spans="14:16" x14ac:dyDescent="0.25">
      <c r="N3193" t="s">
        <v>895</v>
      </c>
      <c r="O3193">
        <v>3193</v>
      </c>
      <c r="P3193" t="str">
        <f t="shared" si="49"/>
        <v xml:space="preserve">[^ftn3193]: </v>
      </c>
    </row>
    <row r="3194" spans="14:16" x14ac:dyDescent="0.25">
      <c r="N3194" t="s">
        <v>895</v>
      </c>
      <c r="O3194">
        <v>3194</v>
      </c>
      <c r="P3194" t="str">
        <f t="shared" si="49"/>
        <v xml:space="preserve">[^ftn3194]: </v>
      </c>
    </row>
    <row r="3195" spans="14:16" x14ac:dyDescent="0.25">
      <c r="N3195" t="s">
        <v>895</v>
      </c>
      <c r="O3195">
        <v>3195</v>
      </c>
      <c r="P3195" t="str">
        <f t="shared" si="49"/>
        <v xml:space="preserve">[^ftn3195]: </v>
      </c>
    </row>
    <row r="3196" spans="14:16" x14ac:dyDescent="0.25">
      <c r="N3196" t="s">
        <v>895</v>
      </c>
      <c r="O3196">
        <v>3196</v>
      </c>
      <c r="P3196" t="str">
        <f t="shared" si="49"/>
        <v xml:space="preserve">[^ftn3196]: </v>
      </c>
    </row>
    <row r="3197" spans="14:16" x14ac:dyDescent="0.25">
      <c r="N3197" t="s">
        <v>895</v>
      </c>
      <c r="O3197">
        <v>3197</v>
      </c>
      <c r="P3197" t="str">
        <f t="shared" si="49"/>
        <v xml:space="preserve">[^ftn3197]: </v>
      </c>
    </row>
    <row r="3198" spans="14:16" x14ac:dyDescent="0.25">
      <c r="N3198" t="s">
        <v>895</v>
      </c>
      <c r="O3198">
        <v>3198</v>
      </c>
      <c r="P3198" t="str">
        <f t="shared" si="49"/>
        <v xml:space="preserve">[^ftn3198]: </v>
      </c>
    </row>
    <row r="3199" spans="14:16" x14ac:dyDescent="0.25">
      <c r="N3199" t="s">
        <v>895</v>
      </c>
      <c r="O3199">
        <v>3199</v>
      </c>
      <c r="P3199" t="str">
        <f t="shared" si="49"/>
        <v xml:space="preserve">[^ftn3199]: </v>
      </c>
    </row>
    <row r="3200" spans="14:16" x14ac:dyDescent="0.25">
      <c r="N3200" t="s">
        <v>895</v>
      </c>
      <c r="O3200">
        <v>3200</v>
      </c>
      <c r="P3200" t="str">
        <f t="shared" si="49"/>
        <v xml:space="preserve">[^ftn3200]: </v>
      </c>
    </row>
    <row r="3201" spans="14:16" x14ac:dyDescent="0.25">
      <c r="N3201" t="s">
        <v>895</v>
      </c>
      <c r="O3201">
        <v>3201</v>
      </c>
      <c r="P3201" t="str">
        <f t="shared" si="49"/>
        <v xml:space="preserve">[^ftn3201]: </v>
      </c>
    </row>
    <row r="3202" spans="14:16" x14ac:dyDescent="0.25">
      <c r="N3202" t="s">
        <v>895</v>
      </c>
      <c r="O3202">
        <v>3202</v>
      </c>
      <c r="P3202" t="str">
        <f t="shared" ref="P3202:P3265" si="50">_xlfn.CONCAT("[^ftn",O3202,"]: ",)</f>
        <v xml:space="preserve">[^ftn3202]: </v>
      </c>
    </row>
    <row r="3203" spans="14:16" x14ac:dyDescent="0.25">
      <c r="N3203" t="s">
        <v>895</v>
      </c>
      <c r="O3203">
        <v>3203</v>
      </c>
      <c r="P3203" t="str">
        <f t="shared" si="50"/>
        <v xml:space="preserve">[^ftn3203]: </v>
      </c>
    </row>
    <row r="3204" spans="14:16" x14ac:dyDescent="0.25">
      <c r="N3204" t="s">
        <v>895</v>
      </c>
      <c r="O3204">
        <v>3204</v>
      </c>
      <c r="P3204" t="str">
        <f t="shared" si="50"/>
        <v xml:space="preserve">[^ftn3204]: </v>
      </c>
    </row>
    <row r="3205" spans="14:16" x14ac:dyDescent="0.25">
      <c r="N3205" t="s">
        <v>895</v>
      </c>
      <c r="O3205">
        <v>3205</v>
      </c>
      <c r="P3205" t="str">
        <f t="shared" si="50"/>
        <v xml:space="preserve">[^ftn3205]: </v>
      </c>
    </row>
    <row r="3206" spans="14:16" x14ac:dyDescent="0.25">
      <c r="N3206" t="s">
        <v>895</v>
      </c>
      <c r="O3206">
        <v>3206</v>
      </c>
      <c r="P3206" t="str">
        <f t="shared" si="50"/>
        <v xml:space="preserve">[^ftn3206]: </v>
      </c>
    </row>
    <row r="3207" spans="14:16" x14ac:dyDescent="0.25">
      <c r="N3207" t="s">
        <v>895</v>
      </c>
      <c r="O3207">
        <v>3207</v>
      </c>
      <c r="P3207" t="str">
        <f t="shared" si="50"/>
        <v xml:space="preserve">[^ftn3207]: </v>
      </c>
    </row>
    <row r="3208" spans="14:16" x14ac:dyDescent="0.25">
      <c r="N3208" t="s">
        <v>895</v>
      </c>
      <c r="O3208">
        <v>3208</v>
      </c>
      <c r="P3208" t="str">
        <f t="shared" si="50"/>
        <v xml:space="preserve">[^ftn3208]: </v>
      </c>
    </row>
    <row r="3209" spans="14:16" x14ac:dyDescent="0.25">
      <c r="N3209" t="s">
        <v>895</v>
      </c>
      <c r="O3209">
        <v>3209</v>
      </c>
      <c r="P3209" t="str">
        <f t="shared" si="50"/>
        <v xml:space="preserve">[^ftn3209]: </v>
      </c>
    </row>
    <row r="3210" spans="14:16" x14ac:dyDescent="0.25">
      <c r="N3210" t="s">
        <v>895</v>
      </c>
      <c r="O3210">
        <v>3210</v>
      </c>
      <c r="P3210" t="str">
        <f t="shared" si="50"/>
        <v xml:space="preserve">[^ftn3210]: </v>
      </c>
    </row>
    <row r="3211" spans="14:16" x14ac:dyDescent="0.25">
      <c r="N3211" t="s">
        <v>895</v>
      </c>
      <c r="O3211">
        <v>3211</v>
      </c>
      <c r="P3211" t="str">
        <f t="shared" si="50"/>
        <v xml:space="preserve">[^ftn3211]: </v>
      </c>
    </row>
    <row r="3212" spans="14:16" x14ac:dyDescent="0.25">
      <c r="N3212" t="s">
        <v>895</v>
      </c>
      <c r="O3212">
        <v>3212</v>
      </c>
      <c r="P3212" t="str">
        <f t="shared" si="50"/>
        <v xml:space="preserve">[^ftn3212]: </v>
      </c>
    </row>
    <row r="3213" spans="14:16" x14ac:dyDescent="0.25">
      <c r="N3213" t="s">
        <v>895</v>
      </c>
      <c r="O3213">
        <v>3213</v>
      </c>
      <c r="P3213" t="str">
        <f t="shared" si="50"/>
        <v xml:space="preserve">[^ftn3213]: </v>
      </c>
    </row>
    <row r="3214" spans="14:16" x14ac:dyDescent="0.25">
      <c r="N3214" t="s">
        <v>895</v>
      </c>
      <c r="O3214">
        <v>3214</v>
      </c>
      <c r="P3214" t="str">
        <f t="shared" si="50"/>
        <v xml:space="preserve">[^ftn3214]: </v>
      </c>
    </row>
    <row r="3215" spans="14:16" x14ac:dyDescent="0.25">
      <c r="N3215" t="s">
        <v>895</v>
      </c>
      <c r="O3215">
        <v>3215</v>
      </c>
      <c r="P3215" t="str">
        <f t="shared" si="50"/>
        <v xml:space="preserve">[^ftn3215]: </v>
      </c>
    </row>
    <row r="3216" spans="14:16" x14ac:dyDescent="0.25">
      <c r="N3216" t="s">
        <v>895</v>
      </c>
      <c r="O3216">
        <v>3216</v>
      </c>
      <c r="P3216" t="str">
        <f t="shared" si="50"/>
        <v xml:space="preserve">[^ftn3216]: </v>
      </c>
    </row>
    <row r="3217" spans="14:16" x14ac:dyDescent="0.25">
      <c r="N3217" t="s">
        <v>895</v>
      </c>
      <c r="O3217">
        <v>3217</v>
      </c>
      <c r="P3217" t="str">
        <f t="shared" si="50"/>
        <v xml:space="preserve">[^ftn3217]: </v>
      </c>
    </row>
    <row r="3218" spans="14:16" x14ac:dyDescent="0.25">
      <c r="N3218" t="s">
        <v>895</v>
      </c>
      <c r="O3218">
        <v>3218</v>
      </c>
      <c r="P3218" t="str">
        <f t="shared" si="50"/>
        <v xml:space="preserve">[^ftn3218]: </v>
      </c>
    </row>
    <row r="3219" spans="14:16" x14ac:dyDescent="0.25">
      <c r="N3219" t="s">
        <v>895</v>
      </c>
      <c r="O3219">
        <v>3219</v>
      </c>
      <c r="P3219" t="str">
        <f t="shared" si="50"/>
        <v xml:space="preserve">[^ftn3219]: </v>
      </c>
    </row>
    <row r="3220" spans="14:16" x14ac:dyDescent="0.25">
      <c r="N3220" t="s">
        <v>895</v>
      </c>
      <c r="O3220">
        <v>3220</v>
      </c>
      <c r="P3220" t="str">
        <f t="shared" si="50"/>
        <v xml:space="preserve">[^ftn3220]: </v>
      </c>
    </row>
    <row r="3221" spans="14:16" x14ac:dyDescent="0.25">
      <c r="N3221" t="s">
        <v>895</v>
      </c>
      <c r="O3221">
        <v>3221</v>
      </c>
      <c r="P3221" t="str">
        <f t="shared" si="50"/>
        <v xml:space="preserve">[^ftn3221]: </v>
      </c>
    </row>
    <row r="3222" spans="14:16" x14ac:dyDescent="0.25">
      <c r="N3222" t="s">
        <v>895</v>
      </c>
      <c r="O3222">
        <v>3222</v>
      </c>
      <c r="P3222" t="str">
        <f t="shared" si="50"/>
        <v xml:space="preserve">[^ftn3222]: </v>
      </c>
    </row>
    <row r="3223" spans="14:16" x14ac:dyDescent="0.25">
      <c r="N3223" t="s">
        <v>895</v>
      </c>
      <c r="O3223">
        <v>3223</v>
      </c>
      <c r="P3223" t="str">
        <f t="shared" si="50"/>
        <v xml:space="preserve">[^ftn3223]: </v>
      </c>
    </row>
    <row r="3224" spans="14:16" x14ac:dyDescent="0.25">
      <c r="N3224" t="s">
        <v>895</v>
      </c>
      <c r="O3224">
        <v>3224</v>
      </c>
      <c r="P3224" t="str">
        <f t="shared" si="50"/>
        <v xml:space="preserve">[^ftn3224]: </v>
      </c>
    </row>
    <row r="3225" spans="14:16" x14ac:dyDescent="0.25">
      <c r="N3225" t="s">
        <v>895</v>
      </c>
      <c r="O3225">
        <v>3225</v>
      </c>
      <c r="P3225" t="str">
        <f t="shared" si="50"/>
        <v xml:space="preserve">[^ftn3225]: </v>
      </c>
    </row>
    <row r="3226" spans="14:16" x14ac:dyDescent="0.25">
      <c r="N3226" t="s">
        <v>895</v>
      </c>
      <c r="O3226">
        <v>3226</v>
      </c>
      <c r="P3226" t="str">
        <f t="shared" si="50"/>
        <v xml:space="preserve">[^ftn3226]: </v>
      </c>
    </row>
    <row r="3227" spans="14:16" x14ac:dyDescent="0.25">
      <c r="N3227" t="s">
        <v>895</v>
      </c>
      <c r="O3227">
        <v>3227</v>
      </c>
      <c r="P3227" t="str">
        <f t="shared" si="50"/>
        <v xml:space="preserve">[^ftn3227]: </v>
      </c>
    </row>
    <row r="3228" spans="14:16" x14ac:dyDescent="0.25">
      <c r="N3228" t="s">
        <v>895</v>
      </c>
      <c r="O3228">
        <v>3228</v>
      </c>
      <c r="P3228" t="str">
        <f t="shared" si="50"/>
        <v xml:space="preserve">[^ftn3228]: </v>
      </c>
    </row>
    <row r="3229" spans="14:16" x14ac:dyDescent="0.25">
      <c r="N3229" t="s">
        <v>895</v>
      </c>
      <c r="O3229">
        <v>3229</v>
      </c>
      <c r="P3229" t="str">
        <f t="shared" si="50"/>
        <v xml:space="preserve">[^ftn3229]: </v>
      </c>
    </row>
    <row r="3230" spans="14:16" x14ac:dyDescent="0.25">
      <c r="N3230" t="s">
        <v>895</v>
      </c>
      <c r="O3230">
        <v>3230</v>
      </c>
      <c r="P3230" t="str">
        <f t="shared" si="50"/>
        <v xml:space="preserve">[^ftn3230]: </v>
      </c>
    </row>
    <row r="3231" spans="14:16" x14ac:dyDescent="0.25">
      <c r="N3231" t="s">
        <v>895</v>
      </c>
      <c r="O3231">
        <v>3231</v>
      </c>
      <c r="P3231" t="str">
        <f t="shared" si="50"/>
        <v xml:space="preserve">[^ftn3231]: </v>
      </c>
    </row>
    <row r="3232" spans="14:16" x14ac:dyDescent="0.25">
      <c r="N3232" t="s">
        <v>895</v>
      </c>
      <c r="O3232">
        <v>3232</v>
      </c>
      <c r="P3232" t="str">
        <f t="shared" si="50"/>
        <v xml:space="preserve">[^ftn3232]: </v>
      </c>
    </row>
    <row r="3233" spans="14:16" x14ac:dyDescent="0.25">
      <c r="N3233" t="s">
        <v>895</v>
      </c>
      <c r="O3233">
        <v>3233</v>
      </c>
      <c r="P3233" t="str">
        <f t="shared" si="50"/>
        <v xml:space="preserve">[^ftn3233]: </v>
      </c>
    </row>
    <row r="3234" spans="14:16" x14ac:dyDescent="0.25">
      <c r="N3234" t="s">
        <v>895</v>
      </c>
      <c r="O3234">
        <v>3234</v>
      </c>
      <c r="P3234" t="str">
        <f t="shared" si="50"/>
        <v xml:space="preserve">[^ftn3234]: </v>
      </c>
    </row>
    <row r="3235" spans="14:16" x14ac:dyDescent="0.25">
      <c r="N3235" t="s">
        <v>895</v>
      </c>
      <c r="O3235">
        <v>3235</v>
      </c>
      <c r="P3235" t="str">
        <f t="shared" si="50"/>
        <v xml:space="preserve">[^ftn3235]: </v>
      </c>
    </row>
    <row r="3236" spans="14:16" x14ac:dyDescent="0.25">
      <c r="N3236" t="s">
        <v>895</v>
      </c>
      <c r="O3236">
        <v>3236</v>
      </c>
      <c r="P3236" t="str">
        <f t="shared" si="50"/>
        <v xml:space="preserve">[^ftn3236]: </v>
      </c>
    </row>
    <row r="3237" spans="14:16" x14ac:dyDescent="0.25">
      <c r="N3237" t="s">
        <v>895</v>
      </c>
      <c r="O3237">
        <v>3237</v>
      </c>
      <c r="P3237" t="str">
        <f t="shared" si="50"/>
        <v xml:space="preserve">[^ftn3237]: </v>
      </c>
    </row>
    <row r="3238" spans="14:16" x14ac:dyDescent="0.25">
      <c r="N3238" t="s">
        <v>895</v>
      </c>
      <c r="O3238">
        <v>3238</v>
      </c>
      <c r="P3238" t="str">
        <f t="shared" si="50"/>
        <v xml:space="preserve">[^ftn3238]: </v>
      </c>
    </row>
    <row r="3239" spans="14:16" x14ac:dyDescent="0.25">
      <c r="N3239" t="s">
        <v>895</v>
      </c>
      <c r="O3239">
        <v>3239</v>
      </c>
      <c r="P3239" t="str">
        <f t="shared" si="50"/>
        <v xml:space="preserve">[^ftn3239]: </v>
      </c>
    </row>
    <row r="3240" spans="14:16" x14ac:dyDescent="0.25">
      <c r="N3240" t="s">
        <v>895</v>
      </c>
      <c r="O3240">
        <v>3240</v>
      </c>
      <c r="P3240" t="str">
        <f t="shared" si="50"/>
        <v xml:space="preserve">[^ftn3240]: </v>
      </c>
    </row>
    <row r="3241" spans="14:16" x14ac:dyDescent="0.25">
      <c r="N3241" t="s">
        <v>895</v>
      </c>
      <c r="O3241">
        <v>3241</v>
      </c>
      <c r="P3241" t="str">
        <f t="shared" si="50"/>
        <v xml:space="preserve">[^ftn3241]: </v>
      </c>
    </row>
    <row r="3242" spans="14:16" x14ac:dyDescent="0.25">
      <c r="N3242" t="s">
        <v>895</v>
      </c>
      <c r="O3242">
        <v>3242</v>
      </c>
      <c r="P3242" t="str">
        <f t="shared" si="50"/>
        <v xml:space="preserve">[^ftn3242]: </v>
      </c>
    </row>
    <row r="3243" spans="14:16" x14ac:dyDescent="0.25">
      <c r="N3243" t="s">
        <v>895</v>
      </c>
      <c r="O3243">
        <v>3243</v>
      </c>
      <c r="P3243" t="str">
        <f t="shared" si="50"/>
        <v xml:space="preserve">[^ftn3243]: </v>
      </c>
    </row>
    <row r="3244" spans="14:16" x14ac:dyDescent="0.25">
      <c r="N3244" t="s">
        <v>895</v>
      </c>
      <c r="O3244">
        <v>3244</v>
      </c>
      <c r="P3244" t="str">
        <f t="shared" si="50"/>
        <v xml:space="preserve">[^ftn3244]: </v>
      </c>
    </row>
    <row r="3245" spans="14:16" x14ac:dyDescent="0.25">
      <c r="N3245" t="s">
        <v>895</v>
      </c>
      <c r="O3245">
        <v>3245</v>
      </c>
      <c r="P3245" t="str">
        <f t="shared" si="50"/>
        <v xml:space="preserve">[^ftn3245]: </v>
      </c>
    </row>
    <row r="3246" spans="14:16" x14ac:dyDescent="0.25">
      <c r="N3246" t="s">
        <v>895</v>
      </c>
      <c r="O3246">
        <v>3246</v>
      </c>
      <c r="P3246" t="str">
        <f t="shared" si="50"/>
        <v xml:space="preserve">[^ftn3246]: </v>
      </c>
    </row>
    <row r="3247" spans="14:16" x14ac:dyDescent="0.25">
      <c r="N3247" t="s">
        <v>895</v>
      </c>
      <c r="O3247">
        <v>3247</v>
      </c>
      <c r="P3247" t="str">
        <f t="shared" si="50"/>
        <v xml:space="preserve">[^ftn3247]: </v>
      </c>
    </row>
    <row r="3248" spans="14:16" x14ac:dyDescent="0.25">
      <c r="N3248" t="s">
        <v>895</v>
      </c>
      <c r="O3248">
        <v>3248</v>
      </c>
      <c r="P3248" t="str">
        <f t="shared" si="50"/>
        <v xml:space="preserve">[^ftn3248]: </v>
      </c>
    </row>
    <row r="3249" spans="14:16" x14ac:dyDescent="0.25">
      <c r="N3249" t="s">
        <v>895</v>
      </c>
      <c r="O3249">
        <v>3249</v>
      </c>
      <c r="P3249" t="str">
        <f t="shared" si="50"/>
        <v xml:space="preserve">[^ftn3249]: </v>
      </c>
    </row>
    <row r="3250" spans="14:16" x14ac:dyDescent="0.25">
      <c r="N3250" t="s">
        <v>895</v>
      </c>
      <c r="O3250">
        <v>3250</v>
      </c>
      <c r="P3250" t="str">
        <f t="shared" si="50"/>
        <v xml:space="preserve">[^ftn3250]: </v>
      </c>
    </row>
    <row r="3251" spans="14:16" x14ac:dyDescent="0.25">
      <c r="N3251" t="s">
        <v>895</v>
      </c>
      <c r="O3251">
        <v>3251</v>
      </c>
      <c r="P3251" t="str">
        <f t="shared" si="50"/>
        <v xml:space="preserve">[^ftn3251]: </v>
      </c>
    </row>
    <row r="3252" spans="14:16" x14ac:dyDescent="0.25">
      <c r="N3252" t="s">
        <v>895</v>
      </c>
      <c r="O3252">
        <v>3252</v>
      </c>
      <c r="P3252" t="str">
        <f t="shared" si="50"/>
        <v xml:space="preserve">[^ftn3252]: </v>
      </c>
    </row>
    <row r="3253" spans="14:16" x14ac:dyDescent="0.25">
      <c r="N3253" t="s">
        <v>895</v>
      </c>
      <c r="O3253">
        <v>3253</v>
      </c>
      <c r="P3253" t="str">
        <f t="shared" si="50"/>
        <v xml:space="preserve">[^ftn3253]: </v>
      </c>
    </row>
    <row r="3254" spans="14:16" x14ac:dyDescent="0.25">
      <c r="N3254" t="s">
        <v>895</v>
      </c>
      <c r="O3254">
        <v>3254</v>
      </c>
      <c r="P3254" t="str">
        <f t="shared" si="50"/>
        <v xml:space="preserve">[^ftn3254]: </v>
      </c>
    </row>
    <row r="3255" spans="14:16" x14ac:dyDescent="0.25">
      <c r="N3255" t="s">
        <v>895</v>
      </c>
      <c r="O3255">
        <v>3255</v>
      </c>
      <c r="P3255" t="str">
        <f t="shared" si="50"/>
        <v xml:space="preserve">[^ftn3255]: </v>
      </c>
    </row>
    <row r="3256" spans="14:16" x14ac:dyDescent="0.25">
      <c r="N3256" t="s">
        <v>895</v>
      </c>
      <c r="O3256">
        <v>3256</v>
      </c>
      <c r="P3256" t="str">
        <f t="shared" si="50"/>
        <v xml:space="preserve">[^ftn3256]: </v>
      </c>
    </row>
    <row r="3257" spans="14:16" x14ac:dyDescent="0.25">
      <c r="N3257" t="s">
        <v>895</v>
      </c>
      <c r="O3257">
        <v>3257</v>
      </c>
      <c r="P3257" t="str">
        <f t="shared" si="50"/>
        <v xml:space="preserve">[^ftn3257]: </v>
      </c>
    </row>
    <row r="3258" spans="14:16" x14ac:dyDescent="0.25">
      <c r="N3258" t="s">
        <v>895</v>
      </c>
      <c r="O3258">
        <v>3258</v>
      </c>
      <c r="P3258" t="str">
        <f t="shared" si="50"/>
        <v xml:space="preserve">[^ftn3258]: </v>
      </c>
    </row>
    <row r="3259" spans="14:16" x14ac:dyDescent="0.25">
      <c r="N3259" t="s">
        <v>895</v>
      </c>
      <c r="O3259">
        <v>3259</v>
      </c>
      <c r="P3259" t="str">
        <f t="shared" si="50"/>
        <v xml:space="preserve">[^ftn3259]: </v>
      </c>
    </row>
    <row r="3260" spans="14:16" x14ac:dyDescent="0.25">
      <c r="N3260" t="s">
        <v>895</v>
      </c>
      <c r="O3260">
        <v>3260</v>
      </c>
      <c r="P3260" t="str">
        <f t="shared" si="50"/>
        <v xml:space="preserve">[^ftn3260]: </v>
      </c>
    </row>
    <row r="3261" spans="14:16" x14ac:dyDescent="0.25">
      <c r="N3261" t="s">
        <v>895</v>
      </c>
      <c r="O3261">
        <v>3261</v>
      </c>
      <c r="P3261" t="str">
        <f t="shared" si="50"/>
        <v xml:space="preserve">[^ftn3261]: </v>
      </c>
    </row>
    <row r="3262" spans="14:16" x14ac:dyDescent="0.25">
      <c r="N3262" t="s">
        <v>895</v>
      </c>
      <c r="O3262">
        <v>3262</v>
      </c>
      <c r="P3262" t="str">
        <f t="shared" si="50"/>
        <v xml:space="preserve">[^ftn3262]: </v>
      </c>
    </row>
    <row r="3263" spans="14:16" x14ac:dyDescent="0.25">
      <c r="N3263" t="s">
        <v>895</v>
      </c>
      <c r="O3263">
        <v>3263</v>
      </c>
      <c r="P3263" t="str">
        <f t="shared" si="50"/>
        <v xml:space="preserve">[^ftn3263]: </v>
      </c>
    </row>
    <row r="3264" spans="14:16" x14ac:dyDescent="0.25">
      <c r="N3264" t="s">
        <v>895</v>
      </c>
      <c r="O3264">
        <v>3264</v>
      </c>
      <c r="P3264" t="str">
        <f t="shared" si="50"/>
        <v xml:space="preserve">[^ftn3264]: </v>
      </c>
    </row>
    <row r="3265" spans="14:16" x14ac:dyDescent="0.25">
      <c r="N3265" t="s">
        <v>895</v>
      </c>
      <c r="O3265">
        <v>3265</v>
      </c>
      <c r="P3265" t="str">
        <f t="shared" si="50"/>
        <v xml:space="preserve">[^ftn3265]: </v>
      </c>
    </row>
    <row r="3266" spans="14:16" x14ac:dyDescent="0.25">
      <c r="N3266" t="s">
        <v>895</v>
      </c>
      <c r="O3266">
        <v>3266</v>
      </c>
      <c r="P3266" t="str">
        <f t="shared" ref="P3266:P3329" si="51">_xlfn.CONCAT("[^ftn",O3266,"]: ",)</f>
        <v xml:space="preserve">[^ftn3266]: </v>
      </c>
    </row>
    <row r="3267" spans="14:16" x14ac:dyDescent="0.25">
      <c r="N3267" t="s">
        <v>895</v>
      </c>
      <c r="O3267">
        <v>3267</v>
      </c>
      <c r="P3267" t="str">
        <f t="shared" si="51"/>
        <v xml:space="preserve">[^ftn3267]: </v>
      </c>
    </row>
    <row r="3268" spans="14:16" x14ac:dyDescent="0.25">
      <c r="N3268" t="s">
        <v>895</v>
      </c>
      <c r="O3268">
        <v>3268</v>
      </c>
      <c r="P3268" t="str">
        <f t="shared" si="51"/>
        <v xml:space="preserve">[^ftn3268]: </v>
      </c>
    </row>
    <row r="3269" spans="14:16" x14ac:dyDescent="0.25">
      <c r="N3269" t="s">
        <v>895</v>
      </c>
      <c r="O3269">
        <v>3269</v>
      </c>
      <c r="P3269" t="str">
        <f t="shared" si="51"/>
        <v xml:space="preserve">[^ftn3269]: </v>
      </c>
    </row>
    <row r="3270" spans="14:16" x14ac:dyDescent="0.25">
      <c r="N3270" t="s">
        <v>895</v>
      </c>
      <c r="O3270">
        <v>3270</v>
      </c>
      <c r="P3270" t="str">
        <f t="shared" si="51"/>
        <v xml:space="preserve">[^ftn3270]: </v>
      </c>
    </row>
    <row r="3271" spans="14:16" x14ac:dyDescent="0.25">
      <c r="N3271" t="s">
        <v>895</v>
      </c>
      <c r="O3271">
        <v>3271</v>
      </c>
      <c r="P3271" t="str">
        <f t="shared" si="51"/>
        <v xml:space="preserve">[^ftn3271]: </v>
      </c>
    </row>
    <row r="3272" spans="14:16" x14ac:dyDescent="0.25">
      <c r="N3272" t="s">
        <v>895</v>
      </c>
      <c r="O3272">
        <v>3272</v>
      </c>
      <c r="P3272" t="str">
        <f t="shared" si="51"/>
        <v xml:space="preserve">[^ftn3272]: </v>
      </c>
    </row>
    <row r="3273" spans="14:16" x14ac:dyDescent="0.25">
      <c r="N3273" t="s">
        <v>895</v>
      </c>
      <c r="O3273">
        <v>3273</v>
      </c>
      <c r="P3273" t="str">
        <f t="shared" si="51"/>
        <v xml:space="preserve">[^ftn3273]: </v>
      </c>
    </row>
    <row r="3274" spans="14:16" x14ac:dyDescent="0.25">
      <c r="N3274" t="s">
        <v>895</v>
      </c>
      <c r="O3274">
        <v>3274</v>
      </c>
      <c r="P3274" t="str">
        <f t="shared" si="51"/>
        <v xml:space="preserve">[^ftn3274]: </v>
      </c>
    </row>
    <row r="3275" spans="14:16" x14ac:dyDescent="0.25">
      <c r="N3275" t="s">
        <v>895</v>
      </c>
      <c r="O3275">
        <v>3275</v>
      </c>
      <c r="P3275" t="str">
        <f t="shared" si="51"/>
        <v xml:space="preserve">[^ftn3275]: </v>
      </c>
    </row>
    <row r="3276" spans="14:16" x14ac:dyDescent="0.25">
      <c r="N3276" t="s">
        <v>895</v>
      </c>
      <c r="O3276">
        <v>3276</v>
      </c>
      <c r="P3276" t="str">
        <f t="shared" si="51"/>
        <v xml:space="preserve">[^ftn3276]: </v>
      </c>
    </row>
    <row r="3277" spans="14:16" x14ac:dyDescent="0.25">
      <c r="N3277" t="s">
        <v>895</v>
      </c>
      <c r="O3277">
        <v>3277</v>
      </c>
      <c r="P3277" t="str">
        <f t="shared" si="51"/>
        <v xml:space="preserve">[^ftn3277]: </v>
      </c>
    </row>
    <row r="3278" spans="14:16" x14ac:dyDescent="0.25">
      <c r="N3278" t="s">
        <v>895</v>
      </c>
      <c r="O3278">
        <v>3278</v>
      </c>
      <c r="P3278" t="str">
        <f t="shared" si="51"/>
        <v xml:space="preserve">[^ftn3278]: </v>
      </c>
    </row>
    <row r="3279" spans="14:16" x14ac:dyDescent="0.25">
      <c r="N3279" t="s">
        <v>895</v>
      </c>
      <c r="O3279">
        <v>3279</v>
      </c>
      <c r="P3279" t="str">
        <f t="shared" si="51"/>
        <v xml:space="preserve">[^ftn3279]: </v>
      </c>
    </row>
    <row r="3280" spans="14:16" x14ac:dyDescent="0.25">
      <c r="N3280" t="s">
        <v>895</v>
      </c>
      <c r="O3280">
        <v>3280</v>
      </c>
      <c r="P3280" t="str">
        <f t="shared" si="51"/>
        <v xml:space="preserve">[^ftn3280]: </v>
      </c>
    </row>
    <row r="3281" spans="14:16" x14ac:dyDescent="0.25">
      <c r="N3281" t="s">
        <v>895</v>
      </c>
      <c r="O3281">
        <v>3281</v>
      </c>
      <c r="P3281" t="str">
        <f t="shared" si="51"/>
        <v xml:space="preserve">[^ftn3281]: </v>
      </c>
    </row>
    <row r="3282" spans="14:16" x14ac:dyDescent="0.25">
      <c r="N3282" t="s">
        <v>895</v>
      </c>
      <c r="O3282">
        <v>3282</v>
      </c>
      <c r="P3282" t="str">
        <f t="shared" si="51"/>
        <v xml:space="preserve">[^ftn3282]: </v>
      </c>
    </row>
    <row r="3283" spans="14:16" x14ac:dyDescent="0.25">
      <c r="N3283" t="s">
        <v>895</v>
      </c>
      <c r="O3283">
        <v>3283</v>
      </c>
      <c r="P3283" t="str">
        <f t="shared" si="51"/>
        <v xml:space="preserve">[^ftn3283]: </v>
      </c>
    </row>
    <row r="3284" spans="14:16" x14ac:dyDescent="0.25">
      <c r="N3284" t="s">
        <v>895</v>
      </c>
      <c r="O3284">
        <v>3284</v>
      </c>
      <c r="P3284" t="str">
        <f t="shared" si="51"/>
        <v xml:space="preserve">[^ftn3284]: </v>
      </c>
    </row>
    <row r="3285" spans="14:16" x14ac:dyDescent="0.25">
      <c r="N3285" t="s">
        <v>895</v>
      </c>
      <c r="O3285">
        <v>3285</v>
      </c>
      <c r="P3285" t="str">
        <f t="shared" si="51"/>
        <v xml:space="preserve">[^ftn3285]: </v>
      </c>
    </row>
    <row r="3286" spans="14:16" x14ac:dyDescent="0.25">
      <c r="N3286" t="s">
        <v>895</v>
      </c>
      <c r="O3286">
        <v>3286</v>
      </c>
      <c r="P3286" t="str">
        <f t="shared" si="51"/>
        <v xml:space="preserve">[^ftn3286]: </v>
      </c>
    </row>
    <row r="3287" spans="14:16" x14ac:dyDescent="0.25">
      <c r="N3287" t="s">
        <v>895</v>
      </c>
      <c r="O3287">
        <v>3287</v>
      </c>
      <c r="P3287" t="str">
        <f t="shared" si="51"/>
        <v xml:space="preserve">[^ftn3287]: </v>
      </c>
    </row>
    <row r="3288" spans="14:16" x14ac:dyDescent="0.25">
      <c r="N3288" t="s">
        <v>895</v>
      </c>
      <c r="O3288">
        <v>3288</v>
      </c>
      <c r="P3288" t="str">
        <f t="shared" si="51"/>
        <v xml:space="preserve">[^ftn3288]: </v>
      </c>
    </row>
    <row r="3289" spans="14:16" x14ac:dyDescent="0.25">
      <c r="N3289" t="s">
        <v>895</v>
      </c>
      <c r="O3289">
        <v>3289</v>
      </c>
      <c r="P3289" t="str">
        <f t="shared" si="51"/>
        <v xml:space="preserve">[^ftn3289]: </v>
      </c>
    </row>
    <row r="3290" spans="14:16" x14ac:dyDescent="0.25">
      <c r="N3290" t="s">
        <v>895</v>
      </c>
      <c r="O3290">
        <v>3290</v>
      </c>
      <c r="P3290" t="str">
        <f t="shared" si="51"/>
        <v xml:space="preserve">[^ftn3290]: </v>
      </c>
    </row>
    <row r="3291" spans="14:16" x14ac:dyDescent="0.25">
      <c r="N3291" t="s">
        <v>895</v>
      </c>
      <c r="O3291">
        <v>3291</v>
      </c>
      <c r="P3291" t="str">
        <f t="shared" si="51"/>
        <v xml:space="preserve">[^ftn3291]: </v>
      </c>
    </row>
    <row r="3292" spans="14:16" x14ac:dyDescent="0.25">
      <c r="N3292" t="s">
        <v>895</v>
      </c>
      <c r="O3292">
        <v>3292</v>
      </c>
      <c r="P3292" t="str">
        <f t="shared" si="51"/>
        <v xml:space="preserve">[^ftn3292]: </v>
      </c>
    </row>
    <row r="3293" spans="14:16" x14ac:dyDescent="0.25">
      <c r="N3293" t="s">
        <v>895</v>
      </c>
      <c r="O3293">
        <v>3293</v>
      </c>
      <c r="P3293" t="str">
        <f t="shared" si="51"/>
        <v xml:space="preserve">[^ftn3293]: </v>
      </c>
    </row>
    <row r="3294" spans="14:16" x14ac:dyDescent="0.25">
      <c r="N3294" t="s">
        <v>895</v>
      </c>
      <c r="O3294">
        <v>3294</v>
      </c>
      <c r="P3294" t="str">
        <f t="shared" si="51"/>
        <v xml:space="preserve">[^ftn3294]: </v>
      </c>
    </row>
    <row r="3295" spans="14:16" x14ac:dyDescent="0.25">
      <c r="N3295" t="s">
        <v>895</v>
      </c>
      <c r="O3295">
        <v>3295</v>
      </c>
      <c r="P3295" t="str">
        <f t="shared" si="51"/>
        <v xml:space="preserve">[^ftn3295]: </v>
      </c>
    </row>
    <row r="3296" spans="14:16" x14ac:dyDescent="0.25">
      <c r="N3296" t="s">
        <v>895</v>
      </c>
      <c r="O3296">
        <v>3296</v>
      </c>
      <c r="P3296" t="str">
        <f t="shared" si="51"/>
        <v xml:space="preserve">[^ftn3296]: </v>
      </c>
    </row>
    <row r="3297" spans="14:16" x14ac:dyDescent="0.25">
      <c r="N3297" t="s">
        <v>895</v>
      </c>
      <c r="O3297">
        <v>3297</v>
      </c>
      <c r="P3297" t="str">
        <f t="shared" si="51"/>
        <v xml:space="preserve">[^ftn3297]: </v>
      </c>
    </row>
    <row r="3298" spans="14:16" x14ac:dyDescent="0.25">
      <c r="N3298" t="s">
        <v>895</v>
      </c>
      <c r="O3298">
        <v>3298</v>
      </c>
      <c r="P3298" t="str">
        <f t="shared" si="51"/>
        <v xml:space="preserve">[^ftn3298]: </v>
      </c>
    </row>
    <row r="3299" spans="14:16" x14ac:dyDescent="0.25">
      <c r="N3299" t="s">
        <v>895</v>
      </c>
      <c r="O3299">
        <v>3299</v>
      </c>
      <c r="P3299" t="str">
        <f t="shared" si="51"/>
        <v xml:space="preserve">[^ftn3299]: </v>
      </c>
    </row>
    <row r="3300" spans="14:16" x14ac:dyDescent="0.25">
      <c r="N3300" t="s">
        <v>895</v>
      </c>
      <c r="O3300">
        <v>3300</v>
      </c>
      <c r="P3300" t="str">
        <f t="shared" si="51"/>
        <v xml:space="preserve">[^ftn3300]: </v>
      </c>
    </row>
    <row r="3301" spans="14:16" x14ac:dyDescent="0.25">
      <c r="N3301" t="s">
        <v>895</v>
      </c>
      <c r="O3301">
        <v>3301</v>
      </c>
      <c r="P3301" t="str">
        <f t="shared" si="51"/>
        <v xml:space="preserve">[^ftn3301]: </v>
      </c>
    </row>
    <row r="3302" spans="14:16" x14ac:dyDescent="0.25">
      <c r="N3302" t="s">
        <v>895</v>
      </c>
      <c r="O3302">
        <v>3302</v>
      </c>
      <c r="P3302" t="str">
        <f t="shared" si="51"/>
        <v xml:space="preserve">[^ftn3302]: </v>
      </c>
    </row>
    <row r="3303" spans="14:16" x14ac:dyDescent="0.25">
      <c r="N3303" t="s">
        <v>895</v>
      </c>
      <c r="O3303">
        <v>3303</v>
      </c>
      <c r="P3303" t="str">
        <f t="shared" si="51"/>
        <v xml:space="preserve">[^ftn3303]: </v>
      </c>
    </row>
    <row r="3304" spans="14:16" x14ac:dyDescent="0.25">
      <c r="N3304" t="s">
        <v>895</v>
      </c>
      <c r="O3304">
        <v>3304</v>
      </c>
      <c r="P3304" t="str">
        <f t="shared" si="51"/>
        <v xml:space="preserve">[^ftn3304]: </v>
      </c>
    </row>
    <row r="3305" spans="14:16" x14ac:dyDescent="0.25">
      <c r="N3305" t="s">
        <v>895</v>
      </c>
      <c r="O3305">
        <v>3305</v>
      </c>
      <c r="P3305" t="str">
        <f t="shared" si="51"/>
        <v xml:space="preserve">[^ftn3305]: </v>
      </c>
    </row>
    <row r="3306" spans="14:16" x14ac:dyDescent="0.25">
      <c r="N3306" t="s">
        <v>895</v>
      </c>
      <c r="O3306">
        <v>3306</v>
      </c>
      <c r="P3306" t="str">
        <f t="shared" si="51"/>
        <v xml:space="preserve">[^ftn3306]: </v>
      </c>
    </row>
    <row r="3307" spans="14:16" x14ac:dyDescent="0.25">
      <c r="N3307" t="s">
        <v>895</v>
      </c>
      <c r="O3307">
        <v>3307</v>
      </c>
      <c r="P3307" t="str">
        <f t="shared" si="51"/>
        <v xml:space="preserve">[^ftn3307]: </v>
      </c>
    </row>
    <row r="3308" spans="14:16" x14ac:dyDescent="0.25">
      <c r="N3308" t="s">
        <v>895</v>
      </c>
      <c r="O3308">
        <v>3308</v>
      </c>
      <c r="P3308" t="str">
        <f t="shared" si="51"/>
        <v xml:space="preserve">[^ftn3308]: </v>
      </c>
    </row>
    <row r="3309" spans="14:16" x14ac:dyDescent="0.25">
      <c r="N3309" t="s">
        <v>895</v>
      </c>
      <c r="O3309">
        <v>3309</v>
      </c>
      <c r="P3309" t="str">
        <f t="shared" si="51"/>
        <v xml:space="preserve">[^ftn3309]: </v>
      </c>
    </row>
    <row r="3310" spans="14:16" x14ac:dyDescent="0.25">
      <c r="N3310" t="s">
        <v>895</v>
      </c>
      <c r="O3310">
        <v>3310</v>
      </c>
      <c r="P3310" t="str">
        <f t="shared" si="51"/>
        <v xml:space="preserve">[^ftn3310]: </v>
      </c>
    </row>
    <row r="3311" spans="14:16" x14ac:dyDescent="0.25">
      <c r="N3311" t="s">
        <v>895</v>
      </c>
      <c r="O3311">
        <v>3311</v>
      </c>
      <c r="P3311" t="str">
        <f t="shared" si="51"/>
        <v xml:space="preserve">[^ftn3311]: </v>
      </c>
    </row>
    <row r="3312" spans="14:16" x14ac:dyDescent="0.25">
      <c r="N3312" t="s">
        <v>895</v>
      </c>
      <c r="O3312">
        <v>3312</v>
      </c>
      <c r="P3312" t="str">
        <f t="shared" si="51"/>
        <v xml:space="preserve">[^ftn3312]: </v>
      </c>
    </row>
    <row r="3313" spans="14:16" x14ac:dyDescent="0.25">
      <c r="N3313" t="s">
        <v>895</v>
      </c>
      <c r="O3313">
        <v>3313</v>
      </c>
      <c r="P3313" t="str">
        <f t="shared" si="51"/>
        <v xml:space="preserve">[^ftn3313]: </v>
      </c>
    </row>
    <row r="3314" spans="14:16" x14ac:dyDescent="0.25">
      <c r="N3314" t="s">
        <v>895</v>
      </c>
      <c r="O3314">
        <v>3314</v>
      </c>
      <c r="P3314" t="str">
        <f t="shared" si="51"/>
        <v xml:space="preserve">[^ftn3314]: </v>
      </c>
    </row>
    <row r="3315" spans="14:16" x14ac:dyDescent="0.25">
      <c r="N3315" t="s">
        <v>895</v>
      </c>
      <c r="O3315">
        <v>3315</v>
      </c>
      <c r="P3315" t="str">
        <f t="shared" si="51"/>
        <v xml:space="preserve">[^ftn3315]: </v>
      </c>
    </row>
    <row r="3316" spans="14:16" x14ac:dyDescent="0.25">
      <c r="N3316" t="s">
        <v>895</v>
      </c>
      <c r="O3316">
        <v>3316</v>
      </c>
      <c r="P3316" t="str">
        <f t="shared" si="51"/>
        <v xml:space="preserve">[^ftn3316]: </v>
      </c>
    </row>
    <row r="3317" spans="14:16" x14ac:dyDescent="0.25">
      <c r="N3317" t="s">
        <v>895</v>
      </c>
      <c r="O3317">
        <v>3317</v>
      </c>
      <c r="P3317" t="str">
        <f t="shared" si="51"/>
        <v xml:space="preserve">[^ftn3317]: </v>
      </c>
    </row>
    <row r="3318" spans="14:16" x14ac:dyDescent="0.25">
      <c r="N3318" t="s">
        <v>895</v>
      </c>
      <c r="O3318">
        <v>3318</v>
      </c>
      <c r="P3318" t="str">
        <f t="shared" si="51"/>
        <v xml:space="preserve">[^ftn3318]: </v>
      </c>
    </row>
    <row r="3319" spans="14:16" x14ac:dyDescent="0.25">
      <c r="N3319" t="s">
        <v>895</v>
      </c>
      <c r="O3319">
        <v>3319</v>
      </c>
      <c r="P3319" t="str">
        <f t="shared" si="51"/>
        <v xml:space="preserve">[^ftn3319]: </v>
      </c>
    </row>
    <row r="3320" spans="14:16" x14ac:dyDescent="0.25">
      <c r="N3320" t="s">
        <v>895</v>
      </c>
      <c r="O3320">
        <v>3320</v>
      </c>
      <c r="P3320" t="str">
        <f t="shared" si="51"/>
        <v xml:space="preserve">[^ftn3320]: </v>
      </c>
    </row>
    <row r="3321" spans="14:16" x14ac:dyDescent="0.25">
      <c r="N3321" t="s">
        <v>895</v>
      </c>
      <c r="O3321">
        <v>3321</v>
      </c>
      <c r="P3321" t="str">
        <f t="shared" si="51"/>
        <v xml:space="preserve">[^ftn3321]: </v>
      </c>
    </row>
    <row r="3322" spans="14:16" x14ac:dyDescent="0.25">
      <c r="N3322" t="s">
        <v>895</v>
      </c>
      <c r="O3322">
        <v>3322</v>
      </c>
      <c r="P3322" t="str">
        <f t="shared" si="51"/>
        <v xml:space="preserve">[^ftn3322]: </v>
      </c>
    </row>
    <row r="3323" spans="14:16" x14ac:dyDescent="0.25">
      <c r="N3323" t="s">
        <v>895</v>
      </c>
      <c r="O3323">
        <v>3323</v>
      </c>
      <c r="P3323" t="str">
        <f t="shared" si="51"/>
        <v xml:space="preserve">[^ftn3323]: </v>
      </c>
    </row>
    <row r="3324" spans="14:16" x14ac:dyDescent="0.25">
      <c r="N3324" t="s">
        <v>895</v>
      </c>
      <c r="O3324">
        <v>3324</v>
      </c>
      <c r="P3324" t="str">
        <f t="shared" si="51"/>
        <v xml:space="preserve">[^ftn3324]: </v>
      </c>
    </row>
    <row r="3325" spans="14:16" x14ac:dyDescent="0.25">
      <c r="N3325" t="s">
        <v>895</v>
      </c>
      <c r="O3325">
        <v>3325</v>
      </c>
      <c r="P3325" t="str">
        <f t="shared" si="51"/>
        <v xml:space="preserve">[^ftn3325]: </v>
      </c>
    </row>
    <row r="3326" spans="14:16" x14ac:dyDescent="0.25">
      <c r="N3326" t="s">
        <v>895</v>
      </c>
      <c r="O3326">
        <v>3326</v>
      </c>
      <c r="P3326" t="str">
        <f t="shared" si="51"/>
        <v xml:space="preserve">[^ftn3326]: </v>
      </c>
    </row>
    <row r="3327" spans="14:16" x14ac:dyDescent="0.25">
      <c r="N3327" t="s">
        <v>895</v>
      </c>
      <c r="O3327">
        <v>3327</v>
      </c>
      <c r="P3327" t="str">
        <f t="shared" si="51"/>
        <v xml:space="preserve">[^ftn3327]: </v>
      </c>
    </row>
    <row r="3328" spans="14:16" x14ac:dyDescent="0.25">
      <c r="N3328" t="s">
        <v>895</v>
      </c>
      <c r="O3328">
        <v>3328</v>
      </c>
      <c r="P3328" t="str">
        <f t="shared" si="51"/>
        <v xml:space="preserve">[^ftn3328]: </v>
      </c>
    </row>
    <row r="3329" spans="14:16" x14ac:dyDescent="0.25">
      <c r="N3329" t="s">
        <v>895</v>
      </c>
      <c r="O3329">
        <v>3329</v>
      </c>
      <c r="P3329" t="str">
        <f t="shared" si="51"/>
        <v xml:space="preserve">[^ftn3329]: </v>
      </c>
    </row>
    <row r="3330" spans="14:16" x14ac:dyDescent="0.25">
      <c r="N3330" t="s">
        <v>895</v>
      </c>
      <c r="O3330">
        <v>3330</v>
      </c>
      <c r="P3330" t="str">
        <f t="shared" ref="P3330:P3393" si="52">_xlfn.CONCAT("[^ftn",O3330,"]: ",)</f>
        <v xml:space="preserve">[^ftn3330]: </v>
      </c>
    </row>
    <row r="3331" spans="14:16" x14ac:dyDescent="0.25">
      <c r="N3331" t="s">
        <v>895</v>
      </c>
      <c r="O3331">
        <v>3331</v>
      </c>
      <c r="P3331" t="str">
        <f t="shared" si="52"/>
        <v xml:space="preserve">[^ftn3331]: </v>
      </c>
    </row>
    <row r="3332" spans="14:16" x14ac:dyDescent="0.25">
      <c r="N3332" t="s">
        <v>895</v>
      </c>
      <c r="O3332">
        <v>3332</v>
      </c>
      <c r="P3332" t="str">
        <f t="shared" si="52"/>
        <v xml:space="preserve">[^ftn3332]: </v>
      </c>
    </row>
    <row r="3333" spans="14:16" x14ac:dyDescent="0.25">
      <c r="N3333" t="s">
        <v>895</v>
      </c>
      <c r="O3333">
        <v>3333</v>
      </c>
      <c r="P3333" t="str">
        <f t="shared" si="52"/>
        <v xml:space="preserve">[^ftn3333]: </v>
      </c>
    </row>
    <row r="3334" spans="14:16" x14ac:dyDescent="0.25">
      <c r="N3334" t="s">
        <v>895</v>
      </c>
      <c r="O3334">
        <v>3334</v>
      </c>
      <c r="P3334" t="str">
        <f t="shared" si="52"/>
        <v xml:space="preserve">[^ftn3334]: </v>
      </c>
    </row>
    <row r="3335" spans="14:16" x14ac:dyDescent="0.25">
      <c r="N3335" t="s">
        <v>895</v>
      </c>
      <c r="O3335">
        <v>3335</v>
      </c>
      <c r="P3335" t="str">
        <f t="shared" si="52"/>
        <v xml:space="preserve">[^ftn3335]: </v>
      </c>
    </row>
    <row r="3336" spans="14:16" x14ac:dyDescent="0.25">
      <c r="N3336" t="s">
        <v>895</v>
      </c>
      <c r="O3336">
        <v>3336</v>
      </c>
      <c r="P3336" t="str">
        <f t="shared" si="52"/>
        <v xml:space="preserve">[^ftn3336]: </v>
      </c>
    </row>
    <row r="3337" spans="14:16" x14ac:dyDescent="0.25">
      <c r="N3337" t="s">
        <v>895</v>
      </c>
      <c r="O3337">
        <v>3337</v>
      </c>
      <c r="P3337" t="str">
        <f t="shared" si="52"/>
        <v xml:space="preserve">[^ftn3337]: </v>
      </c>
    </row>
    <row r="3338" spans="14:16" x14ac:dyDescent="0.25">
      <c r="N3338" t="s">
        <v>895</v>
      </c>
      <c r="O3338">
        <v>3338</v>
      </c>
      <c r="P3338" t="str">
        <f t="shared" si="52"/>
        <v xml:space="preserve">[^ftn3338]: </v>
      </c>
    </row>
    <row r="3339" spans="14:16" x14ac:dyDescent="0.25">
      <c r="N3339" t="s">
        <v>895</v>
      </c>
      <c r="O3339">
        <v>3339</v>
      </c>
      <c r="P3339" t="str">
        <f t="shared" si="52"/>
        <v xml:space="preserve">[^ftn3339]: </v>
      </c>
    </row>
    <row r="3340" spans="14:16" x14ac:dyDescent="0.25">
      <c r="N3340" t="s">
        <v>895</v>
      </c>
      <c r="O3340">
        <v>3340</v>
      </c>
      <c r="P3340" t="str">
        <f t="shared" si="52"/>
        <v xml:space="preserve">[^ftn3340]: </v>
      </c>
    </row>
    <row r="3341" spans="14:16" x14ac:dyDescent="0.25">
      <c r="N3341" t="s">
        <v>895</v>
      </c>
      <c r="O3341">
        <v>3341</v>
      </c>
      <c r="P3341" t="str">
        <f t="shared" si="52"/>
        <v xml:space="preserve">[^ftn3341]: </v>
      </c>
    </row>
    <row r="3342" spans="14:16" x14ac:dyDescent="0.25">
      <c r="N3342" t="s">
        <v>895</v>
      </c>
      <c r="O3342">
        <v>3342</v>
      </c>
      <c r="P3342" t="str">
        <f t="shared" si="52"/>
        <v xml:space="preserve">[^ftn3342]: </v>
      </c>
    </row>
    <row r="3343" spans="14:16" x14ac:dyDescent="0.25">
      <c r="N3343" t="s">
        <v>895</v>
      </c>
      <c r="O3343">
        <v>3343</v>
      </c>
      <c r="P3343" t="str">
        <f t="shared" si="52"/>
        <v xml:space="preserve">[^ftn3343]: </v>
      </c>
    </row>
    <row r="3344" spans="14:16" x14ac:dyDescent="0.25">
      <c r="N3344" t="s">
        <v>895</v>
      </c>
      <c r="O3344">
        <v>3344</v>
      </c>
      <c r="P3344" t="str">
        <f t="shared" si="52"/>
        <v xml:space="preserve">[^ftn3344]: </v>
      </c>
    </row>
    <row r="3345" spans="14:16" x14ac:dyDescent="0.25">
      <c r="N3345" t="s">
        <v>895</v>
      </c>
      <c r="O3345">
        <v>3345</v>
      </c>
      <c r="P3345" t="str">
        <f t="shared" si="52"/>
        <v xml:space="preserve">[^ftn3345]: </v>
      </c>
    </row>
    <row r="3346" spans="14:16" x14ac:dyDescent="0.25">
      <c r="N3346" t="s">
        <v>895</v>
      </c>
      <c r="O3346">
        <v>3346</v>
      </c>
      <c r="P3346" t="str">
        <f t="shared" si="52"/>
        <v xml:space="preserve">[^ftn3346]: </v>
      </c>
    </row>
    <row r="3347" spans="14:16" x14ac:dyDescent="0.25">
      <c r="N3347" t="s">
        <v>895</v>
      </c>
      <c r="O3347">
        <v>3347</v>
      </c>
      <c r="P3347" t="str">
        <f t="shared" si="52"/>
        <v xml:space="preserve">[^ftn3347]: </v>
      </c>
    </row>
    <row r="3348" spans="14:16" x14ac:dyDescent="0.25">
      <c r="N3348" t="s">
        <v>895</v>
      </c>
      <c r="O3348">
        <v>3348</v>
      </c>
      <c r="P3348" t="str">
        <f t="shared" si="52"/>
        <v xml:space="preserve">[^ftn3348]: </v>
      </c>
    </row>
    <row r="3349" spans="14:16" x14ac:dyDescent="0.25">
      <c r="N3349" t="s">
        <v>895</v>
      </c>
      <c r="O3349">
        <v>3349</v>
      </c>
      <c r="P3349" t="str">
        <f t="shared" si="52"/>
        <v xml:space="preserve">[^ftn3349]: </v>
      </c>
    </row>
    <row r="3350" spans="14:16" x14ac:dyDescent="0.25">
      <c r="N3350" t="s">
        <v>895</v>
      </c>
      <c r="O3350">
        <v>3350</v>
      </c>
      <c r="P3350" t="str">
        <f t="shared" si="52"/>
        <v xml:space="preserve">[^ftn3350]: </v>
      </c>
    </row>
    <row r="3351" spans="14:16" x14ac:dyDescent="0.25">
      <c r="N3351" t="s">
        <v>895</v>
      </c>
      <c r="O3351">
        <v>3351</v>
      </c>
      <c r="P3351" t="str">
        <f t="shared" si="52"/>
        <v xml:space="preserve">[^ftn3351]: </v>
      </c>
    </row>
    <row r="3352" spans="14:16" x14ac:dyDescent="0.25">
      <c r="N3352" t="s">
        <v>895</v>
      </c>
      <c r="O3352">
        <v>3352</v>
      </c>
      <c r="P3352" t="str">
        <f t="shared" si="52"/>
        <v xml:space="preserve">[^ftn3352]: </v>
      </c>
    </row>
    <row r="3353" spans="14:16" x14ac:dyDescent="0.25">
      <c r="N3353" t="s">
        <v>895</v>
      </c>
      <c r="O3353">
        <v>3353</v>
      </c>
      <c r="P3353" t="str">
        <f t="shared" si="52"/>
        <v xml:space="preserve">[^ftn3353]: </v>
      </c>
    </row>
    <row r="3354" spans="14:16" x14ac:dyDescent="0.25">
      <c r="N3354" t="s">
        <v>895</v>
      </c>
      <c r="O3354">
        <v>3354</v>
      </c>
      <c r="P3354" t="str">
        <f t="shared" si="52"/>
        <v xml:space="preserve">[^ftn3354]: </v>
      </c>
    </row>
    <row r="3355" spans="14:16" x14ac:dyDescent="0.25">
      <c r="N3355" t="s">
        <v>895</v>
      </c>
      <c r="O3355">
        <v>3355</v>
      </c>
      <c r="P3355" t="str">
        <f t="shared" si="52"/>
        <v xml:space="preserve">[^ftn3355]: </v>
      </c>
    </row>
    <row r="3356" spans="14:16" x14ac:dyDescent="0.25">
      <c r="N3356" t="s">
        <v>895</v>
      </c>
      <c r="O3356">
        <v>3356</v>
      </c>
      <c r="P3356" t="str">
        <f t="shared" si="52"/>
        <v xml:space="preserve">[^ftn3356]: </v>
      </c>
    </row>
    <row r="3357" spans="14:16" x14ac:dyDescent="0.25">
      <c r="N3357" t="s">
        <v>895</v>
      </c>
      <c r="O3357">
        <v>3357</v>
      </c>
      <c r="P3357" t="str">
        <f t="shared" si="52"/>
        <v xml:space="preserve">[^ftn3357]: </v>
      </c>
    </row>
    <row r="3358" spans="14:16" x14ac:dyDescent="0.25">
      <c r="N3358" t="s">
        <v>895</v>
      </c>
      <c r="O3358">
        <v>3358</v>
      </c>
      <c r="P3358" t="str">
        <f t="shared" si="52"/>
        <v xml:space="preserve">[^ftn3358]: </v>
      </c>
    </row>
    <row r="3359" spans="14:16" x14ac:dyDescent="0.25">
      <c r="N3359" t="s">
        <v>895</v>
      </c>
      <c r="O3359">
        <v>3359</v>
      </c>
      <c r="P3359" t="str">
        <f t="shared" si="52"/>
        <v xml:space="preserve">[^ftn3359]: </v>
      </c>
    </row>
    <row r="3360" spans="14:16" x14ac:dyDescent="0.25">
      <c r="N3360" t="s">
        <v>895</v>
      </c>
      <c r="O3360">
        <v>3360</v>
      </c>
      <c r="P3360" t="str">
        <f t="shared" si="52"/>
        <v xml:space="preserve">[^ftn3360]: </v>
      </c>
    </row>
    <row r="3361" spans="14:16" x14ac:dyDescent="0.25">
      <c r="N3361" t="s">
        <v>895</v>
      </c>
      <c r="O3361">
        <v>3361</v>
      </c>
      <c r="P3361" t="str">
        <f t="shared" si="52"/>
        <v xml:space="preserve">[^ftn3361]: </v>
      </c>
    </row>
    <row r="3362" spans="14:16" x14ac:dyDescent="0.25">
      <c r="N3362" t="s">
        <v>895</v>
      </c>
      <c r="O3362">
        <v>3362</v>
      </c>
      <c r="P3362" t="str">
        <f t="shared" si="52"/>
        <v xml:space="preserve">[^ftn3362]: </v>
      </c>
    </row>
    <row r="3363" spans="14:16" x14ac:dyDescent="0.25">
      <c r="N3363" t="s">
        <v>895</v>
      </c>
      <c r="O3363">
        <v>3363</v>
      </c>
      <c r="P3363" t="str">
        <f t="shared" si="52"/>
        <v xml:space="preserve">[^ftn3363]: </v>
      </c>
    </row>
    <row r="3364" spans="14:16" x14ac:dyDescent="0.25">
      <c r="N3364" t="s">
        <v>895</v>
      </c>
      <c r="O3364">
        <v>3364</v>
      </c>
      <c r="P3364" t="str">
        <f t="shared" si="52"/>
        <v xml:space="preserve">[^ftn3364]: </v>
      </c>
    </row>
    <row r="3365" spans="14:16" x14ac:dyDescent="0.25">
      <c r="N3365" t="s">
        <v>895</v>
      </c>
      <c r="O3365">
        <v>3365</v>
      </c>
      <c r="P3365" t="str">
        <f t="shared" si="52"/>
        <v xml:space="preserve">[^ftn3365]: </v>
      </c>
    </row>
    <row r="3366" spans="14:16" x14ac:dyDescent="0.25">
      <c r="N3366" t="s">
        <v>895</v>
      </c>
      <c r="O3366">
        <v>3366</v>
      </c>
      <c r="P3366" t="str">
        <f t="shared" si="52"/>
        <v xml:space="preserve">[^ftn3366]: </v>
      </c>
    </row>
    <row r="3367" spans="14:16" x14ac:dyDescent="0.25">
      <c r="N3367" t="s">
        <v>895</v>
      </c>
      <c r="O3367">
        <v>3367</v>
      </c>
      <c r="P3367" t="str">
        <f t="shared" si="52"/>
        <v xml:space="preserve">[^ftn3367]: </v>
      </c>
    </row>
    <row r="3368" spans="14:16" x14ac:dyDescent="0.25">
      <c r="N3368" t="s">
        <v>895</v>
      </c>
      <c r="O3368">
        <v>3368</v>
      </c>
      <c r="P3368" t="str">
        <f t="shared" si="52"/>
        <v xml:space="preserve">[^ftn3368]: </v>
      </c>
    </row>
    <row r="3369" spans="14:16" x14ac:dyDescent="0.25">
      <c r="N3369" t="s">
        <v>895</v>
      </c>
      <c r="O3369">
        <v>3369</v>
      </c>
      <c r="P3369" t="str">
        <f t="shared" si="52"/>
        <v xml:space="preserve">[^ftn3369]: </v>
      </c>
    </row>
    <row r="3370" spans="14:16" x14ac:dyDescent="0.25">
      <c r="N3370" t="s">
        <v>895</v>
      </c>
      <c r="O3370">
        <v>3370</v>
      </c>
      <c r="P3370" t="str">
        <f t="shared" si="52"/>
        <v xml:space="preserve">[^ftn3370]: </v>
      </c>
    </row>
    <row r="3371" spans="14:16" x14ac:dyDescent="0.25">
      <c r="N3371" t="s">
        <v>895</v>
      </c>
      <c r="O3371">
        <v>3371</v>
      </c>
      <c r="P3371" t="str">
        <f t="shared" si="52"/>
        <v xml:space="preserve">[^ftn3371]: </v>
      </c>
    </row>
    <row r="3372" spans="14:16" x14ac:dyDescent="0.25">
      <c r="N3372" t="s">
        <v>895</v>
      </c>
      <c r="O3372">
        <v>3372</v>
      </c>
      <c r="P3372" t="str">
        <f t="shared" si="52"/>
        <v xml:space="preserve">[^ftn3372]: </v>
      </c>
    </row>
    <row r="3373" spans="14:16" x14ac:dyDescent="0.25">
      <c r="N3373" t="s">
        <v>895</v>
      </c>
      <c r="O3373">
        <v>3373</v>
      </c>
      <c r="P3373" t="str">
        <f t="shared" si="52"/>
        <v xml:space="preserve">[^ftn3373]: </v>
      </c>
    </row>
    <row r="3374" spans="14:16" x14ac:dyDescent="0.25">
      <c r="N3374" t="s">
        <v>895</v>
      </c>
      <c r="O3374">
        <v>3374</v>
      </c>
      <c r="P3374" t="str">
        <f t="shared" si="52"/>
        <v xml:space="preserve">[^ftn3374]: </v>
      </c>
    </row>
    <row r="3375" spans="14:16" x14ac:dyDescent="0.25">
      <c r="N3375" t="s">
        <v>895</v>
      </c>
      <c r="O3375">
        <v>3375</v>
      </c>
      <c r="P3375" t="str">
        <f t="shared" si="52"/>
        <v xml:space="preserve">[^ftn3375]: </v>
      </c>
    </row>
    <row r="3376" spans="14:16" x14ac:dyDescent="0.25">
      <c r="N3376" t="s">
        <v>895</v>
      </c>
      <c r="O3376">
        <v>3376</v>
      </c>
      <c r="P3376" t="str">
        <f t="shared" si="52"/>
        <v xml:space="preserve">[^ftn3376]: </v>
      </c>
    </row>
    <row r="3377" spans="14:16" x14ac:dyDescent="0.25">
      <c r="N3377" t="s">
        <v>895</v>
      </c>
      <c r="O3377">
        <v>3377</v>
      </c>
      <c r="P3377" t="str">
        <f t="shared" si="52"/>
        <v xml:space="preserve">[^ftn3377]: </v>
      </c>
    </row>
    <row r="3378" spans="14:16" x14ac:dyDescent="0.25">
      <c r="N3378" t="s">
        <v>895</v>
      </c>
      <c r="O3378">
        <v>3378</v>
      </c>
      <c r="P3378" t="str">
        <f t="shared" si="52"/>
        <v xml:space="preserve">[^ftn3378]: </v>
      </c>
    </row>
    <row r="3379" spans="14:16" x14ac:dyDescent="0.25">
      <c r="N3379" t="s">
        <v>895</v>
      </c>
      <c r="O3379">
        <v>3379</v>
      </c>
      <c r="P3379" t="str">
        <f t="shared" si="52"/>
        <v xml:space="preserve">[^ftn3379]: </v>
      </c>
    </row>
    <row r="3380" spans="14:16" x14ac:dyDescent="0.25">
      <c r="N3380" t="s">
        <v>895</v>
      </c>
      <c r="O3380">
        <v>3380</v>
      </c>
      <c r="P3380" t="str">
        <f t="shared" si="52"/>
        <v xml:space="preserve">[^ftn3380]: </v>
      </c>
    </row>
    <row r="3381" spans="14:16" x14ac:dyDescent="0.25">
      <c r="N3381" t="s">
        <v>895</v>
      </c>
      <c r="O3381">
        <v>3381</v>
      </c>
      <c r="P3381" t="str">
        <f t="shared" si="52"/>
        <v xml:space="preserve">[^ftn3381]: </v>
      </c>
    </row>
    <row r="3382" spans="14:16" x14ac:dyDescent="0.25">
      <c r="N3382" t="s">
        <v>895</v>
      </c>
      <c r="O3382">
        <v>3382</v>
      </c>
      <c r="P3382" t="str">
        <f t="shared" si="52"/>
        <v xml:space="preserve">[^ftn3382]: </v>
      </c>
    </row>
    <row r="3383" spans="14:16" x14ac:dyDescent="0.25">
      <c r="N3383" t="s">
        <v>895</v>
      </c>
      <c r="O3383">
        <v>3383</v>
      </c>
      <c r="P3383" t="str">
        <f t="shared" si="52"/>
        <v xml:space="preserve">[^ftn3383]: </v>
      </c>
    </row>
    <row r="3384" spans="14:16" x14ac:dyDescent="0.25">
      <c r="N3384" t="s">
        <v>895</v>
      </c>
      <c r="O3384">
        <v>3384</v>
      </c>
      <c r="P3384" t="str">
        <f t="shared" si="52"/>
        <v xml:space="preserve">[^ftn3384]: </v>
      </c>
    </row>
    <row r="3385" spans="14:16" x14ac:dyDescent="0.25">
      <c r="N3385" t="s">
        <v>895</v>
      </c>
      <c r="O3385">
        <v>3385</v>
      </c>
      <c r="P3385" t="str">
        <f t="shared" si="52"/>
        <v xml:space="preserve">[^ftn3385]: </v>
      </c>
    </row>
    <row r="3386" spans="14:16" x14ac:dyDescent="0.25">
      <c r="N3386" t="s">
        <v>895</v>
      </c>
      <c r="O3386">
        <v>3386</v>
      </c>
      <c r="P3386" t="str">
        <f t="shared" si="52"/>
        <v xml:space="preserve">[^ftn3386]: </v>
      </c>
    </row>
    <row r="3387" spans="14:16" x14ac:dyDescent="0.25">
      <c r="N3387" t="s">
        <v>895</v>
      </c>
      <c r="O3387">
        <v>3387</v>
      </c>
      <c r="P3387" t="str">
        <f t="shared" si="52"/>
        <v xml:space="preserve">[^ftn3387]: </v>
      </c>
    </row>
    <row r="3388" spans="14:16" x14ac:dyDescent="0.25">
      <c r="N3388" t="s">
        <v>895</v>
      </c>
      <c r="O3388">
        <v>3388</v>
      </c>
      <c r="P3388" t="str">
        <f t="shared" si="52"/>
        <v xml:space="preserve">[^ftn3388]: </v>
      </c>
    </row>
    <row r="3389" spans="14:16" x14ac:dyDescent="0.25">
      <c r="N3389" t="s">
        <v>895</v>
      </c>
      <c r="O3389">
        <v>3389</v>
      </c>
      <c r="P3389" t="str">
        <f t="shared" si="52"/>
        <v xml:space="preserve">[^ftn3389]: </v>
      </c>
    </row>
    <row r="3390" spans="14:16" x14ac:dyDescent="0.25">
      <c r="N3390" t="s">
        <v>895</v>
      </c>
      <c r="O3390">
        <v>3390</v>
      </c>
      <c r="P3390" t="str">
        <f t="shared" si="52"/>
        <v xml:space="preserve">[^ftn3390]: </v>
      </c>
    </row>
    <row r="3391" spans="14:16" x14ac:dyDescent="0.25">
      <c r="N3391" t="s">
        <v>895</v>
      </c>
      <c r="O3391">
        <v>3391</v>
      </c>
      <c r="P3391" t="str">
        <f t="shared" si="52"/>
        <v xml:space="preserve">[^ftn3391]: </v>
      </c>
    </row>
    <row r="3392" spans="14:16" x14ac:dyDescent="0.25">
      <c r="N3392" t="s">
        <v>895</v>
      </c>
      <c r="O3392">
        <v>3392</v>
      </c>
      <c r="P3392" t="str">
        <f t="shared" si="52"/>
        <v xml:space="preserve">[^ftn3392]: </v>
      </c>
    </row>
    <row r="3393" spans="14:16" x14ac:dyDescent="0.25">
      <c r="N3393" t="s">
        <v>895</v>
      </c>
      <c r="O3393">
        <v>3393</v>
      </c>
      <c r="P3393" t="str">
        <f t="shared" si="52"/>
        <v xml:space="preserve">[^ftn3393]: </v>
      </c>
    </row>
    <row r="3394" spans="14:16" x14ac:dyDescent="0.25">
      <c r="N3394" t="s">
        <v>895</v>
      </c>
      <c r="O3394">
        <v>3394</v>
      </c>
      <c r="P3394" t="str">
        <f t="shared" ref="P3394:P3457" si="53">_xlfn.CONCAT("[^ftn",O3394,"]: ",)</f>
        <v xml:space="preserve">[^ftn3394]: </v>
      </c>
    </row>
    <row r="3395" spans="14:16" x14ac:dyDescent="0.25">
      <c r="N3395" t="s">
        <v>895</v>
      </c>
      <c r="O3395">
        <v>3395</v>
      </c>
      <c r="P3395" t="str">
        <f t="shared" si="53"/>
        <v xml:space="preserve">[^ftn3395]: </v>
      </c>
    </row>
    <row r="3396" spans="14:16" x14ac:dyDescent="0.25">
      <c r="N3396" t="s">
        <v>895</v>
      </c>
      <c r="O3396">
        <v>3396</v>
      </c>
      <c r="P3396" t="str">
        <f t="shared" si="53"/>
        <v xml:space="preserve">[^ftn3396]: </v>
      </c>
    </row>
    <row r="3397" spans="14:16" x14ac:dyDescent="0.25">
      <c r="N3397" t="s">
        <v>895</v>
      </c>
      <c r="O3397">
        <v>3397</v>
      </c>
      <c r="P3397" t="str">
        <f t="shared" si="53"/>
        <v xml:space="preserve">[^ftn3397]: </v>
      </c>
    </row>
    <row r="3398" spans="14:16" x14ac:dyDescent="0.25">
      <c r="N3398" t="s">
        <v>895</v>
      </c>
      <c r="O3398">
        <v>3398</v>
      </c>
      <c r="P3398" t="str">
        <f t="shared" si="53"/>
        <v xml:space="preserve">[^ftn3398]: </v>
      </c>
    </row>
    <row r="3399" spans="14:16" x14ac:dyDescent="0.25">
      <c r="N3399" t="s">
        <v>895</v>
      </c>
      <c r="O3399">
        <v>3399</v>
      </c>
      <c r="P3399" t="str">
        <f t="shared" si="53"/>
        <v xml:space="preserve">[^ftn3399]: </v>
      </c>
    </row>
    <row r="3400" spans="14:16" x14ac:dyDescent="0.25">
      <c r="N3400" t="s">
        <v>895</v>
      </c>
      <c r="O3400">
        <v>3400</v>
      </c>
      <c r="P3400" t="str">
        <f t="shared" si="53"/>
        <v xml:space="preserve">[^ftn3400]: </v>
      </c>
    </row>
    <row r="3401" spans="14:16" x14ac:dyDescent="0.25">
      <c r="N3401" t="s">
        <v>895</v>
      </c>
      <c r="O3401">
        <v>3401</v>
      </c>
      <c r="P3401" t="str">
        <f t="shared" si="53"/>
        <v xml:space="preserve">[^ftn3401]: </v>
      </c>
    </row>
    <row r="3402" spans="14:16" x14ac:dyDescent="0.25">
      <c r="N3402" t="s">
        <v>895</v>
      </c>
      <c r="O3402">
        <v>3402</v>
      </c>
      <c r="P3402" t="str">
        <f t="shared" si="53"/>
        <v xml:space="preserve">[^ftn3402]: </v>
      </c>
    </row>
    <row r="3403" spans="14:16" x14ac:dyDescent="0.25">
      <c r="N3403" t="s">
        <v>895</v>
      </c>
      <c r="O3403">
        <v>3403</v>
      </c>
      <c r="P3403" t="str">
        <f t="shared" si="53"/>
        <v xml:space="preserve">[^ftn3403]: </v>
      </c>
    </row>
    <row r="3404" spans="14:16" x14ac:dyDescent="0.25">
      <c r="N3404" t="s">
        <v>895</v>
      </c>
      <c r="O3404">
        <v>3404</v>
      </c>
      <c r="P3404" t="str">
        <f t="shared" si="53"/>
        <v xml:space="preserve">[^ftn3404]: </v>
      </c>
    </row>
    <row r="3405" spans="14:16" x14ac:dyDescent="0.25">
      <c r="N3405" t="s">
        <v>895</v>
      </c>
      <c r="O3405">
        <v>3405</v>
      </c>
      <c r="P3405" t="str">
        <f t="shared" si="53"/>
        <v xml:space="preserve">[^ftn3405]: </v>
      </c>
    </row>
    <row r="3406" spans="14:16" x14ac:dyDescent="0.25">
      <c r="N3406" t="s">
        <v>895</v>
      </c>
      <c r="O3406">
        <v>3406</v>
      </c>
      <c r="P3406" t="str">
        <f t="shared" si="53"/>
        <v xml:space="preserve">[^ftn3406]: </v>
      </c>
    </row>
    <row r="3407" spans="14:16" x14ac:dyDescent="0.25">
      <c r="N3407" t="s">
        <v>895</v>
      </c>
      <c r="O3407">
        <v>3407</v>
      </c>
      <c r="P3407" t="str">
        <f t="shared" si="53"/>
        <v xml:space="preserve">[^ftn3407]: </v>
      </c>
    </row>
    <row r="3408" spans="14:16" x14ac:dyDescent="0.25">
      <c r="N3408" t="s">
        <v>895</v>
      </c>
      <c r="O3408">
        <v>3408</v>
      </c>
      <c r="P3408" t="str">
        <f t="shared" si="53"/>
        <v xml:space="preserve">[^ftn3408]: </v>
      </c>
    </row>
    <row r="3409" spans="14:16" x14ac:dyDescent="0.25">
      <c r="N3409" t="s">
        <v>895</v>
      </c>
      <c r="O3409">
        <v>3409</v>
      </c>
      <c r="P3409" t="str">
        <f t="shared" si="53"/>
        <v xml:space="preserve">[^ftn3409]: </v>
      </c>
    </row>
    <row r="3410" spans="14:16" x14ac:dyDescent="0.25">
      <c r="N3410" t="s">
        <v>895</v>
      </c>
      <c r="O3410">
        <v>3410</v>
      </c>
      <c r="P3410" t="str">
        <f t="shared" si="53"/>
        <v xml:space="preserve">[^ftn3410]: </v>
      </c>
    </row>
    <row r="3411" spans="14:16" x14ac:dyDescent="0.25">
      <c r="N3411" t="s">
        <v>895</v>
      </c>
      <c r="O3411">
        <v>3411</v>
      </c>
      <c r="P3411" t="str">
        <f t="shared" si="53"/>
        <v xml:space="preserve">[^ftn3411]: </v>
      </c>
    </row>
    <row r="3412" spans="14:16" x14ac:dyDescent="0.25">
      <c r="N3412" t="s">
        <v>895</v>
      </c>
      <c r="O3412">
        <v>3412</v>
      </c>
      <c r="P3412" t="str">
        <f t="shared" si="53"/>
        <v xml:space="preserve">[^ftn3412]: </v>
      </c>
    </row>
    <row r="3413" spans="14:16" x14ac:dyDescent="0.25">
      <c r="N3413" t="s">
        <v>895</v>
      </c>
      <c r="O3413">
        <v>3413</v>
      </c>
      <c r="P3413" t="str">
        <f t="shared" si="53"/>
        <v xml:space="preserve">[^ftn3413]: </v>
      </c>
    </row>
    <row r="3414" spans="14:16" x14ac:dyDescent="0.25">
      <c r="N3414" t="s">
        <v>895</v>
      </c>
      <c r="O3414">
        <v>3414</v>
      </c>
      <c r="P3414" t="str">
        <f t="shared" si="53"/>
        <v xml:space="preserve">[^ftn3414]: </v>
      </c>
    </row>
    <row r="3415" spans="14:16" x14ac:dyDescent="0.25">
      <c r="N3415" t="s">
        <v>895</v>
      </c>
      <c r="O3415">
        <v>3415</v>
      </c>
      <c r="P3415" t="str">
        <f t="shared" si="53"/>
        <v xml:space="preserve">[^ftn3415]: </v>
      </c>
    </row>
    <row r="3416" spans="14:16" x14ac:dyDescent="0.25">
      <c r="N3416" t="s">
        <v>895</v>
      </c>
      <c r="O3416">
        <v>3416</v>
      </c>
      <c r="P3416" t="str">
        <f t="shared" si="53"/>
        <v xml:space="preserve">[^ftn3416]: </v>
      </c>
    </row>
    <row r="3417" spans="14:16" x14ac:dyDescent="0.25">
      <c r="N3417" t="s">
        <v>895</v>
      </c>
      <c r="O3417">
        <v>3417</v>
      </c>
      <c r="P3417" t="str">
        <f t="shared" si="53"/>
        <v xml:space="preserve">[^ftn3417]: </v>
      </c>
    </row>
    <row r="3418" spans="14:16" x14ac:dyDescent="0.25">
      <c r="N3418" t="s">
        <v>895</v>
      </c>
      <c r="O3418">
        <v>3418</v>
      </c>
      <c r="P3418" t="str">
        <f t="shared" si="53"/>
        <v xml:space="preserve">[^ftn3418]: </v>
      </c>
    </row>
    <row r="3419" spans="14:16" x14ac:dyDescent="0.25">
      <c r="N3419" t="s">
        <v>895</v>
      </c>
      <c r="O3419">
        <v>3419</v>
      </c>
      <c r="P3419" t="str">
        <f t="shared" si="53"/>
        <v xml:space="preserve">[^ftn3419]: </v>
      </c>
    </row>
    <row r="3420" spans="14:16" x14ac:dyDescent="0.25">
      <c r="N3420" t="s">
        <v>895</v>
      </c>
      <c r="O3420">
        <v>3420</v>
      </c>
      <c r="P3420" t="str">
        <f t="shared" si="53"/>
        <v xml:space="preserve">[^ftn3420]: </v>
      </c>
    </row>
    <row r="3421" spans="14:16" x14ac:dyDescent="0.25">
      <c r="N3421" t="s">
        <v>895</v>
      </c>
      <c r="O3421">
        <v>3421</v>
      </c>
      <c r="P3421" t="str">
        <f t="shared" si="53"/>
        <v xml:space="preserve">[^ftn3421]: </v>
      </c>
    </row>
    <row r="3422" spans="14:16" x14ac:dyDescent="0.25">
      <c r="N3422" t="s">
        <v>895</v>
      </c>
      <c r="O3422">
        <v>3422</v>
      </c>
      <c r="P3422" t="str">
        <f t="shared" si="53"/>
        <v xml:space="preserve">[^ftn3422]: </v>
      </c>
    </row>
    <row r="3423" spans="14:16" x14ac:dyDescent="0.25">
      <c r="N3423" t="s">
        <v>895</v>
      </c>
      <c r="O3423">
        <v>3423</v>
      </c>
      <c r="P3423" t="str">
        <f t="shared" si="53"/>
        <v xml:space="preserve">[^ftn3423]: </v>
      </c>
    </row>
    <row r="3424" spans="14:16" x14ac:dyDescent="0.25">
      <c r="N3424" t="s">
        <v>895</v>
      </c>
      <c r="O3424">
        <v>3424</v>
      </c>
      <c r="P3424" t="str">
        <f t="shared" si="53"/>
        <v xml:space="preserve">[^ftn3424]: </v>
      </c>
    </row>
    <row r="3425" spans="14:16" x14ac:dyDescent="0.25">
      <c r="N3425" t="s">
        <v>895</v>
      </c>
      <c r="O3425">
        <v>3425</v>
      </c>
      <c r="P3425" t="str">
        <f t="shared" si="53"/>
        <v xml:space="preserve">[^ftn3425]: </v>
      </c>
    </row>
    <row r="3426" spans="14:16" x14ac:dyDescent="0.25">
      <c r="N3426" t="s">
        <v>895</v>
      </c>
      <c r="O3426">
        <v>3426</v>
      </c>
      <c r="P3426" t="str">
        <f t="shared" si="53"/>
        <v xml:space="preserve">[^ftn3426]: </v>
      </c>
    </row>
    <row r="3427" spans="14:16" x14ac:dyDescent="0.25">
      <c r="N3427" t="s">
        <v>895</v>
      </c>
      <c r="O3427">
        <v>3427</v>
      </c>
      <c r="P3427" t="str">
        <f t="shared" si="53"/>
        <v xml:space="preserve">[^ftn3427]: </v>
      </c>
    </row>
    <row r="3428" spans="14:16" x14ac:dyDescent="0.25">
      <c r="N3428" t="s">
        <v>895</v>
      </c>
      <c r="O3428">
        <v>3428</v>
      </c>
      <c r="P3428" t="str">
        <f t="shared" si="53"/>
        <v xml:space="preserve">[^ftn3428]: </v>
      </c>
    </row>
    <row r="3429" spans="14:16" x14ac:dyDescent="0.25">
      <c r="N3429" t="s">
        <v>895</v>
      </c>
      <c r="O3429">
        <v>3429</v>
      </c>
      <c r="P3429" t="str">
        <f t="shared" si="53"/>
        <v xml:space="preserve">[^ftn3429]: </v>
      </c>
    </row>
    <row r="3430" spans="14:16" x14ac:dyDescent="0.25">
      <c r="N3430" t="s">
        <v>895</v>
      </c>
      <c r="O3430">
        <v>3430</v>
      </c>
      <c r="P3430" t="str">
        <f t="shared" si="53"/>
        <v xml:space="preserve">[^ftn3430]: </v>
      </c>
    </row>
    <row r="3431" spans="14:16" x14ac:dyDescent="0.25">
      <c r="N3431" t="s">
        <v>895</v>
      </c>
      <c r="O3431">
        <v>3431</v>
      </c>
      <c r="P3431" t="str">
        <f t="shared" si="53"/>
        <v xml:space="preserve">[^ftn3431]: </v>
      </c>
    </row>
    <row r="3432" spans="14:16" x14ac:dyDescent="0.25">
      <c r="N3432" t="s">
        <v>895</v>
      </c>
      <c r="O3432">
        <v>3432</v>
      </c>
      <c r="P3432" t="str">
        <f t="shared" si="53"/>
        <v xml:space="preserve">[^ftn3432]: </v>
      </c>
    </row>
    <row r="3433" spans="14:16" x14ac:dyDescent="0.25">
      <c r="N3433" t="s">
        <v>895</v>
      </c>
      <c r="O3433">
        <v>3433</v>
      </c>
      <c r="P3433" t="str">
        <f t="shared" si="53"/>
        <v xml:space="preserve">[^ftn3433]: </v>
      </c>
    </row>
    <row r="3434" spans="14:16" x14ac:dyDescent="0.25">
      <c r="N3434" t="s">
        <v>895</v>
      </c>
      <c r="O3434">
        <v>3434</v>
      </c>
      <c r="P3434" t="str">
        <f t="shared" si="53"/>
        <v xml:space="preserve">[^ftn3434]: </v>
      </c>
    </row>
    <row r="3435" spans="14:16" x14ac:dyDescent="0.25">
      <c r="N3435" t="s">
        <v>895</v>
      </c>
      <c r="O3435">
        <v>3435</v>
      </c>
      <c r="P3435" t="str">
        <f t="shared" si="53"/>
        <v xml:space="preserve">[^ftn3435]: </v>
      </c>
    </row>
    <row r="3436" spans="14:16" x14ac:dyDescent="0.25">
      <c r="N3436" t="s">
        <v>895</v>
      </c>
      <c r="O3436">
        <v>3436</v>
      </c>
      <c r="P3436" t="str">
        <f t="shared" si="53"/>
        <v xml:space="preserve">[^ftn3436]: </v>
      </c>
    </row>
    <row r="3437" spans="14:16" x14ac:dyDescent="0.25">
      <c r="N3437" t="s">
        <v>895</v>
      </c>
      <c r="O3437">
        <v>3437</v>
      </c>
      <c r="P3437" t="str">
        <f t="shared" si="53"/>
        <v xml:space="preserve">[^ftn3437]: </v>
      </c>
    </row>
    <row r="3438" spans="14:16" x14ac:dyDescent="0.25">
      <c r="N3438" t="s">
        <v>895</v>
      </c>
      <c r="O3438">
        <v>3438</v>
      </c>
      <c r="P3438" t="str">
        <f t="shared" si="53"/>
        <v xml:space="preserve">[^ftn3438]: </v>
      </c>
    </row>
    <row r="3439" spans="14:16" x14ac:dyDescent="0.25">
      <c r="N3439" t="s">
        <v>895</v>
      </c>
      <c r="O3439">
        <v>3439</v>
      </c>
      <c r="P3439" t="str">
        <f t="shared" si="53"/>
        <v xml:space="preserve">[^ftn3439]: </v>
      </c>
    </row>
    <row r="3440" spans="14:16" x14ac:dyDescent="0.25">
      <c r="N3440" t="s">
        <v>895</v>
      </c>
      <c r="O3440">
        <v>3440</v>
      </c>
      <c r="P3440" t="str">
        <f t="shared" si="53"/>
        <v xml:space="preserve">[^ftn3440]: </v>
      </c>
    </row>
    <row r="3441" spans="14:16" x14ac:dyDescent="0.25">
      <c r="N3441" t="s">
        <v>895</v>
      </c>
      <c r="O3441">
        <v>3441</v>
      </c>
      <c r="P3441" t="str">
        <f t="shared" si="53"/>
        <v xml:space="preserve">[^ftn3441]: </v>
      </c>
    </row>
    <row r="3442" spans="14:16" x14ac:dyDescent="0.25">
      <c r="N3442" t="s">
        <v>895</v>
      </c>
      <c r="O3442">
        <v>3442</v>
      </c>
      <c r="P3442" t="str">
        <f t="shared" si="53"/>
        <v xml:space="preserve">[^ftn3442]: </v>
      </c>
    </row>
    <row r="3443" spans="14:16" x14ac:dyDescent="0.25">
      <c r="N3443" t="s">
        <v>895</v>
      </c>
      <c r="O3443">
        <v>3443</v>
      </c>
      <c r="P3443" t="str">
        <f t="shared" si="53"/>
        <v xml:space="preserve">[^ftn3443]: </v>
      </c>
    </row>
    <row r="3444" spans="14:16" x14ac:dyDescent="0.25">
      <c r="N3444" t="s">
        <v>895</v>
      </c>
      <c r="O3444">
        <v>3444</v>
      </c>
      <c r="P3444" t="str">
        <f t="shared" si="53"/>
        <v xml:space="preserve">[^ftn3444]: </v>
      </c>
    </row>
    <row r="3445" spans="14:16" x14ac:dyDescent="0.25">
      <c r="N3445" t="s">
        <v>895</v>
      </c>
      <c r="O3445">
        <v>3445</v>
      </c>
      <c r="P3445" t="str">
        <f t="shared" si="53"/>
        <v xml:space="preserve">[^ftn3445]: </v>
      </c>
    </row>
    <row r="3446" spans="14:16" x14ac:dyDescent="0.25">
      <c r="N3446" t="s">
        <v>895</v>
      </c>
      <c r="O3446">
        <v>3446</v>
      </c>
      <c r="P3446" t="str">
        <f t="shared" si="53"/>
        <v xml:space="preserve">[^ftn3446]: </v>
      </c>
    </row>
    <row r="3447" spans="14:16" x14ac:dyDescent="0.25">
      <c r="N3447" t="s">
        <v>895</v>
      </c>
      <c r="O3447">
        <v>3447</v>
      </c>
      <c r="P3447" t="str">
        <f t="shared" si="53"/>
        <v xml:space="preserve">[^ftn3447]: </v>
      </c>
    </row>
    <row r="3448" spans="14:16" x14ac:dyDescent="0.25">
      <c r="N3448" t="s">
        <v>895</v>
      </c>
      <c r="O3448">
        <v>3448</v>
      </c>
      <c r="P3448" t="str">
        <f t="shared" si="53"/>
        <v xml:space="preserve">[^ftn3448]: </v>
      </c>
    </row>
    <row r="3449" spans="14:16" x14ac:dyDescent="0.25">
      <c r="N3449" t="s">
        <v>895</v>
      </c>
      <c r="O3449">
        <v>3449</v>
      </c>
      <c r="P3449" t="str">
        <f t="shared" si="53"/>
        <v xml:space="preserve">[^ftn3449]: </v>
      </c>
    </row>
    <row r="3450" spans="14:16" x14ac:dyDescent="0.25">
      <c r="N3450" t="s">
        <v>895</v>
      </c>
      <c r="O3450">
        <v>3450</v>
      </c>
      <c r="P3450" t="str">
        <f t="shared" si="53"/>
        <v xml:space="preserve">[^ftn3450]: </v>
      </c>
    </row>
    <row r="3451" spans="14:16" x14ac:dyDescent="0.25">
      <c r="N3451" t="s">
        <v>895</v>
      </c>
      <c r="O3451">
        <v>3451</v>
      </c>
      <c r="P3451" t="str">
        <f t="shared" si="53"/>
        <v xml:space="preserve">[^ftn3451]: </v>
      </c>
    </row>
    <row r="3452" spans="14:16" x14ac:dyDescent="0.25">
      <c r="N3452" t="s">
        <v>895</v>
      </c>
      <c r="O3452">
        <v>3452</v>
      </c>
      <c r="P3452" t="str">
        <f t="shared" si="53"/>
        <v xml:space="preserve">[^ftn3452]: </v>
      </c>
    </row>
    <row r="3453" spans="14:16" x14ac:dyDescent="0.25">
      <c r="N3453" t="s">
        <v>895</v>
      </c>
      <c r="O3453">
        <v>3453</v>
      </c>
      <c r="P3453" t="str">
        <f t="shared" si="53"/>
        <v xml:space="preserve">[^ftn3453]: </v>
      </c>
    </row>
    <row r="3454" spans="14:16" x14ac:dyDescent="0.25">
      <c r="N3454" t="s">
        <v>895</v>
      </c>
      <c r="O3454">
        <v>3454</v>
      </c>
      <c r="P3454" t="str">
        <f t="shared" si="53"/>
        <v xml:space="preserve">[^ftn3454]: </v>
      </c>
    </row>
    <row r="3455" spans="14:16" x14ac:dyDescent="0.25">
      <c r="N3455" t="s">
        <v>895</v>
      </c>
      <c r="O3455">
        <v>3455</v>
      </c>
      <c r="P3455" t="str">
        <f t="shared" si="53"/>
        <v xml:space="preserve">[^ftn3455]: </v>
      </c>
    </row>
    <row r="3456" spans="14:16" x14ac:dyDescent="0.25">
      <c r="N3456" t="s">
        <v>895</v>
      </c>
      <c r="O3456">
        <v>3456</v>
      </c>
      <c r="P3456" t="str">
        <f t="shared" si="53"/>
        <v xml:space="preserve">[^ftn3456]: </v>
      </c>
    </row>
    <row r="3457" spans="14:16" x14ac:dyDescent="0.25">
      <c r="N3457" t="s">
        <v>895</v>
      </c>
      <c r="O3457">
        <v>3457</v>
      </c>
      <c r="P3457" t="str">
        <f t="shared" si="53"/>
        <v xml:space="preserve">[^ftn3457]: </v>
      </c>
    </row>
    <row r="3458" spans="14:16" x14ac:dyDescent="0.25">
      <c r="N3458" t="s">
        <v>895</v>
      </c>
      <c r="O3458">
        <v>3458</v>
      </c>
      <c r="P3458" t="str">
        <f t="shared" ref="P3458:P3500" si="54">_xlfn.CONCAT("[^ftn",O3458,"]: ",)</f>
        <v xml:space="preserve">[^ftn3458]: </v>
      </c>
    </row>
    <row r="3459" spans="14:16" x14ac:dyDescent="0.25">
      <c r="N3459" t="s">
        <v>895</v>
      </c>
      <c r="O3459">
        <v>3459</v>
      </c>
      <c r="P3459" t="str">
        <f t="shared" si="54"/>
        <v xml:space="preserve">[^ftn3459]: </v>
      </c>
    </row>
    <row r="3460" spans="14:16" x14ac:dyDescent="0.25">
      <c r="N3460" t="s">
        <v>895</v>
      </c>
      <c r="O3460">
        <v>3460</v>
      </c>
      <c r="P3460" t="str">
        <f t="shared" si="54"/>
        <v xml:space="preserve">[^ftn3460]: </v>
      </c>
    </row>
    <row r="3461" spans="14:16" x14ac:dyDescent="0.25">
      <c r="N3461" t="s">
        <v>895</v>
      </c>
      <c r="O3461">
        <v>3461</v>
      </c>
      <c r="P3461" t="str">
        <f t="shared" si="54"/>
        <v xml:space="preserve">[^ftn3461]: </v>
      </c>
    </row>
    <row r="3462" spans="14:16" x14ac:dyDescent="0.25">
      <c r="N3462" t="s">
        <v>895</v>
      </c>
      <c r="O3462">
        <v>3462</v>
      </c>
      <c r="P3462" t="str">
        <f t="shared" si="54"/>
        <v xml:space="preserve">[^ftn3462]: </v>
      </c>
    </row>
    <row r="3463" spans="14:16" x14ac:dyDescent="0.25">
      <c r="N3463" t="s">
        <v>895</v>
      </c>
      <c r="O3463">
        <v>3463</v>
      </c>
      <c r="P3463" t="str">
        <f t="shared" si="54"/>
        <v xml:space="preserve">[^ftn3463]: </v>
      </c>
    </row>
    <row r="3464" spans="14:16" x14ac:dyDescent="0.25">
      <c r="N3464" t="s">
        <v>895</v>
      </c>
      <c r="O3464">
        <v>3464</v>
      </c>
      <c r="P3464" t="str">
        <f t="shared" si="54"/>
        <v xml:space="preserve">[^ftn3464]: </v>
      </c>
    </row>
    <row r="3465" spans="14:16" x14ac:dyDescent="0.25">
      <c r="N3465" t="s">
        <v>895</v>
      </c>
      <c r="O3465">
        <v>3465</v>
      </c>
      <c r="P3465" t="str">
        <f t="shared" si="54"/>
        <v xml:space="preserve">[^ftn3465]: </v>
      </c>
    </row>
    <row r="3466" spans="14:16" x14ac:dyDescent="0.25">
      <c r="N3466" t="s">
        <v>895</v>
      </c>
      <c r="O3466">
        <v>3466</v>
      </c>
      <c r="P3466" t="str">
        <f t="shared" si="54"/>
        <v xml:space="preserve">[^ftn3466]: </v>
      </c>
    </row>
    <row r="3467" spans="14:16" x14ac:dyDescent="0.25">
      <c r="N3467" t="s">
        <v>895</v>
      </c>
      <c r="O3467">
        <v>3467</v>
      </c>
      <c r="P3467" t="str">
        <f t="shared" si="54"/>
        <v xml:space="preserve">[^ftn3467]: </v>
      </c>
    </row>
    <row r="3468" spans="14:16" x14ac:dyDescent="0.25">
      <c r="N3468" t="s">
        <v>895</v>
      </c>
      <c r="O3468">
        <v>3468</v>
      </c>
      <c r="P3468" t="str">
        <f t="shared" si="54"/>
        <v xml:space="preserve">[^ftn3468]: </v>
      </c>
    </row>
    <row r="3469" spans="14:16" x14ac:dyDescent="0.25">
      <c r="N3469" t="s">
        <v>895</v>
      </c>
      <c r="O3469">
        <v>3469</v>
      </c>
      <c r="P3469" t="str">
        <f t="shared" si="54"/>
        <v xml:space="preserve">[^ftn3469]: </v>
      </c>
    </row>
    <row r="3470" spans="14:16" x14ac:dyDescent="0.25">
      <c r="N3470" t="s">
        <v>895</v>
      </c>
      <c r="O3470">
        <v>3470</v>
      </c>
      <c r="P3470" t="str">
        <f t="shared" si="54"/>
        <v xml:space="preserve">[^ftn3470]: </v>
      </c>
    </row>
    <row r="3471" spans="14:16" x14ac:dyDescent="0.25">
      <c r="N3471" t="s">
        <v>895</v>
      </c>
      <c r="O3471">
        <v>3471</v>
      </c>
      <c r="P3471" t="str">
        <f t="shared" si="54"/>
        <v xml:space="preserve">[^ftn3471]: </v>
      </c>
    </row>
    <row r="3472" spans="14:16" x14ac:dyDescent="0.25">
      <c r="N3472" t="s">
        <v>895</v>
      </c>
      <c r="O3472">
        <v>3472</v>
      </c>
      <c r="P3472" t="str">
        <f t="shared" si="54"/>
        <v xml:space="preserve">[^ftn3472]: </v>
      </c>
    </row>
    <row r="3473" spans="14:16" x14ac:dyDescent="0.25">
      <c r="N3473" t="s">
        <v>895</v>
      </c>
      <c r="O3473">
        <v>3473</v>
      </c>
      <c r="P3473" t="str">
        <f t="shared" si="54"/>
        <v xml:space="preserve">[^ftn3473]: </v>
      </c>
    </row>
    <row r="3474" spans="14:16" x14ac:dyDescent="0.25">
      <c r="N3474" t="s">
        <v>895</v>
      </c>
      <c r="O3474">
        <v>3474</v>
      </c>
      <c r="P3474" t="str">
        <f t="shared" si="54"/>
        <v xml:space="preserve">[^ftn3474]: </v>
      </c>
    </row>
    <row r="3475" spans="14:16" x14ac:dyDescent="0.25">
      <c r="N3475" t="s">
        <v>895</v>
      </c>
      <c r="O3475">
        <v>3475</v>
      </c>
      <c r="P3475" t="str">
        <f t="shared" si="54"/>
        <v xml:space="preserve">[^ftn3475]: </v>
      </c>
    </row>
    <row r="3476" spans="14:16" x14ac:dyDescent="0.25">
      <c r="N3476" t="s">
        <v>895</v>
      </c>
      <c r="O3476">
        <v>3476</v>
      </c>
      <c r="P3476" t="str">
        <f t="shared" si="54"/>
        <v xml:space="preserve">[^ftn3476]: </v>
      </c>
    </row>
    <row r="3477" spans="14:16" x14ac:dyDescent="0.25">
      <c r="N3477" t="s">
        <v>895</v>
      </c>
      <c r="O3477">
        <v>3477</v>
      </c>
      <c r="P3477" t="str">
        <f t="shared" si="54"/>
        <v xml:space="preserve">[^ftn3477]: </v>
      </c>
    </row>
    <row r="3478" spans="14:16" x14ac:dyDescent="0.25">
      <c r="N3478" t="s">
        <v>895</v>
      </c>
      <c r="O3478">
        <v>3478</v>
      </c>
      <c r="P3478" t="str">
        <f t="shared" si="54"/>
        <v xml:space="preserve">[^ftn3478]: </v>
      </c>
    </row>
    <row r="3479" spans="14:16" x14ac:dyDescent="0.25">
      <c r="N3479" t="s">
        <v>895</v>
      </c>
      <c r="O3479">
        <v>3479</v>
      </c>
      <c r="P3479" t="str">
        <f t="shared" si="54"/>
        <v xml:space="preserve">[^ftn3479]: </v>
      </c>
    </row>
    <row r="3480" spans="14:16" x14ac:dyDescent="0.25">
      <c r="N3480" t="s">
        <v>895</v>
      </c>
      <c r="O3480">
        <v>3480</v>
      </c>
      <c r="P3480" t="str">
        <f t="shared" si="54"/>
        <v xml:space="preserve">[^ftn3480]: </v>
      </c>
    </row>
    <row r="3481" spans="14:16" x14ac:dyDescent="0.25">
      <c r="N3481" t="s">
        <v>895</v>
      </c>
      <c r="O3481">
        <v>3481</v>
      </c>
      <c r="P3481" t="str">
        <f t="shared" si="54"/>
        <v xml:space="preserve">[^ftn3481]: </v>
      </c>
    </row>
    <row r="3482" spans="14:16" x14ac:dyDescent="0.25">
      <c r="N3482" t="s">
        <v>895</v>
      </c>
      <c r="O3482">
        <v>3482</v>
      </c>
      <c r="P3482" t="str">
        <f t="shared" si="54"/>
        <v xml:space="preserve">[^ftn3482]: </v>
      </c>
    </row>
    <row r="3483" spans="14:16" x14ac:dyDescent="0.25">
      <c r="N3483" t="s">
        <v>895</v>
      </c>
      <c r="O3483">
        <v>3483</v>
      </c>
      <c r="P3483" t="str">
        <f t="shared" si="54"/>
        <v xml:space="preserve">[^ftn3483]: </v>
      </c>
    </row>
    <row r="3484" spans="14:16" x14ac:dyDescent="0.25">
      <c r="N3484" t="s">
        <v>895</v>
      </c>
      <c r="O3484">
        <v>3484</v>
      </c>
      <c r="P3484" t="str">
        <f t="shared" si="54"/>
        <v xml:space="preserve">[^ftn3484]: </v>
      </c>
    </row>
    <row r="3485" spans="14:16" x14ac:dyDescent="0.25">
      <c r="N3485" t="s">
        <v>895</v>
      </c>
      <c r="O3485">
        <v>3485</v>
      </c>
      <c r="P3485" t="str">
        <f t="shared" si="54"/>
        <v xml:space="preserve">[^ftn3485]: </v>
      </c>
    </row>
    <row r="3486" spans="14:16" x14ac:dyDescent="0.25">
      <c r="N3486" t="s">
        <v>895</v>
      </c>
      <c r="O3486">
        <v>3486</v>
      </c>
      <c r="P3486" t="str">
        <f t="shared" si="54"/>
        <v xml:space="preserve">[^ftn3486]: </v>
      </c>
    </row>
    <row r="3487" spans="14:16" x14ac:dyDescent="0.25">
      <c r="N3487" t="s">
        <v>895</v>
      </c>
      <c r="O3487">
        <v>3487</v>
      </c>
      <c r="P3487" t="str">
        <f t="shared" si="54"/>
        <v xml:space="preserve">[^ftn3487]: </v>
      </c>
    </row>
    <row r="3488" spans="14:16" x14ac:dyDescent="0.25">
      <c r="N3488" t="s">
        <v>895</v>
      </c>
      <c r="O3488">
        <v>3488</v>
      </c>
      <c r="P3488" t="str">
        <f t="shared" si="54"/>
        <v xml:space="preserve">[^ftn3488]: </v>
      </c>
    </row>
    <row r="3489" spans="14:16" x14ac:dyDescent="0.25">
      <c r="N3489" t="s">
        <v>895</v>
      </c>
      <c r="O3489">
        <v>3489</v>
      </c>
      <c r="P3489" t="str">
        <f t="shared" si="54"/>
        <v xml:space="preserve">[^ftn3489]: </v>
      </c>
    </row>
    <row r="3490" spans="14:16" x14ac:dyDescent="0.25">
      <c r="N3490" t="s">
        <v>895</v>
      </c>
      <c r="O3490">
        <v>3490</v>
      </c>
      <c r="P3490" t="str">
        <f t="shared" si="54"/>
        <v xml:space="preserve">[^ftn3490]: </v>
      </c>
    </row>
    <row r="3491" spans="14:16" x14ac:dyDescent="0.25">
      <c r="N3491" t="s">
        <v>895</v>
      </c>
      <c r="O3491">
        <v>3491</v>
      </c>
      <c r="P3491" t="str">
        <f t="shared" si="54"/>
        <v xml:space="preserve">[^ftn3491]: </v>
      </c>
    </row>
    <row r="3492" spans="14:16" x14ac:dyDescent="0.25">
      <c r="N3492" t="s">
        <v>895</v>
      </c>
      <c r="O3492">
        <v>3492</v>
      </c>
      <c r="P3492" t="str">
        <f t="shared" si="54"/>
        <v xml:space="preserve">[^ftn3492]: </v>
      </c>
    </row>
    <row r="3493" spans="14:16" x14ac:dyDescent="0.25">
      <c r="N3493" t="s">
        <v>895</v>
      </c>
      <c r="O3493">
        <v>3493</v>
      </c>
      <c r="P3493" t="str">
        <f t="shared" si="54"/>
        <v xml:space="preserve">[^ftn3493]: </v>
      </c>
    </row>
    <row r="3494" spans="14:16" x14ac:dyDescent="0.25">
      <c r="N3494" t="s">
        <v>895</v>
      </c>
      <c r="O3494">
        <v>3494</v>
      </c>
      <c r="P3494" t="str">
        <f t="shared" si="54"/>
        <v xml:space="preserve">[^ftn3494]: </v>
      </c>
    </row>
    <row r="3495" spans="14:16" x14ac:dyDescent="0.25">
      <c r="N3495" t="s">
        <v>895</v>
      </c>
      <c r="O3495">
        <v>3495</v>
      </c>
      <c r="P3495" t="str">
        <f t="shared" si="54"/>
        <v xml:space="preserve">[^ftn3495]: </v>
      </c>
    </row>
    <row r="3496" spans="14:16" x14ac:dyDescent="0.25">
      <c r="N3496" t="s">
        <v>895</v>
      </c>
      <c r="O3496">
        <v>3496</v>
      </c>
      <c r="P3496" t="str">
        <f t="shared" si="54"/>
        <v xml:space="preserve">[^ftn3496]: </v>
      </c>
    </row>
    <row r="3497" spans="14:16" x14ac:dyDescent="0.25">
      <c r="N3497" t="s">
        <v>895</v>
      </c>
      <c r="O3497">
        <v>3497</v>
      </c>
      <c r="P3497" t="str">
        <f t="shared" si="54"/>
        <v xml:space="preserve">[^ftn3497]: </v>
      </c>
    </row>
    <row r="3498" spans="14:16" x14ac:dyDescent="0.25">
      <c r="N3498" t="s">
        <v>895</v>
      </c>
      <c r="O3498">
        <v>3498</v>
      </c>
      <c r="P3498" t="str">
        <f t="shared" si="54"/>
        <v xml:space="preserve">[^ftn3498]: </v>
      </c>
    </row>
    <row r="3499" spans="14:16" x14ac:dyDescent="0.25">
      <c r="N3499" t="s">
        <v>895</v>
      </c>
      <c r="O3499">
        <v>3499</v>
      </c>
      <c r="P3499" t="str">
        <f t="shared" si="54"/>
        <v xml:space="preserve">[^ftn3499]: </v>
      </c>
    </row>
    <row r="3500" spans="14:16" x14ac:dyDescent="0.25">
      <c r="N3500" t="s">
        <v>895</v>
      </c>
      <c r="O3500">
        <v>3500</v>
      </c>
      <c r="P3500" t="str">
        <f t="shared" si="54"/>
        <v xml:space="preserve">[^ftn3500]: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13</vt:i4>
      </vt:variant>
    </vt:vector>
  </HeadingPairs>
  <TitlesOfParts>
    <vt:vector size="13" baseType="lpstr">
      <vt:lpstr>Libri</vt:lpstr>
      <vt:lpstr>Obsidian</vt:lpstr>
      <vt:lpstr>Calendario</vt:lpstr>
      <vt:lpstr>Note al testo richiamo Versetti</vt:lpstr>
      <vt:lpstr>Link</vt:lpstr>
      <vt:lpstr>Versetti1</vt:lpstr>
      <vt:lpstr>Nomi libri</vt:lpstr>
      <vt:lpstr>Foglio1</vt:lpstr>
      <vt:lpstr>Foglio2</vt:lpstr>
      <vt:lpstr>Link Messaggi</vt:lpstr>
      <vt:lpstr>Foglio3</vt:lpstr>
      <vt:lpstr>Testo file MD unico</vt:lpstr>
      <vt:lpstr>CCC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Emanuele Tinari</cp:lastModifiedBy>
  <dcterms:created xsi:type="dcterms:W3CDTF">2015-06-05T18:19:34Z</dcterms:created>
  <dcterms:modified xsi:type="dcterms:W3CDTF">2025-07-06T22:48:03Z</dcterms:modified>
</cp:coreProperties>
</file>